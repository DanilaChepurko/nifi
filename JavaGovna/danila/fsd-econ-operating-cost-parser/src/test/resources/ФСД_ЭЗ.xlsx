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Work_Project\JavaGovna\danila\fsd-econ-operating-cost-parser\src\test\resources\"/>
    </mc:Choice>
  </mc:AlternateContent>
  <xr:revisionPtr revIDLastSave="0" documentId="13_ncr:1_{D37B9D3C-A52D-457A-9C37-7F1F8AE40825}" xr6:coauthVersionLast="47" xr6:coauthVersionMax="47" xr10:uidLastSave="{00000000-0000-0000-0000-000000000000}"/>
  <bookViews>
    <workbookView xWindow="-120" yWindow="-120" windowWidth="29040" windowHeight="15720" tabRatio="799" activeTab="1" xr2:uid="{00000000-000D-0000-FFFF-FFFF00000000}"/>
  </bookViews>
  <sheets>
    <sheet name="Инструкция" sheetId="1" r:id="rId1"/>
    <sheet name="1" sheetId="8" r:id="rId2"/>
    <sheet name="2" sheetId="7" r:id="rId3"/>
    <sheet name="3" sheetId="12" r:id="rId4"/>
    <sheet name="Уд.показ." sheetId="11" r:id="rId5"/>
    <sheet name="Справочники" sheetId="3" r:id="rId6"/>
    <sheet name="Лист3" sheetId="4" state="hidden" r:id="rId7"/>
  </sheets>
  <definedNames>
    <definedName name="_xlnm._FilterDatabase" localSheetId="2" hidden="1">'2'!$B$2:$E$3</definedName>
    <definedName name="_xlnm.Print_Area" localSheetId="1">'1'!$A$1:$T$7</definedName>
    <definedName name="_xlnm.Print_Area" localSheetId="2">'2'!$A$1:$E$3</definedName>
    <definedName name="_xlnm.Print_Area" localSheetId="5">Справочники!$A$1:$J$159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11" l="1"/>
  <c r="D36" i="8"/>
  <c r="E52" i="8" l="1"/>
  <c r="F52" i="8"/>
  <c r="G52" i="8"/>
  <c r="D52" i="8"/>
  <c r="E47" i="8"/>
  <c r="F47" i="8"/>
  <c r="G47" i="8"/>
  <c r="D47" i="8"/>
  <c r="E36" i="8"/>
  <c r="F36" i="8"/>
  <c r="G36" i="8"/>
  <c r="E26" i="8"/>
  <c r="F26" i="8"/>
  <c r="G26" i="8"/>
  <c r="D26" i="8"/>
  <c r="E22" i="8"/>
  <c r="F22" i="8"/>
  <c r="G22" i="8"/>
  <c r="D22" i="8"/>
  <c r="E19" i="8"/>
  <c r="F19" i="8"/>
  <c r="G19" i="8"/>
  <c r="D19" i="8"/>
  <c r="E15" i="8"/>
  <c r="F15" i="8"/>
  <c r="G15" i="8"/>
  <c r="D15" i="8"/>
  <c r="E67" i="8" l="1"/>
  <c r="D67" i="8"/>
  <c r="G67" i="8"/>
  <c r="F67" i="8"/>
</calcChain>
</file>

<file path=xl/sharedStrings.xml><?xml version="1.0" encoding="utf-8"?>
<sst xmlns="http://schemas.openxmlformats.org/spreadsheetml/2006/main" count="336" uniqueCount="250">
  <si>
    <t>Правила заполнения ФСД</t>
  </si>
  <si>
    <t>1) Каждая ФСД содержит "шапку" с заголовочной частью данных. Все аналитики "шапки" должны быть заполнены. Заполнение возможно строго из выпадающих списков, добавлять произвольные значения нельзя.</t>
  </si>
  <si>
    <t>2) Каждая ФСД содержит табличную часть. В "боковике" табличной части необходимо выбрать / заполнить аналитики или показатели из выпадающих списков, добавлять произвольные значения нельзя</t>
  </si>
  <si>
    <t>3) В табличной части ФСД предусмотрены поля для ручного заполнения данных. 
Числовые данные необходимо заносить исключительно в числовом формате, с разделителем в виде запятой.
Числовые значения необходимо заполнять в единицах измерения, указанных в заголовке табличной части или заданных в показателе.
Даты необходимо заносить в формате ДД.ММ.ГГГГ.</t>
  </si>
  <si>
    <r>
      <rPr>
        <b/>
        <u/>
        <sz val="12"/>
        <color rgb="FF000000"/>
        <rFont val="Arial (Основной текст)"/>
        <charset val="204"/>
      </rPr>
      <t xml:space="preserve">4) Важно:
</t>
    </r>
    <r>
      <rPr>
        <sz val="12"/>
        <color rgb="FF000000"/>
        <rFont val="Arial"/>
        <family val="2"/>
        <charset val="204"/>
      </rPr>
      <t>- изменение структуры ФСД недопустимо, а именно:
- удаление / корректировка формул,
- добавление / удаление / корректировка столбцов,
- изменение справочных данных.
В случае добавления строки, необходимо контролировать добавление формул и унаследование ограничения в виде выпадающих списков.</t>
    </r>
  </si>
  <si>
    <t>Горизонт</t>
  </si>
  <si>
    <t>Годы</t>
  </si>
  <si>
    <t>ГДО</t>
  </si>
  <si>
    <t>Месторождение</t>
  </si>
  <si>
    <t>Флюид</t>
  </si>
  <si>
    <t>ПНГ</t>
  </si>
  <si>
    <t>Нефть</t>
  </si>
  <si>
    <t>Газ</t>
  </si>
  <si>
    <t>Конденсат</t>
  </si>
  <si>
    <t>Прочие налоги и выплаты в бюджет</t>
  </si>
  <si>
    <t>ЗАО "Пургаз"</t>
  </si>
  <si>
    <t>ООО "Газпром добыча Астрахань"</t>
  </si>
  <si>
    <t>ООО "Газпром добыча Иркутск"</t>
  </si>
  <si>
    <t>ООО "Газпром добыча Краснодар"</t>
  </si>
  <si>
    <t>ООО "Газпром добыча Кузнецк"</t>
  </si>
  <si>
    <t>ООО "Газпром добыча Надым"</t>
  </si>
  <si>
    <t>ООО "Газпром добыча Ноябрьск"</t>
  </si>
  <si>
    <t>ООО "Газпром добыча Оренбург"</t>
  </si>
  <si>
    <t>ООО "Газпром добыча Тамбей"</t>
  </si>
  <si>
    <t>ООО "Газпром добыча Уренгой"</t>
  </si>
  <si>
    <t>ООО "Газпром добыча шельф Южно-Сахалинск"</t>
  </si>
  <si>
    <t>ООО "Газпром добыча Ямбург"</t>
  </si>
  <si>
    <t>ООО "Газпром трансгаз Югорск"</t>
  </si>
  <si>
    <t>ПАО "Газпром нефть"</t>
  </si>
  <si>
    <t>Астраханское</t>
  </si>
  <si>
    <t>Азовское</t>
  </si>
  <si>
    <t>Безопасненское</t>
  </si>
  <si>
    <t>Бейсугское</t>
  </si>
  <si>
    <t>Березовское</t>
  </si>
  <si>
    <t>Бованенковское</t>
  </si>
  <si>
    <t>Болтное</t>
  </si>
  <si>
    <t>Бухаровское</t>
  </si>
  <si>
    <t>Восточно-Прибрежное</t>
  </si>
  <si>
    <t>Вуктыльское</t>
  </si>
  <si>
    <t>Вынгапуровское</t>
  </si>
  <si>
    <t>Вынгаяхинское</t>
  </si>
  <si>
    <t>Граничное</t>
  </si>
  <si>
    <t>Гривенское</t>
  </si>
  <si>
    <t>Губкинское</t>
  </si>
  <si>
    <t>Деминское</t>
  </si>
  <si>
    <t>Ен-Яхинское</t>
  </si>
  <si>
    <t>Еты-Пуровское</t>
  </si>
  <si>
    <t>Журавское</t>
  </si>
  <si>
    <t>Западно-Красноармейское</t>
  </si>
  <si>
    <t>Западно-Соплесское</t>
  </si>
  <si>
    <t>Западно-Таркосалинское</t>
  </si>
  <si>
    <t>Заполярное</t>
  </si>
  <si>
    <t>Ильинское</t>
  </si>
  <si>
    <t>Казанское</t>
  </si>
  <si>
    <t>Каменно-Балковское</t>
  </si>
  <si>
    <t>Каневское-Лебяжье</t>
  </si>
  <si>
    <t>Киринское</t>
  </si>
  <si>
    <t>Ковыктинское</t>
  </si>
  <si>
    <t>Комсомольское</t>
  </si>
  <si>
    <t>Красноармейское</t>
  </si>
  <si>
    <t>Кугутское</t>
  </si>
  <si>
    <t>Кшукское</t>
  </si>
  <si>
    <t>Лунское</t>
  </si>
  <si>
    <t>Марковское</t>
  </si>
  <si>
    <t>Медвежье</t>
  </si>
  <si>
    <t>Мечетское</t>
  </si>
  <si>
    <t>Мирненское</t>
  </si>
  <si>
    <t>Мирное</t>
  </si>
  <si>
    <t>Мостовянское</t>
  </si>
  <si>
    <t>Мыльджинское</t>
  </si>
  <si>
    <t>Нарыкско-Осташнинское</t>
  </si>
  <si>
    <t>Нижнеквакчикское</t>
  </si>
  <si>
    <t>Николаевское</t>
  </si>
  <si>
    <t>Оренбургское</t>
  </si>
  <si>
    <t>Останинское</t>
  </si>
  <si>
    <t>Патроновское</t>
  </si>
  <si>
    <t>Песцовое</t>
  </si>
  <si>
    <t>Песчаное</t>
  </si>
  <si>
    <t>Петровско-Благодарненское</t>
  </si>
  <si>
    <t>Печорокожвинское</t>
  </si>
  <si>
    <t>Пильтун-Астохское</t>
  </si>
  <si>
    <t>Пинджинское</t>
  </si>
  <si>
    <t>Прибрежное</t>
  </si>
  <si>
    <t>Радыковское</t>
  </si>
  <si>
    <t>Расшеватское</t>
  </si>
  <si>
    <t>Роговское</t>
  </si>
  <si>
    <t>Рыбальное</t>
  </si>
  <si>
    <t>Северо-Васюганское</t>
  </si>
  <si>
    <t>Северо-Гривенское</t>
  </si>
  <si>
    <t>Северо-Колпаковское</t>
  </si>
  <si>
    <t>Северо-Останинское</t>
  </si>
  <si>
    <t>Северо-Прибрежное</t>
  </si>
  <si>
    <t>Северо-Уренгойское</t>
  </si>
  <si>
    <t>Северо-Чебургольское</t>
  </si>
  <si>
    <t>Сенгилеевское</t>
  </si>
  <si>
    <t>Синявское</t>
  </si>
  <si>
    <t>Талдинское</t>
  </si>
  <si>
    <t>Тамбейское</t>
  </si>
  <si>
    <t>Тахта-Кугультинское</t>
  </si>
  <si>
    <t>Уренгойское</t>
  </si>
  <si>
    <t>Харасавэйское</t>
  </si>
  <si>
    <t>Чаяндинское</t>
  </si>
  <si>
    <t>Челбасское</t>
  </si>
  <si>
    <t>Элитное</t>
  </si>
  <si>
    <t>Юбилейное</t>
  </si>
  <si>
    <t>Югидское</t>
  </si>
  <si>
    <t>Южно-Киринское</t>
  </si>
  <si>
    <t>Южно-Радыковское</t>
  </si>
  <si>
    <t>Южно-Русское</t>
  </si>
  <si>
    <t>Ямбургское</t>
  </si>
  <si>
    <t>Ямсовейское</t>
  </si>
  <si>
    <t>ООО "Сахалинская энергия"</t>
  </si>
  <si>
    <t>АО "Газпром газораспределение Элиста"</t>
  </si>
  <si>
    <t>ООО "Газпромвьет"</t>
  </si>
  <si>
    <t>Каменномысское-море</t>
  </si>
  <si>
    <t>Северо-Каменномысское</t>
  </si>
  <si>
    <t>Совхозное</t>
  </si>
  <si>
    <t>Ики-Бурульское</t>
  </si>
  <si>
    <t>Нагумановское</t>
  </si>
  <si>
    <t>Северо-Пуровское</t>
  </si>
  <si>
    <t>Первоначальная стоимость, 
млн руб.</t>
  </si>
  <si>
    <t>Остаточная стоимость, 
млн руб.</t>
  </si>
  <si>
    <t>Наименование ОПФ</t>
  </si>
  <si>
    <t>УКПГ</t>
  </si>
  <si>
    <t>ДКС</t>
  </si>
  <si>
    <t>Показатель</t>
  </si>
  <si>
    <t>Отчетный год</t>
  </si>
  <si>
    <t>Ед. изм.</t>
  </si>
  <si>
    <t xml:space="preserve">Объем валовой добычи 
</t>
  </si>
  <si>
    <t xml:space="preserve">Объем товарной добычи 
</t>
  </si>
  <si>
    <t>шт</t>
  </si>
  <si>
    <t>чел.</t>
  </si>
  <si>
    <t xml:space="preserve">Количество добычных скважин в эксплуатации
</t>
  </si>
  <si>
    <t xml:space="preserve">Среднесписочная численность производственного персонала
</t>
  </si>
  <si>
    <r>
      <t>руб./тыс. м</t>
    </r>
    <r>
      <rPr>
        <vertAlign val="superscript"/>
        <sz val="10"/>
        <color rgb="FF000000"/>
        <rFont val="Times New Roman"/>
        <family val="1"/>
        <charset val="204"/>
      </rPr>
      <t>3</t>
    </r>
    <r>
      <rPr>
        <sz val="10"/>
        <color rgb="FF000000"/>
        <rFont val="Times New Roman"/>
        <family val="1"/>
        <charset val="204"/>
      </rPr>
      <t>; руб./т</t>
    </r>
  </si>
  <si>
    <t xml:space="preserve">Цена товарной продукции
</t>
  </si>
  <si>
    <t>Полная себестоимость на ед. отгруженной продукции</t>
  </si>
  <si>
    <t>Сырье и материалы</t>
  </si>
  <si>
    <t>млн руб.</t>
  </si>
  <si>
    <t xml:space="preserve">Сырье и основные материалы 
</t>
  </si>
  <si>
    <t xml:space="preserve">Вспомогательные материалы
</t>
  </si>
  <si>
    <t>Материалы и товары для перепродажи</t>
  </si>
  <si>
    <t xml:space="preserve">Газ на собственные нужды
</t>
  </si>
  <si>
    <t>Газ на собственные технологические нужды</t>
  </si>
  <si>
    <t>Газ на производственно-эксплуатационные нужды</t>
  </si>
  <si>
    <t xml:space="preserve">Энергия
</t>
  </si>
  <si>
    <t xml:space="preserve">Электроэнергия
</t>
  </si>
  <si>
    <t>Теплоэнергия</t>
  </si>
  <si>
    <t>Прочая энергия</t>
  </si>
  <si>
    <t>Расходы на оплату труда, социальные льготы, выплаты и компенсации</t>
  </si>
  <si>
    <t>Фонд заработной платы</t>
  </si>
  <si>
    <t>Социальные льготы и выплаты</t>
  </si>
  <si>
    <t>Компенсация приобретения и найма жилья</t>
  </si>
  <si>
    <t>Прочие выплаты</t>
  </si>
  <si>
    <t>Взносы в государственные внебюджетные фонды (страховые взносы)</t>
  </si>
  <si>
    <t>Амортизация внеоборотных активов производственного назначения</t>
  </si>
  <si>
    <t>Аренда основных средств производственного назначения</t>
  </si>
  <si>
    <t>Налоги и иные обязательные платежи</t>
  </si>
  <si>
    <t>НДПИ</t>
  </si>
  <si>
    <t>Налог на имущество</t>
  </si>
  <si>
    <t>Акцизы на УВ</t>
  </si>
  <si>
    <t>Геологоразведочные работы</t>
  </si>
  <si>
    <t>Затраты по договорам страхования</t>
  </si>
  <si>
    <t>Услуги по добыче сырья / сепарации сырья</t>
  </si>
  <si>
    <t>Услуги по переработке сырья</t>
  </si>
  <si>
    <t>Услуги по транспортировке УВ</t>
  </si>
  <si>
    <t>НИОКР</t>
  </si>
  <si>
    <t>ДТОиР</t>
  </si>
  <si>
    <t>Диагностика</t>
  </si>
  <si>
    <t>Техническое обслуживание и ремонт</t>
  </si>
  <si>
    <t>Капитальный ремонт основных средств</t>
  </si>
  <si>
    <t>Реклама и имиджевые расходы</t>
  </si>
  <si>
    <t>Прочие услуги и работы</t>
  </si>
  <si>
    <t>Услуги транспорта</t>
  </si>
  <si>
    <t>Пусконаладочные работы</t>
  </si>
  <si>
    <t>Услуги связи и иные платежи за пользование средствами связи</t>
  </si>
  <si>
    <t>Геофизические работы</t>
  </si>
  <si>
    <t>Обеспечение пожарной безопасности и охрана</t>
  </si>
  <si>
    <t>Охрана труда и промышленная безопасность</t>
  </si>
  <si>
    <t>Обучение персонала</t>
  </si>
  <si>
    <t>Программное обеспечение и сопровождение</t>
  </si>
  <si>
    <t>Материально-техническое обеспечение</t>
  </si>
  <si>
    <t>Услуги по водоснабжению и водоотведению</t>
  </si>
  <si>
    <t>Содержание вахтовых поселков</t>
  </si>
  <si>
    <t>Прочие</t>
  </si>
  <si>
    <t>Общепроизводственные расходы</t>
  </si>
  <si>
    <t>Общехозяйственные расходы</t>
  </si>
  <si>
    <t>Апт-альб-сеноманский</t>
  </si>
  <si>
    <t>Ассельский</t>
  </si>
  <si>
    <t>Ачимовский</t>
  </si>
  <si>
    <t>Девонский</t>
  </si>
  <si>
    <t>Карбон</t>
  </si>
  <si>
    <t>Неоком</t>
  </si>
  <si>
    <t>Неоком-юра</t>
  </si>
  <si>
    <t>Сакмарский</t>
  </si>
  <si>
    <t>Сеноман</t>
  </si>
  <si>
    <t>Сеноман-апт</t>
  </si>
  <si>
    <t>Сенон</t>
  </si>
  <si>
    <t>Среднекаменноугольный</t>
  </si>
  <si>
    <t>Туронский</t>
  </si>
  <si>
    <t>Филипповский</t>
  </si>
  <si>
    <t>Юра</t>
  </si>
  <si>
    <t>Ботуобинский</t>
  </si>
  <si>
    <t>Основная артинско-среднекаменноугольная залежь</t>
  </si>
  <si>
    <t>Талахский горизонт</t>
  </si>
  <si>
    <t>Ухтолокская свита</t>
  </si>
  <si>
    <t>Филипповская залежь</t>
  </si>
  <si>
    <t>Хамакинский горизонт</t>
  </si>
  <si>
    <t>Эрмановская свита</t>
  </si>
  <si>
    <t>Этолонская свита</t>
  </si>
  <si>
    <t>Назначение ФСД-12.2.1</t>
  </si>
  <si>
    <r>
      <t>млн м</t>
    </r>
    <r>
      <rPr>
        <vertAlign val="superscript"/>
        <sz val="10"/>
        <color rgb="FF000000"/>
        <rFont val="Times New Roman"/>
        <family val="1"/>
        <charset val="204"/>
      </rPr>
      <t>3</t>
    </r>
    <r>
      <rPr>
        <sz val="10"/>
        <color rgb="FF000000"/>
        <rFont val="Times New Roman"/>
        <family val="1"/>
        <charset val="204"/>
      </rPr>
      <t>, тыс. т</t>
    </r>
  </si>
  <si>
    <t>Форма сбора данных (ФСД): ЭЗ</t>
  </si>
  <si>
    <t xml:space="preserve">ФСД предназначена для внесения фактических данных </t>
  </si>
  <si>
    <t>скважины</t>
  </si>
  <si>
    <t>обвязка кустов скважин</t>
  </si>
  <si>
    <t>Трубопроводы</t>
  </si>
  <si>
    <t>прочие ОФ</t>
  </si>
  <si>
    <t>Затраты на ликвидацию,
% от первоначальной стоимости</t>
  </si>
  <si>
    <t>материальные затраты</t>
  </si>
  <si>
    <t>энергия</t>
  </si>
  <si>
    <t>заработная плата на 1 работающего (по видам флюида)</t>
  </si>
  <si>
    <t>удельная численность работников</t>
  </si>
  <si>
    <t>% прочих затрат</t>
  </si>
  <si>
    <t>% общепроизводственных затрат</t>
  </si>
  <si>
    <t>% общехозяйственных затрат</t>
  </si>
  <si>
    <t>Затраты всего</t>
  </si>
  <si>
    <t>%</t>
  </si>
  <si>
    <t>тыс. руб./чел.</t>
  </si>
  <si>
    <t>чел./скв</t>
  </si>
  <si>
    <t>руб./скв.</t>
  </si>
  <si>
    <t>Затраты на ППД</t>
  </si>
  <si>
    <t>Затраты на ликвидацию скважин</t>
  </si>
  <si>
    <t>Затраты на консервацию скважин</t>
  </si>
  <si>
    <t>Затраты на расконсервацию скважин</t>
  </si>
  <si>
    <t>Затраты на транспорт продукции</t>
  </si>
  <si>
    <t>Затраты на переработку продукции</t>
  </si>
  <si>
    <t>Затраты на кап.ремонт объектов обустройства 
в % от первоначальной стоимости ОФ</t>
  </si>
  <si>
    <t>млн руб./скв.</t>
  </si>
  <si>
    <t>ОАО "Севернефтегазпром"</t>
  </si>
  <si>
    <t>АО "Газпром добыча Томск"</t>
  </si>
  <si>
    <t>ООО "Газпромнефть-Заполярье"</t>
  </si>
  <si>
    <t xml:space="preserve">береза </t>
  </si>
  <si>
    <t>Коэффициент для перераспределения затрат</t>
  </si>
  <si>
    <r>
      <t>руб./тыс. м</t>
    </r>
    <r>
      <rPr>
        <vertAlign val="superscript"/>
        <sz val="10"/>
        <color rgb="FF000000"/>
        <rFont val="Times New Roman"/>
        <family val="1"/>
        <charset val="204"/>
      </rPr>
      <t>3</t>
    </r>
    <r>
      <rPr>
        <sz val="10"/>
        <color rgb="FF000000"/>
        <rFont val="Times New Roman"/>
        <family val="1"/>
        <charset val="204"/>
      </rPr>
      <t xml:space="preserve"> руб./т</t>
    </r>
  </si>
  <si>
    <t>руб./тыс. м3; руб./т</t>
  </si>
  <si>
    <t>руб./тыс. м3 руб./т</t>
  </si>
  <si>
    <t>Затраты на ППД - газ</t>
  </si>
  <si>
    <t>Затраты на ППД - вода</t>
  </si>
  <si>
    <t>Затраты на ППД - условно-постоянные затраты на скв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</si>
</sst>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12"/>
      <color rgb="FF000000"/>
      <name val="Arial"/>
      <family val="2"/>
      <charset val="204"/>
    </font>
    <font>
      <b/>
      <sz val="12"/>
      <color rgb="FF000000"/>
      <name val="Arial"/>
      <family val="2"/>
      <charset val="1"/>
    </font>
    <font>
      <b/>
      <u/>
      <sz val="12"/>
      <color rgb="FF000000"/>
      <name val="Arial (Основной текст)"/>
      <charset val="204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FF0000"/>
      <name val="Times New Roman"/>
      <family val="1"/>
      <charset val="1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1"/>
    </font>
    <font>
      <sz val="10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1"/>
      <name val="Arial"/>
      <family val="2"/>
      <charset val="204"/>
    </font>
    <font>
      <b/>
      <sz val="8"/>
      <color rgb="FF000000"/>
      <name val="Times New Roman Cyr"/>
      <family val="1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vertAlign val="superscript"/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7" fillId="0" borderId="0"/>
  </cellStyleXfs>
  <cellXfs count="57">
    <xf numFmtId="0" fontId="0" fillId="0" borderId="0" xfId="0"/>
    <xf numFmtId="0" fontId="2" fillId="0" borderId="0" xfId="1" applyFont="1" applyAlignment="1">
      <alignment wrapText="1"/>
    </xf>
    <xf numFmtId="0" fontId="3" fillId="0" borderId="0" xfId="1" applyFont="1" applyAlignment="1">
      <alignment horizontal="left" vertical="top" wrapText="1"/>
    </xf>
    <xf numFmtId="0" fontId="2" fillId="0" borderId="0" xfId="1" applyFont="1" applyAlignment="1">
      <alignment vertical="top" wrapText="1"/>
    </xf>
    <xf numFmtId="0" fontId="0" fillId="0" borderId="0" xfId="0" applyAlignment="1">
      <alignment wrapText="1"/>
    </xf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/>
    <xf numFmtId="0" fontId="0" fillId="0" borderId="0" xfId="0" applyAlignment="1">
      <alignment horizontal="left" vertical="center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 vertical="center"/>
    </xf>
    <xf numFmtId="1" fontId="15" fillId="0" borderId="1" xfId="0" applyNumberFormat="1" applyFont="1" applyBorder="1" applyAlignment="1">
      <alignment horizontal="right"/>
    </xf>
    <xf numFmtId="0" fontId="16" fillId="0" borderId="0" xfId="0" applyFont="1" applyAlignment="1">
      <alignment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vertical="center" wrapText="1"/>
    </xf>
    <xf numFmtId="0" fontId="5" fillId="0" borderId="0" xfId="3" applyFont="1" applyAlignment="1">
      <alignment wrapText="1"/>
    </xf>
    <xf numFmtId="0" fontId="17" fillId="0" borderId="0" xfId="3"/>
    <xf numFmtId="0" fontId="7" fillId="0" borderId="0" xfId="3" applyFont="1" applyAlignment="1">
      <alignment wrapText="1"/>
    </xf>
    <xf numFmtId="2" fontId="7" fillId="0" borderId="1" xfId="3" applyNumberFormat="1" applyFont="1" applyBorder="1" applyAlignment="1">
      <alignment horizontal="center" vertical="center" wrapText="1"/>
    </xf>
    <xf numFmtId="0" fontId="11" fillId="2" borderId="2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5" fillId="0" borderId="0" xfId="3" applyFont="1" applyAlignment="1">
      <alignment horizontal="left" vertical="top" wrapText="1"/>
    </xf>
    <xf numFmtId="0" fontId="6" fillId="0" borderId="1" xfId="3" applyFont="1" applyBorder="1" applyAlignment="1">
      <alignment horizontal="right" wrapText="1"/>
    </xf>
    <xf numFmtId="0" fontId="9" fillId="0" borderId="0" xfId="3" applyFont="1" applyAlignment="1">
      <alignment horizontal="left" vertical="top" wrapText="1"/>
    </xf>
    <xf numFmtId="0" fontId="6" fillId="0" borderId="1" xfId="3" applyFont="1" applyBorder="1" applyAlignment="1">
      <alignment horizontal="right" vertical="top" wrapText="1"/>
    </xf>
    <xf numFmtId="0" fontId="6" fillId="0" borderId="0" xfId="3" applyFont="1" applyAlignment="1">
      <alignment vertical="top"/>
    </xf>
    <xf numFmtId="0" fontId="8" fillId="0" borderId="0" xfId="3" applyFont="1" applyAlignment="1">
      <alignment horizontal="left" vertical="top" wrapText="1"/>
    </xf>
    <xf numFmtId="2" fontId="7" fillId="0" borderId="1" xfId="3" applyNumberFormat="1" applyFont="1" applyFill="1" applyBorder="1" applyAlignment="1">
      <alignment horizontal="center" vertical="center" wrapText="1"/>
    </xf>
    <xf numFmtId="0" fontId="5" fillId="0" borderId="1" xfId="3" applyFont="1" applyBorder="1" applyAlignment="1">
      <alignment wrapText="1"/>
    </xf>
    <xf numFmtId="2" fontId="7" fillId="3" borderId="1" xfId="3" applyNumberFormat="1" applyFont="1" applyFill="1" applyBorder="1" applyAlignment="1">
      <alignment horizontal="center" vertical="center" wrapText="1"/>
    </xf>
    <xf numFmtId="0" fontId="5" fillId="0" borderId="0" xfId="3" applyFont="1" applyFill="1" applyAlignment="1">
      <alignment wrapText="1"/>
    </xf>
    <xf numFmtId="0" fontId="7" fillId="0" borderId="0" xfId="3" applyFont="1" applyFill="1" applyAlignment="1">
      <alignment wrapText="1"/>
    </xf>
    <xf numFmtId="0" fontId="17" fillId="0" borderId="0" xfId="3" applyFill="1"/>
    <xf numFmtId="2" fontId="7" fillId="0" borderId="1" xfId="3" applyNumberFormat="1" applyFont="1" applyFill="1" applyBorder="1" applyAlignment="1">
      <alignment horizontal="left" vertical="center" wrapText="1"/>
    </xf>
    <xf numFmtId="2" fontId="7" fillId="0" borderId="1" xfId="3" applyNumberFormat="1" applyFont="1" applyFill="1" applyBorder="1" applyAlignment="1">
      <alignment horizontal="left" vertical="top" wrapText="1"/>
    </xf>
    <xf numFmtId="2" fontId="7" fillId="0" borderId="1" xfId="3" applyNumberFormat="1" applyFont="1" applyBorder="1" applyAlignment="1">
      <alignment horizontal="left" vertical="center" wrapText="1"/>
    </xf>
    <xf numFmtId="2" fontId="7" fillId="0" borderId="1" xfId="3" applyNumberFormat="1" applyFont="1" applyBorder="1" applyAlignment="1">
      <alignment horizontal="left" vertical="top" wrapText="1"/>
    </xf>
    <xf numFmtId="0" fontId="5" fillId="0" borderId="0" xfId="3" applyFont="1" applyFill="1" applyAlignment="1">
      <alignment horizontal="left" wrapText="1"/>
    </xf>
    <xf numFmtId="0" fontId="17" fillId="0" borderId="0" xfId="3" applyFill="1" applyAlignment="1">
      <alignment horizontal="left"/>
    </xf>
    <xf numFmtId="1" fontId="7" fillId="0" borderId="1" xfId="3" applyNumberFormat="1" applyFont="1" applyFill="1" applyBorder="1" applyAlignment="1">
      <alignment horizontal="center" vertical="center" wrapText="1"/>
    </xf>
    <xf numFmtId="1" fontId="7" fillId="0" borderId="1" xfId="3" applyNumberFormat="1" applyFont="1" applyBorder="1" applyAlignment="1">
      <alignment horizontal="center" vertical="center" wrapText="1"/>
    </xf>
    <xf numFmtId="0" fontId="19" fillId="0" borderId="0" xfId="0" applyFont="1"/>
    <xf numFmtId="2" fontId="7" fillId="3" borderId="1" xfId="3" applyNumberFormat="1" applyFont="1" applyFill="1" applyBorder="1" applyAlignment="1">
      <alignment horizontal="left" vertical="top" wrapText="1"/>
    </xf>
    <xf numFmtId="2" fontId="7" fillId="3" borderId="1" xfId="3" applyNumberFormat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2" fontId="21" fillId="3" borderId="1" xfId="3" applyNumberFormat="1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0" fontId="4" fillId="0" borderId="0" xfId="1" applyFont="1" applyAlignment="1">
      <alignment horizontal="left" vertical="top" wrapText="1"/>
    </xf>
    <xf numFmtId="0" fontId="8" fillId="0" borderId="1" xfId="3" applyFont="1" applyBorder="1" applyAlignment="1">
      <alignment horizontal="left" vertical="top" wrapText="1"/>
    </xf>
    <xf numFmtId="0" fontId="8" fillId="0" borderId="5" xfId="3" applyFont="1" applyBorder="1" applyAlignment="1">
      <alignment horizontal="left" vertical="top" wrapText="1"/>
    </xf>
    <xf numFmtId="0" fontId="8" fillId="0" borderId="7" xfId="3" applyFont="1" applyBorder="1" applyAlignment="1">
      <alignment horizontal="left" vertical="top" wrapText="1"/>
    </xf>
    <xf numFmtId="0" fontId="8" fillId="0" borderId="6" xfId="3" applyFont="1" applyBorder="1" applyAlignment="1">
      <alignment horizontal="left" vertical="top" wrapText="1"/>
    </xf>
  </cellXfs>
  <cellStyles count="4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2 3" xfId="3" xr:uid="{00000000-0005-0000-0000-000003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38160</xdr:rowOff>
    </xdr:from>
    <xdr:to>
      <xdr:col>1</xdr:col>
      <xdr:colOff>255600</xdr:colOff>
      <xdr:row>5</xdr:row>
      <xdr:rowOff>183600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5720" y="38160"/>
          <a:ext cx="5164200" cy="1488600"/>
        </a:xfrm>
        <a:prstGeom prst="rect">
          <a:avLst/>
        </a:prstGeom>
        <a:ln w="0">
          <a:solidFill>
            <a:srgbClr val="D9D9D9"/>
          </a:solidFill>
        </a:ln>
      </xdr:spPr>
    </xdr:pic>
    <xdr:clientData/>
  </xdr:twoCellAnchor>
  <xdr:twoCellAnchor>
    <xdr:from>
      <xdr:col>1</xdr:col>
      <xdr:colOff>281880</xdr:colOff>
      <xdr:row>3</xdr:row>
      <xdr:rowOff>190440</xdr:rowOff>
    </xdr:from>
    <xdr:to>
      <xdr:col>2</xdr:col>
      <xdr:colOff>622080</xdr:colOff>
      <xdr:row>3</xdr:row>
      <xdr:rowOff>199080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5236200" y="771480"/>
          <a:ext cx="964800" cy="900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  <xdr:twoCellAnchor editAs="oneCell">
    <xdr:from>
      <xdr:col>0</xdr:col>
      <xdr:colOff>45720</xdr:colOff>
      <xdr:row>7</xdr:row>
      <xdr:rowOff>0</xdr:rowOff>
    </xdr:from>
    <xdr:to>
      <xdr:col>2</xdr:col>
      <xdr:colOff>549000</xdr:colOff>
      <xdr:row>9</xdr:row>
      <xdr:rowOff>613800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5720" y="1724040"/>
          <a:ext cx="6081840" cy="1375920"/>
        </a:xfrm>
        <a:prstGeom prst="rect">
          <a:avLst/>
        </a:prstGeom>
        <a:ln w="0">
          <a:solidFill>
            <a:srgbClr val="D9D9D9"/>
          </a:solidFill>
        </a:ln>
      </xdr:spPr>
    </xdr:pic>
    <xdr:clientData/>
  </xdr:twoCellAnchor>
  <xdr:twoCellAnchor>
    <xdr:from>
      <xdr:col>0</xdr:col>
      <xdr:colOff>4352760</xdr:colOff>
      <xdr:row>7</xdr:row>
      <xdr:rowOff>126720</xdr:rowOff>
    </xdr:from>
    <xdr:to>
      <xdr:col>3</xdr:col>
      <xdr:colOff>23400</xdr:colOff>
      <xdr:row>9</xdr:row>
      <xdr:rowOff>209520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4352760" y="1850760"/>
          <a:ext cx="1873800" cy="84528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  <xdr:twoCellAnchor>
    <xdr:from>
      <xdr:col>1</xdr:col>
      <xdr:colOff>330120</xdr:colOff>
      <xdr:row>9</xdr:row>
      <xdr:rowOff>190440</xdr:rowOff>
    </xdr:from>
    <xdr:to>
      <xdr:col>2</xdr:col>
      <xdr:colOff>622080</xdr:colOff>
      <xdr:row>9</xdr:row>
      <xdr:rowOff>190440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5284440" y="2676600"/>
          <a:ext cx="916560" cy="36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D12"/>
  <sheetViews>
    <sheetView showGridLines="0" zoomScale="75" zoomScaleNormal="75" workbookViewId="0">
      <selection activeCell="D31" sqref="D31"/>
    </sheetView>
  </sheetViews>
  <sheetFormatPr defaultColWidth="8.85546875" defaultRowHeight="15"/>
  <cols>
    <col min="1" max="1" width="70.28515625" style="1" customWidth="1"/>
    <col min="2" max="3" width="8.85546875" style="1"/>
    <col min="4" max="4" width="112.140625" style="1" customWidth="1"/>
    <col min="5" max="16384" width="8.85546875" style="1"/>
  </cols>
  <sheetData>
    <row r="2" spans="1:4" ht="15.75">
      <c r="D2" s="2" t="s">
        <v>0</v>
      </c>
    </row>
    <row r="4" spans="1:4" ht="45">
      <c r="D4" s="1" t="s">
        <v>1</v>
      </c>
    </row>
    <row r="8" spans="1:4" ht="45">
      <c r="D8" s="1" t="s">
        <v>2</v>
      </c>
    </row>
    <row r="10" spans="1:4" ht="90">
      <c r="D10" s="3" t="s">
        <v>3</v>
      </c>
    </row>
    <row r="12" spans="1:4" ht="118.5" customHeight="1">
      <c r="A12" s="52" t="s">
        <v>4</v>
      </c>
      <c r="B12" s="52"/>
      <c r="C12" s="52"/>
      <c r="D12" s="52"/>
    </row>
  </sheetData>
  <mergeCells count="1">
    <mergeCell ref="A12:D12"/>
  </mergeCells>
  <pageMargins left="0.70833333333333304" right="0.70833333333333304" top="0.74791666666666701" bottom="0.74791666666666701" header="0.31527777777777799" footer="0.511811023622047"/>
  <pageSetup paperSize="9" orientation="landscape" horizontalDpi="300" verticalDpi="300" r:id="rId1"/>
  <headerFooter>
    <oddHeader>&amp;L&amp;"Arial (Основной текст),Обычный"Инструкция по заполнению ФСД (на примере ФСД-1)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7"/>
  <sheetViews>
    <sheetView showGridLines="0" tabSelected="1" zoomScale="90" zoomScaleNormal="90" workbookViewId="0">
      <pane xSplit="2" ySplit="8" topLeftCell="C20" activePane="bottomRight" state="frozen"/>
      <selection pane="topRight" activeCell="C1" sqref="C1"/>
      <selection pane="bottomLeft" activeCell="A9" sqref="A9"/>
      <selection pane="bottomRight" activeCell="C5" sqref="C5:H5"/>
    </sheetView>
  </sheetViews>
  <sheetFormatPr defaultColWidth="12.42578125" defaultRowHeight="12.75"/>
  <cols>
    <col min="1" max="1" width="3" style="18" customWidth="1"/>
    <col min="2" max="2" width="86" style="18" customWidth="1"/>
    <col min="3" max="3" width="24.140625" style="18" customWidth="1"/>
    <col min="4" max="6" width="24.85546875" style="18" customWidth="1"/>
    <col min="7" max="7" width="23.5703125" style="18" customWidth="1"/>
    <col min="8" max="8" width="28.28515625" style="18" customWidth="1"/>
    <col min="9" max="9" width="20.7109375" style="18" customWidth="1"/>
    <col min="10" max="10" width="20.42578125" style="18" customWidth="1"/>
    <col min="11" max="11" width="19.85546875" style="18" customWidth="1"/>
    <col min="12" max="12" width="24.42578125" style="18" customWidth="1"/>
    <col min="13" max="13" width="23.42578125" style="18" customWidth="1"/>
    <col min="14" max="14" width="18.28515625" style="18" customWidth="1"/>
    <col min="15" max="15" width="27" style="18" customWidth="1"/>
    <col min="16" max="16" width="20.42578125" style="18" customWidth="1"/>
    <col min="17" max="17" width="18.5703125" style="18" customWidth="1"/>
    <col min="18" max="18" width="16.85546875" style="18" customWidth="1"/>
    <col min="19" max="19" width="17.7109375" style="18" customWidth="1"/>
    <col min="20" max="20" width="19.5703125" style="18" customWidth="1"/>
    <col min="21" max="21" width="18.85546875" style="18" customWidth="1"/>
    <col min="22" max="22" width="12.42578125" style="19"/>
    <col min="23" max="23" width="13.5703125" style="18" customWidth="1"/>
    <col min="24" max="24" width="12.42578125" style="18"/>
    <col min="25" max="25" width="19.140625" style="18" customWidth="1"/>
    <col min="26" max="26" width="13.85546875" style="18" customWidth="1"/>
    <col min="27" max="27" width="12.42578125" style="18"/>
    <col min="28" max="28" width="13.140625" style="18" customWidth="1"/>
    <col min="29" max="30" width="12.42578125" style="18"/>
    <col min="31" max="31" width="11.85546875" style="18" customWidth="1"/>
    <col min="32" max="33" width="12.42578125" style="18"/>
    <col min="34" max="34" width="13.28515625" style="18" customWidth="1"/>
    <col min="35" max="36" width="12.42578125" style="18"/>
    <col min="37" max="37" width="17" style="18" customWidth="1"/>
    <col min="38" max="39" width="12.42578125" style="18"/>
    <col min="40" max="41" width="14" style="18" customWidth="1"/>
    <col min="42" max="42" width="13.42578125" style="18" customWidth="1"/>
    <col min="43" max="45" width="12.42578125" style="18"/>
    <col min="46" max="46" width="16.85546875" style="18" customWidth="1"/>
    <col min="47" max="47" width="12.42578125" style="18"/>
    <col min="48" max="48" width="14.140625" style="18" customWidth="1"/>
    <col min="49" max="49" width="12.42578125" style="18"/>
    <col min="50" max="50" width="15.42578125" style="18" customWidth="1"/>
    <col min="51" max="51" width="12.42578125" style="18"/>
    <col min="52" max="52" width="14.5703125" style="18" customWidth="1"/>
    <col min="53" max="53" width="14" style="18" customWidth="1"/>
    <col min="54" max="54" width="16.85546875" style="18" customWidth="1"/>
    <col min="55" max="56" width="12.42578125" style="18"/>
    <col min="57" max="57" width="15.5703125" style="18" customWidth="1"/>
    <col min="58" max="16384" width="12.42578125" style="18"/>
  </cols>
  <sheetData>
    <row r="1" spans="1:22" s="20" customFormat="1" ht="36" customHeight="1">
      <c r="A1" s="18"/>
      <c r="B1" s="28" t="s">
        <v>212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9"/>
    </row>
    <row r="2" spans="1:22" s="20" customFormat="1" ht="31.5" customHeight="1">
      <c r="A2" s="18"/>
      <c r="B2" s="27" t="s">
        <v>210</v>
      </c>
      <c r="C2" s="53" t="s">
        <v>213</v>
      </c>
      <c r="D2" s="53"/>
      <c r="E2" s="53"/>
      <c r="F2" s="53"/>
      <c r="G2" s="53"/>
      <c r="H2" s="53"/>
      <c r="I2" s="29"/>
      <c r="J2" s="26"/>
      <c r="K2" s="24"/>
      <c r="L2" s="24"/>
      <c r="M2" s="24"/>
      <c r="N2" s="24"/>
      <c r="O2" s="24"/>
      <c r="P2" s="24"/>
      <c r="Q2" s="24"/>
      <c r="R2" s="24"/>
      <c r="S2" s="24"/>
      <c r="T2" s="24"/>
      <c r="U2" s="18"/>
      <c r="V2" s="19"/>
    </row>
    <row r="3" spans="1:22" s="20" customFormat="1" ht="15.75" customHeight="1">
      <c r="A3" s="18"/>
      <c r="B3" s="25" t="s">
        <v>126</v>
      </c>
      <c r="C3" s="53">
        <v>2024</v>
      </c>
      <c r="D3" s="53"/>
      <c r="E3" s="53"/>
      <c r="F3" s="53"/>
      <c r="G3" s="53"/>
      <c r="H3" s="53"/>
      <c r="I3" s="29"/>
      <c r="J3" s="24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9"/>
    </row>
    <row r="4" spans="1:22" s="20" customFormat="1" ht="15.75" customHeight="1">
      <c r="A4" s="18"/>
      <c r="B4" s="25" t="s">
        <v>7</v>
      </c>
      <c r="C4" s="54" t="s">
        <v>24</v>
      </c>
      <c r="D4" s="55"/>
      <c r="E4" s="55"/>
      <c r="F4" s="55"/>
      <c r="G4" s="55"/>
      <c r="H4" s="56"/>
      <c r="I4" s="29"/>
      <c r="J4" s="2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</row>
    <row r="5" spans="1:22" s="20" customFormat="1" ht="15.75" customHeight="1">
      <c r="A5" s="18"/>
      <c r="B5" s="25" t="s">
        <v>8</v>
      </c>
      <c r="C5" s="54" t="s">
        <v>99</v>
      </c>
      <c r="D5" s="55"/>
      <c r="E5" s="55"/>
      <c r="F5" s="55"/>
      <c r="G5" s="55"/>
      <c r="H5" s="56"/>
      <c r="I5" s="29"/>
      <c r="J5" s="2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9"/>
    </row>
    <row r="6" spans="1:22" s="20" customFormat="1" ht="15.75" customHeight="1">
      <c r="A6" s="18"/>
      <c r="B6" s="25" t="s">
        <v>5</v>
      </c>
      <c r="C6" s="54" t="s">
        <v>195</v>
      </c>
      <c r="D6" s="55"/>
      <c r="E6" s="55"/>
      <c r="F6" s="55"/>
      <c r="G6" s="55"/>
      <c r="H6" s="56"/>
      <c r="I6" s="29"/>
      <c r="J6" s="2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9"/>
    </row>
    <row r="7" spans="1:22" s="20" customForma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9"/>
    </row>
    <row r="8" spans="1:22" ht="15.75">
      <c r="B8" s="23" t="s">
        <v>125</v>
      </c>
      <c r="C8" s="22" t="s">
        <v>127</v>
      </c>
      <c r="D8" s="22" t="s">
        <v>12</v>
      </c>
      <c r="E8" s="22" t="s">
        <v>13</v>
      </c>
      <c r="F8" s="22" t="s">
        <v>11</v>
      </c>
      <c r="G8" s="22" t="s">
        <v>10</v>
      </c>
      <c r="R8" s="20"/>
    </row>
    <row r="9" spans="1:22" s="33" customFormat="1" ht="17.25" customHeight="1">
      <c r="B9" s="37" t="s">
        <v>128</v>
      </c>
      <c r="C9" s="30" t="s">
        <v>211</v>
      </c>
      <c r="D9" s="30"/>
      <c r="E9" s="30"/>
      <c r="F9" s="30"/>
      <c r="G9" s="30"/>
      <c r="R9" s="34"/>
      <c r="V9" s="35"/>
    </row>
    <row r="10" spans="1:22" s="33" customFormat="1" ht="15.75" customHeight="1">
      <c r="B10" s="37" t="s">
        <v>129</v>
      </c>
      <c r="C10" s="30" t="s">
        <v>211</v>
      </c>
      <c r="D10" s="21"/>
      <c r="E10" s="21"/>
      <c r="F10" s="21"/>
      <c r="G10" s="30"/>
      <c r="R10" s="34"/>
      <c r="V10" s="35"/>
    </row>
    <row r="11" spans="1:22" s="33" customFormat="1" ht="15.75" customHeight="1">
      <c r="B11" s="37" t="s">
        <v>132</v>
      </c>
      <c r="C11" s="30" t="s">
        <v>130</v>
      </c>
      <c r="D11" s="42"/>
      <c r="E11" s="30"/>
      <c r="F11" s="30"/>
      <c r="G11" s="30"/>
      <c r="R11" s="34"/>
      <c r="V11" s="35"/>
    </row>
    <row r="12" spans="1:22" ht="15" customHeight="1">
      <c r="B12" s="39" t="s">
        <v>133</v>
      </c>
      <c r="C12" s="21" t="s">
        <v>131</v>
      </c>
      <c r="D12" s="43"/>
      <c r="E12" s="30"/>
      <c r="F12" s="21"/>
      <c r="G12" s="21"/>
      <c r="R12" s="20"/>
    </row>
    <row r="13" spans="1:22" ht="15.75" customHeight="1">
      <c r="B13" s="39" t="s">
        <v>135</v>
      </c>
      <c r="C13" s="21" t="s">
        <v>134</v>
      </c>
      <c r="D13" s="30"/>
      <c r="E13" s="30"/>
      <c r="F13" s="30"/>
      <c r="G13" s="21"/>
      <c r="R13" s="20"/>
    </row>
    <row r="14" spans="1:22" ht="15.75">
      <c r="B14" s="38" t="s">
        <v>136</v>
      </c>
      <c r="C14" s="21" t="s">
        <v>134</v>
      </c>
      <c r="D14" s="21"/>
      <c r="E14" s="21"/>
      <c r="F14" s="21"/>
      <c r="G14" s="21"/>
      <c r="R14" s="20"/>
    </row>
    <row r="15" spans="1:22" s="33" customFormat="1">
      <c r="B15" s="45" t="s">
        <v>137</v>
      </c>
      <c r="C15" s="32" t="s">
        <v>138</v>
      </c>
      <c r="D15" s="32">
        <f>D16+D17+D18</f>
        <v>0</v>
      </c>
      <c r="E15" s="32">
        <f t="shared" ref="E15:G15" si="0">E16+E17+E18</f>
        <v>0</v>
      </c>
      <c r="F15" s="32">
        <f t="shared" si="0"/>
        <v>0</v>
      </c>
      <c r="G15" s="32">
        <f t="shared" si="0"/>
        <v>0</v>
      </c>
      <c r="R15" s="34"/>
      <c r="V15" s="35"/>
    </row>
    <row r="16" spans="1:22" ht="12" customHeight="1">
      <c r="B16" s="39" t="s">
        <v>139</v>
      </c>
      <c r="C16" s="30" t="s">
        <v>138</v>
      </c>
      <c r="D16" s="21"/>
      <c r="E16" s="21"/>
      <c r="F16" s="21"/>
      <c r="G16" s="21"/>
      <c r="R16" s="20"/>
    </row>
    <row r="17" spans="2:22" ht="17.25" customHeight="1">
      <c r="B17" s="39" t="s">
        <v>140</v>
      </c>
      <c r="C17" s="30" t="s">
        <v>138</v>
      </c>
      <c r="D17" s="30"/>
      <c r="E17" s="30"/>
      <c r="F17" s="30"/>
      <c r="G17" s="21"/>
      <c r="R17" s="20"/>
    </row>
    <row r="18" spans="2:22" ht="15.75" customHeight="1">
      <c r="B18" s="39" t="s">
        <v>141</v>
      </c>
      <c r="C18" s="30" t="s">
        <v>138</v>
      </c>
      <c r="D18" s="21"/>
      <c r="E18" s="21"/>
      <c r="F18" s="21"/>
      <c r="G18" s="21"/>
      <c r="R18" s="20"/>
    </row>
    <row r="19" spans="2:22" s="33" customFormat="1" ht="15.75" customHeight="1">
      <c r="B19" s="45" t="s">
        <v>142</v>
      </c>
      <c r="C19" s="32" t="s">
        <v>138</v>
      </c>
      <c r="D19" s="32">
        <f>D20+D21</f>
        <v>0</v>
      </c>
      <c r="E19" s="32">
        <f t="shared" ref="E19:G19" si="1">E20+E21</f>
        <v>0</v>
      </c>
      <c r="F19" s="32">
        <f t="shared" si="1"/>
        <v>0</v>
      </c>
      <c r="G19" s="32">
        <f t="shared" si="1"/>
        <v>0</v>
      </c>
      <c r="R19" s="34"/>
      <c r="V19" s="35"/>
    </row>
    <row r="20" spans="2:22">
      <c r="B20" s="39" t="s">
        <v>143</v>
      </c>
      <c r="C20" s="30" t="s">
        <v>138</v>
      </c>
      <c r="D20" s="21"/>
      <c r="E20" s="21"/>
      <c r="F20" s="21"/>
      <c r="G20" s="21"/>
      <c r="R20" s="20"/>
    </row>
    <row r="21" spans="2:22">
      <c r="B21" s="39" t="s">
        <v>144</v>
      </c>
      <c r="C21" s="30" t="s">
        <v>138</v>
      </c>
      <c r="D21" s="21"/>
      <c r="E21" s="21"/>
      <c r="F21" s="21"/>
      <c r="G21" s="21"/>
      <c r="R21" s="20"/>
    </row>
    <row r="22" spans="2:22" s="33" customFormat="1" ht="12" customHeight="1">
      <c r="B22" s="45" t="s">
        <v>145</v>
      </c>
      <c r="C22" s="32" t="s">
        <v>138</v>
      </c>
      <c r="D22" s="32">
        <f>D23+D24+D25</f>
        <v>0</v>
      </c>
      <c r="E22" s="32">
        <f t="shared" ref="E22:G22" si="2">E23+E24+E25</f>
        <v>0</v>
      </c>
      <c r="F22" s="32">
        <f t="shared" si="2"/>
        <v>0</v>
      </c>
      <c r="G22" s="32">
        <f t="shared" si="2"/>
        <v>0</v>
      </c>
      <c r="R22" s="34"/>
      <c r="V22" s="35"/>
    </row>
    <row r="23" spans="2:22" ht="15" customHeight="1">
      <c r="B23" s="39" t="s">
        <v>146</v>
      </c>
      <c r="C23" s="30" t="s">
        <v>138</v>
      </c>
      <c r="D23" s="30"/>
      <c r="E23" s="30"/>
      <c r="F23" s="30"/>
      <c r="G23" s="21"/>
      <c r="R23" s="20"/>
    </row>
    <row r="24" spans="2:22">
      <c r="B24" s="39" t="s">
        <v>147</v>
      </c>
      <c r="C24" s="30" t="s">
        <v>138</v>
      </c>
      <c r="D24" s="30"/>
      <c r="E24" s="30"/>
      <c r="F24" s="30"/>
      <c r="G24" s="21"/>
      <c r="R24" s="20"/>
    </row>
    <row r="25" spans="2:22">
      <c r="B25" s="39" t="s">
        <v>148</v>
      </c>
      <c r="C25" s="30" t="s">
        <v>138</v>
      </c>
      <c r="D25" s="21"/>
      <c r="E25" s="21"/>
      <c r="F25" s="21"/>
      <c r="G25" s="21"/>
    </row>
    <row r="26" spans="2:22" s="33" customFormat="1">
      <c r="B26" s="46" t="s">
        <v>149</v>
      </c>
      <c r="C26" s="32" t="s">
        <v>138</v>
      </c>
      <c r="D26" s="32">
        <f>D27+D28+D29+D30</f>
        <v>0</v>
      </c>
      <c r="E26" s="32">
        <f t="shared" ref="E26:G26" si="3">E27+E28+E29+E30</f>
        <v>0</v>
      </c>
      <c r="F26" s="32">
        <f t="shared" si="3"/>
        <v>0</v>
      </c>
      <c r="G26" s="32">
        <f t="shared" si="3"/>
        <v>0</v>
      </c>
      <c r="V26" s="35"/>
    </row>
    <row r="27" spans="2:22">
      <c r="B27" s="38" t="s">
        <v>150</v>
      </c>
      <c r="C27" s="30" t="s">
        <v>138</v>
      </c>
      <c r="D27" s="30"/>
      <c r="E27" s="30"/>
      <c r="F27" s="30"/>
      <c r="G27" s="21"/>
    </row>
    <row r="28" spans="2:22">
      <c r="B28" s="38" t="s">
        <v>151</v>
      </c>
      <c r="C28" s="30" t="s">
        <v>138</v>
      </c>
      <c r="D28" s="30"/>
      <c r="E28" s="30"/>
      <c r="F28" s="30"/>
      <c r="G28" s="21"/>
    </row>
    <row r="29" spans="2:22">
      <c r="B29" s="38" t="s">
        <v>152</v>
      </c>
      <c r="C29" s="30" t="s">
        <v>138</v>
      </c>
      <c r="D29" s="30"/>
      <c r="E29" s="30"/>
      <c r="F29" s="30"/>
      <c r="G29" s="21"/>
    </row>
    <row r="30" spans="2:22">
      <c r="B30" s="38" t="s">
        <v>153</v>
      </c>
      <c r="C30" s="30" t="s">
        <v>138</v>
      </c>
      <c r="D30" s="30"/>
      <c r="E30" s="30"/>
      <c r="F30" s="30"/>
      <c r="G30" s="21"/>
    </row>
    <row r="31" spans="2:22">
      <c r="B31" s="38" t="s">
        <v>154</v>
      </c>
      <c r="C31" s="30" t="s">
        <v>138</v>
      </c>
      <c r="D31" s="30"/>
      <c r="E31" s="30"/>
      <c r="F31" s="30"/>
      <c r="G31" s="21"/>
    </row>
    <row r="32" spans="2:22" s="33" customFormat="1">
      <c r="B32" s="36" t="s">
        <v>155</v>
      </c>
      <c r="C32" s="30" t="s">
        <v>138</v>
      </c>
      <c r="D32" s="30"/>
      <c r="E32" s="30"/>
      <c r="F32" s="30"/>
      <c r="G32" s="30"/>
      <c r="V32" s="35"/>
    </row>
    <row r="33" spans="2:22" s="33" customFormat="1" hidden="1">
      <c r="B33" s="30"/>
      <c r="C33" s="30" t="s">
        <v>138</v>
      </c>
      <c r="D33" s="30"/>
      <c r="E33" s="30"/>
      <c r="F33" s="30"/>
      <c r="G33" s="30"/>
      <c r="V33" s="35"/>
    </row>
    <row r="34" spans="2:22" s="33" customFormat="1" hidden="1">
      <c r="B34" s="30"/>
      <c r="C34" s="30" t="s">
        <v>138</v>
      </c>
      <c r="D34" s="30"/>
      <c r="E34" s="30"/>
      <c r="F34" s="30"/>
      <c r="G34" s="30"/>
      <c r="V34" s="35"/>
    </row>
    <row r="35" spans="2:22">
      <c r="B35" s="38" t="s">
        <v>156</v>
      </c>
      <c r="C35" s="30" t="s">
        <v>138</v>
      </c>
      <c r="D35" s="30"/>
      <c r="E35" s="30"/>
      <c r="F35" s="30"/>
      <c r="G35" s="21"/>
    </row>
    <row r="36" spans="2:22" s="40" customFormat="1">
      <c r="B36" s="46" t="s">
        <v>157</v>
      </c>
      <c r="C36" s="32" t="s">
        <v>138</v>
      </c>
      <c r="D36" s="32">
        <f>D37+D38+D39+D40</f>
        <v>0</v>
      </c>
      <c r="E36" s="32">
        <f t="shared" ref="E36:G36" si="4">E37+E38+E39+E40</f>
        <v>0</v>
      </c>
      <c r="F36" s="32">
        <f t="shared" si="4"/>
        <v>0</v>
      </c>
      <c r="G36" s="32">
        <f t="shared" si="4"/>
        <v>0</v>
      </c>
      <c r="V36" s="41"/>
    </row>
    <row r="37" spans="2:22" s="33" customFormat="1">
      <c r="B37" s="36" t="s">
        <v>158</v>
      </c>
      <c r="C37" s="30" t="s">
        <v>138</v>
      </c>
      <c r="D37" s="30"/>
      <c r="E37" s="30"/>
      <c r="F37" s="30"/>
      <c r="G37" s="30"/>
      <c r="V37" s="35"/>
    </row>
    <row r="38" spans="2:22" s="33" customFormat="1">
      <c r="B38" s="36" t="s">
        <v>159</v>
      </c>
      <c r="C38" s="30" t="s">
        <v>138</v>
      </c>
      <c r="D38" s="30"/>
      <c r="E38" s="30"/>
      <c r="F38" s="30"/>
      <c r="G38" s="30"/>
      <c r="V38" s="35"/>
    </row>
    <row r="39" spans="2:22" s="33" customFormat="1">
      <c r="B39" s="36" t="s">
        <v>160</v>
      </c>
      <c r="C39" s="30" t="s">
        <v>138</v>
      </c>
      <c r="D39" s="30"/>
      <c r="E39" s="30"/>
      <c r="F39" s="30"/>
      <c r="G39" s="30"/>
      <c r="V39" s="35"/>
    </row>
    <row r="40" spans="2:22" s="33" customFormat="1">
      <c r="B40" s="36" t="s">
        <v>14</v>
      </c>
      <c r="C40" s="30" t="s">
        <v>138</v>
      </c>
      <c r="D40" s="30"/>
      <c r="E40" s="30"/>
      <c r="F40" s="30"/>
      <c r="G40" s="30"/>
      <c r="V40" s="35"/>
    </row>
    <row r="41" spans="2:22">
      <c r="B41" s="38" t="s">
        <v>161</v>
      </c>
      <c r="C41" s="30" t="s">
        <v>138</v>
      </c>
      <c r="D41" s="30"/>
      <c r="E41" s="30"/>
      <c r="F41" s="30"/>
      <c r="G41" s="21"/>
    </row>
    <row r="42" spans="2:22">
      <c r="B42" s="38" t="s">
        <v>162</v>
      </c>
      <c r="C42" s="30" t="s">
        <v>138</v>
      </c>
      <c r="D42" s="30"/>
      <c r="E42" s="30"/>
      <c r="F42" s="30"/>
      <c r="G42" s="21"/>
    </row>
    <row r="43" spans="2:22">
      <c r="B43" s="38" t="s">
        <v>163</v>
      </c>
      <c r="C43" s="30" t="s">
        <v>138</v>
      </c>
      <c r="D43" s="21"/>
      <c r="E43" s="21"/>
      <c r="F43" s="21"/>
      <c r="G43" s="21"/>
    </row>
    <row r="44" spans="2:22">
      <c r="B44" s="38" t="s">
        <v>164</v>
      </c>
      <c r="C44" s="30" t="s">
        <v>138</v>
      </c>
      <c r="D44" s="21"/>
      <c r="E44" s="21"/>
      <c r="F44" s="21"/>
      <c r="G44" s="21"/>
    </row>
    <row r="45" spans="2:22">
      <c r="B45" s="38" t="s">
        <v>165</v>
      </c>
      <c r="C45" s="30" t="s">
        <v>138</v>
      </c>
      <c r="D45" s="21"/>
      <c r="E45" s="21"/>
      <c r="F45" s="21"/>
      <c r="G45" s="21"/>
    </row>
    <row r="46" spans="2:22">
      <c r="B46" s="38" t="s">
        <v>166</v>
      </c>
      <c r="C46" s="30" t="s">
        <v>138</v>
      </c>
      <c r="D46" s="21"/>
      <c r="E46" s="21"/>
      <c r="F46" s="21"/>
      <c r="G46" s="21"/>
    </row>
    <row r="47" spans="2:22" s="33" customFormat="1">
      <c r="B47" s="46" t="s">
        <v>167</v>
      </c>
      <c r="C47" s="32" t="s">
        <v>138</v>
      </c>
      <c r="D47" s="32">
        <f>D48+D49+D50</f>
        <v>0</v>
      </c>
      <c r="E47" s="32">
        <f t="shared" ref="E47:G47" si="5">E48+E49+E50</f>
        <v>0</v>
      </c>
      <c r="F47" s="32">
        <f t="shared" si="5"/>
        <v>0</v>
      </c>
      <c r="G47" s="32">
        <f t="shared" si="5"/>
        <v>0</v>
      </c>
      <c r="V47" s="35"/>
    </row>
    <row r="48" spans="2:22">
      <c r="B48" s="38" t="s">
        <v>168</v>
      </c>
      <c r="C48" s="30" t="s">
        <v>138</v>
      </c>
      <c r="D48" s="30"/>
      <c r="E48" s="30"/>
      <c r="F48" s="30"/>
      <c r="G48" s="21"/>
    </row>
    <row r="49" spans="2:7">
      <c r="B49" s="38" t="s">
        <v>169</v>
      </c>
      <c r="C49" s="30" t="s">
        <v>138</v>
      </c>
      <c r="D49" s="30"/>
      <c r="E49" s="30"/>
      <c r="F49" s="30"/>
      <c r="G49" s="21"/>
    </row>
    <row r="50" spans="2:7">
      <c r="B50" s="38" t="s">
        <v>170</v>
      </c>
      <c r="C50" s="30" t="s">
        <v>138</v>
      </c>
      <c r="D50" s="30"/>
      <c r="E50" s="30"/>
      <c r="F50" s="30"/>
      <c r="G50" s="21"/>
    </row>
    <row r="51" spans="2:7">
      <c r="B51" s="38" t="s">
        <v>171</v>
      </c>
      <c r="C51" s="30" t="s">
        <v>138</v>
      </c>
      <c r="D51" s="21"/>
      <c r="E51" s="21"/>
      <c r="F51" s="21"/>
      <c r="G51" s="21"/>
    </row>
    <row r="52" spans="2:7">
      <c r="B52" s="46" t="s">
        <v>172</v>
      </c>
      <c r="C52" s="32" t="s">
        <v>138</v>
      </c>
      <c r="D52" s="32">
        <f>D53+D54+D55+D56+D57+D58+D59+D60+D61+D62+D63+D64</f>
        <v>0</v>
      </c>
      <c r="E52" s="32">
        <f t="shared" ref="E52:G52" si="6">E53+E54+E55+E56+E57+E58+E59+E60+E61+E62+E63+E64</f>
        <v>0</v>
      </c>
      <c r="F52" s="32">
        <f t="shared" si="6"/>
        <v>0</v>
      </c>
      <c r="G52" s="32">
        <f t="shared" si="6"/>
        <v>0</v>
      </c>
    </row>
    <row r="53" spans="2:7">
      <c r="B53" s="38" t="s">
        <v>173</v>
      </c>
      <c r="C53" s="30" t="s">
        <v>138</v>
      </c>
      <c r="D53" s="30"/>
      <c r="E53" s="30"/>
      <c r="F53" s="30"/>
      <c r="G53" s="21"/>
    </row>
    <row r="54" spans="2:7">
      <c r="B54" s="38" t="s">
        <v>174</v>
      </c>
      <c r="C54" s="30" t="s">
        <v>138</v>
      </c>
      <c r="D54" s="30"/>
      <c r="E54" s="30"/>
      <c r="F54" s="30"/>
      <c r="G54" s="21"/>
    </row>
    <row r="55" spans="2:7">
      <c r="B55" s="38" t="s">
        <v>175</v>
      </c>
      <c r="C55" s="30" t="s">
        <v>138</v>
      </c>
      <c r="D55" s="30"/>
      <c r="E55" s="30"/>
      <c r="F55" s="30"/>
      <c r="G55" s="21"/>
    </row>
    <row r="56" spans="2:7">
      <c r="B56" s="38" t="s">
        <v>176</v>
      </c>
      <c r="C56" s="30" t="s">
        <v>138</v>
      </c>
      <c r="D56" s="30"/>
      <c r="E56" s="30"/>
      <c r="F56" s="30"/>
      <c r="G56" s="21"/>
    </row>
    <row r="57" spans="2:7">
      <c r="B57" s="38" t="s">
        <v>177</v>
      </c>
      <c r="C57" s="30" t="s">
        <v>138</v>
      </c>
      <c r="D57" s="30"/>
      <c r="E57" s="30"/>
      <c r="F57" s="30"/>
      <c r="G57" s="21"/>
    </row>
    <row r="58" spans="2:7">
      <c r="B58" s="38" t="s">
        <v>178</v>
      </c>
      <c r="C58" s="30" t="s">
        <v>138</v>
      </c>
      <c r="D58" s="30"/>
      <c r="E58" s="30"/>
      <c r="F58" s="30"/>
      <c r="G58" s="21"/>
    </row>
    <row r="59" spans="2:7">
      <c r="B59" s="38" t="s">
        <v>179</v>
      </c>
      <c r="C59" s="30" t="s">
        <v>138</v>
      </c>
      <c r="D59" s="30"/>
      <c r="E59" s="30"/>
      <c r="F59" s="30"/>
      <c r="G59" s="21"/>
    </row>
    <row r="60" spans="2:7">
      <c r="B60" s="38" t="s">
        <v>180</v>
      </c>
      <c r="C60" s="30" t="s">
        <v>138</v>
      </c>
      <c r="D60" s="30"/>
      <c r="E60" s="30"/>
      <c r="F60" s="30"/>
      <c r="G60" s="21"/>
    </row>
    <row r="61" spans="2:7">
      <c r="B61" s="38" t="s">
        <v>181</v>
      </c>
      <c r="C61" s="30" t="s">
        <v>138</v>
      </c>
      <c r="D61" s="30"/>
      <c r="E61" s="30"/>
      <c r="F61" s="30"/>
      <c r="G61" s="21"/>
    </row>
    <row r="62" spans="2:7">
      <c r="B62" s="38" t="s">
        <v>182</v>
      </c>
      <c r="C62" s="30" t="s">
        <v>138</v>
      </c>
      <c r="D62" s="30"/>
      <c r="E62" s="30"/>
      <c r="F62" s="30"/>
      <c r="G62" s="21"/>
    </row>
    <row r="63" spans="2:7">
      <c r="B63" s="38" t="s">
        <v>183</v>
      </c>
      <c r="C63" s="30" t="s">
        <v>138</v>
      </c>
      <c r="D63" s="30"/>
      <c r="E63" s="30"/>
      <c r="F63" s="30"/>
      <c r="G63" s="21"/>
    </row>
    <row r="64" spans="2:7">
      <c r="B64" s="38" t="s">
        <v>184</v>
      </c>
      <c r="C64" s="30" t="s">
        <v>138</v>
      </c>
      <c r="D64" s="30"/>
      <c r="E64" s="30"/>
      <c r="F64" s="30"/>
      <c r="G64" s="21"/>
    </row>
    <row r="65" spans="2:7">
      <c r="B65" s="38" t="s">
        <v>185</v>
      </c>
      <c r="C65" s="30" t="s">
        <v>138</v>
      </c>
      <c r="D65" s="30"/>
      <c r="E65" s="30"/>
      <c r="F65" s="30"/>
      <c r="G65" s="21"/>
    </row>
    <row r="66" spans="2:7">
      <c r="B66" s="38" t="s">
        <v>186</v>
      </c>
      <c r="C66" s="30" t="s">
        <v>138</v>
      </c>
      <c r="D66" s="30"/>
      <c r="E66" s="30"/>
      <c r="F66" s="30"/>
      <c r="G66" s="21"/>
    </row>
    <row r="67" spans="2:7">
      <c r="B67" s="50" t="s">
        <v>226</v>
      </c>
      <c r="C67" s="32" t="s">
        <v>138</v>
      </c>
      <c r="D67" s="32">
        <f>D15+D19+D22+D26+D31+D32+D35+D36+D41+D42+D43+D44+D45+D46+D47+D51+D52+D65+D66</f>
        <v>0</v>
      </c>
      <c r="E67" s="32">
        <f t="shared" ref="E67:G67" si="7">E15+E19+E22+E26+E31+E32+E35+E36+E41+E42+E43+E44+E45+E46+E47+E51+E52+E65+E66</f>
        <v>0</v>
      </c>
      <c r="F67" s="32">
        <f t="shared" si="7"/>
        <v>0</v>
      </c>
      <c r="G67" s="32">
        <f t="shared" si="7"/>
        <v>0</v>
      </c>
    </row>
  </sheetData>
  <mergeCells count="5">
    <mergeCell ref="C2:H2"/>
    <mergeCell ref="C3:H3"/>
    <mergeCell ref="C4:H4"/>
    <mergeCell ref="C5:H5"/>
    <mergeCell ref="C6:H6"/>
  </mergeCells>
  <pageMargins left="0.7" right="0.7" top="0.75" bottom="0.75" header="0.511811023622047" footer="0.511811023622047"/>
  <pageSetup paperSize="9" scale="34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Справочники!#REF!</xm:f>
          </x14:formula1>
          <x14:formula2>
            <xm:f>0</xm:f>
          </x14:formula2>
          <xm:sqref>J3:J6</xm:sqref>
        </x14:dataValidation>
        <x14:dataValidation type="list" allowBlank="1" showInputMessage="1" showErrorMessage="1" xr:uid="{00000000-0002-0000-0100-000001000000}">
          <x14:formula1>
            <xm:f>Справочники!$A$3:$A$34</xm:f>
          </x14:formula1>
          <xm:sqref>C3:H3</xm:sqref>
        </x14:dataValidation>
        <x14:dataValidation type="list" allowBlank="1" showInputMessage="1" showErrorMessage="1" xr:uid="{00000000-0002-0000-0100-000002000000}">
          <x14:formula1>
            <xm:f>Справочники!$B$3:$B$21</xm:f>
          </x14:formula1>
          <xm:sqref>C4:H4</xm:sqref>
        </x14:dataValidation>
        <x14:dataValidation type="list" allowBlank="1" showInputMessage="1" showErrorMessage="1" xr:uid="{00000000-0002-0000-0100-000004000000}">
          <x14:formula1>
            <xm:f>Справочники!$C$3:$C$90</xm:f>
          </x14:formula1>
          <xm:sqref>C5:H5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showGridLines="0" zoomScaleNormal="100" workbookViewId="0">
      <selection activeCell="F2" sqref="F2"/>
    </sheetView>
  </sheetViews>
  <sheetFormatPr defaultColWidth="12.42578125" defaultRowHeight="12.75"/>
  <cols>
    <col min="1" max="1" width="3" style="18" customWidth="1"/>
    <col min="2" max="2" width="86" style="18" customWidth="1"/>
    <col min="3" max="3" width="24.140625" style="18" customWidth="1"/>
    <col min="4" max="5" width="24.85546875" style="18" customWidth="1"/>
    <col min="6" max="6" width="24.140625" style="18" customWidth="1"/>
    <col min="7" max="16384" width="12.42578125" style="18"/>
  </cols>
  <sheetData>
    <row r="1" spans="1:6" s="20" customFormat="1">
      <c r="A1" s="18"/>
      <c r="B1" s="18"/>
      <c r="C1" s="18"/>
      <c r="D1" s="18"/>
      <c r="E1" s="18"/>
    </row>
    <row r="2" spans="1:6" s="20" customFormat="1" ht="115.5" customHeight="1">
      <c r="A2" s="18"/>
      <c r="B2" s="23" t="s">
        <v>122</v>
      </c>
      <c r="C2" s="22" t="s">
        <v>120</v>
      </c>
      <c r="D2" s="22" t="s">
        <v>121</v>
      </c>
      <c r="E2" s="22" t="s">
        <v>237</v>
      </c>
      <c r="F2" s="22" t="s">
        <v>218</v>
      </c>
    </row>
    <row r="3" spans="1:6" s="20" customFormat="1">
      <c r="B3" s="21" t="s">
        <v>214</v>
      </c>
      <c r="C3" s="21">
        <v>1230</v>
      </c>
      <c r="D3" s="21">
        <v>560</v>
      </c>
      <c r="E3" s="30">
        <v>1</v>
      </c>
      <c r="F3" s="30">
        <v>6.2</v>
      </c>
    </row>
    <row r="4" spans="1:6">
      <c r="B4" s="21" t="s">
        <v>123</v>
      </c>
      <c r="C4" s="21">
        <v>5487</v>
      </c>
      <c r="D4" s="21">
        <v>230</v>
      </c>
      <c r="E4" s="30">
        <v>1</v>
      </c>
      <c r="F4" s="30">
        <v>7.3</v>
      </c>
    </row>
    <row r="5" spans="1:6">
      <c r="B5" s="21"/>
      <c r="C5" s="21"/>
      <c r="D5" s="21"/>
      <c r="E5" s="21"/>
      <c r="F5" s="31"/>
    </row>
    <row r="6" spans="1:6">
      <c r="B6" s="21"/>
      <c r="C6" s="21"/>
      <c r="D6" s="21"/>
      <c r="E6" s="21"/>
      <c r="F6" s="31"/>
    </row>
    <row r="7" spans="1:6">
      <c r="B7" s="21"/>
      <c r="C7" s="21"/>
      <c r="D7" s="21"/>
      <c r="E7" s="21"/>
      <c r="F7" s="31"/>
    </row>
    <row r="8" spans="1:6">
      <c r="B8" s="21"/>
      <c r="C8" s="21"/>
      <c r="D8" s="21"/>
      <c r="E8" s="21"/>
      <c r="F8" s="31"/>
    </row>
    <row r="9" spans="1:6">
      <c r="B9" s="21"/>
      <c r="C9" s="21"/>
      <c r="D9" s="21"/>
      <c r="E9" s="21"/>
      <c r="F9" s="31"/>
    </row>
    <row r="10" spans="1:6">
      <c r="B10" s="21"/>
      <c r="C10" s="21"/>
      <c r="D10" s="21"/>
      <c r="E10" s="21"/>
      <c r="F10" s="31"/>
    </row>
    <row r="11" spans="1:6">
      <c r="B11" s="21"/>
      <c r="C11" s="21"/>
      <c r="D11" s="21"/>
      <c r="E11" s="21"/>
      <c r="F11" s="31"/>
    </row>
    <row r="12" spans="1:6">
      <c r="B12" s="21"/>
      <c r="C12" s="21"/>
      <c r="D12" s="21"/>
      <c r="E12" s="21"/>
      <c r="F12" s="31"/>
    </row>
    <row r="13" spans="1:6">
      <c r="B13" s="21"/>
      <c r="C13" s="21"/>
      <c r="D13" s="21"/>
      <c r="E13" s="21"/>
      <c r="F13" s="31"/>
    </row>
    <row r="14" spans="1:6">
      <c r="B14" s="21"/>
      <c r="C14" s="21"/>
      <c r="D14" s="21"/>
      <c r="E14" s="21"/>
      <c r="F14" s="31"/>
    </row>
    <row r="15" spans="1:6">
      <c r="B15" s="21"/>
      <c r="C15" s="21"/>
      <c r="D15" s="21"/>
      <c r="E15" s="21"/>
      <c r="F15" s="31"/>
    </row>
    <row r="16" spans="1:6">
      <c r="B16" s="21"/>
      <c r="C16" s="21"/>
      <c r="D16" s="21"/>
      <c r="E16" s="21"/>
      <c r="F16" s="31"/>
    </row>
    <row r="17" spans="2:6">
      <c r="B17" s="21"/>
      <c r="C17" s="21"/>
      <c r="D17" s="21"/>
      <c r="E17" s="21"/>
      <c r="F17" s="31"/>
    </row>
    <row r="18" spans="2:6">
      <c r="B18" s="21"/>
      <c r="C18" s="21"/>
      <c r="D18" s="21"/>
      <c r="E18" s="21"/>
      <c r="F18" s="31"/>
    </row>
    <row r="19" spans="2:6">
      <c r="B19" s="21"/>
      <c r="C19" s="21"/>
      <c r="D19" s="21"/>
      <c r="E19" s="21"/>
      <c r="F19" s="31"/>
    </row>
    <row r="20" spans="2:6">
      <c r="B20" s="21"/>
      <c r="C20" s="21"/>
      <c r="D20" s="21"/>
      <c r="E20" s="21"/>
      <c r="F20" s="31"/>
    </row>
    <row r="21" spans="2:6">
      <c r="B21" s="21"/>
      <c r="C21" s="21"/>
      <c r="D21" s="21"/>
      <c r="E21" s="21"/>
      <c r="F21" s="31"/>
    </row>
    <row r="22" spans="2:6">
      <c r="B22" s="21"/>
      <c r="C22" s="21"/>
      <c r="D22" s="21"/>
      <c r="E22" s="21"/>
      <c r="F22" s="31"/>
    </row>
    <row r="23" spans="2:6">
      <c r="B23" s="21"/>
      <c r="C23" s="21"/>
      <c r="D23" s="21"/>
      <c r="E23" s="21"/>
      <c r="F23" s="31"/>
    </row>
    <row r="24" spans="2:6">
      <c r="B24" s="21"/>
      <c r="C24" s="21"/>
      <c r="D24" s="21"/>
      <c r="E24" s="21"/>
      <c r="F24" s="31"/>
    </row>
    <row r="25" spans="2:6">
      <c r="B25" s="21"/>
      <c r="C25" s="21"/>
      <c r="D25" s="21"/>
      <c r="E25" s="21"/>
      <c r="F25" s="31"/>
    </row>
    <row r="26" spans="2:6">
      <c r="B26" s="21"/>
      <c r="C26" s="21"/>
      <c r="D26" s="21"/>
      <c r="E26" s="21"/>
      <c r="F26" s="31"/>
    </row>
    <row r="27" spans="2:6">
      <c r="B27" s="21"/>
      <c r="C27" s="21"/>
      <c r="D27" s="21"/>
      <c r="E27" s="21"/>
      <c r="F27" s="31"/>
    </row>
    <row r="28" spans="2:6">
      <c r="B28" s="21"/>
      <c r="C28" s="21"/>
      <c r="D28" s="21"/>
      <c r="E28" s="21"/>
      <c r="F28" s="31"/>
    </row>
    <row r="29" spans="2:6">
      <c r="B29" s="21"/>
      <c r="C29" s="21"/>
      <c r="D29" s="21"/>
      <c r="E29" s="21"/>
      <c r="F29" s="31"/>
    </row>
    <row r="30" spans="2:6">
      <c r="B30" s="21"/>
      <c r="C30" s="21"/>
      <c r="D30" s="21"/>
      <c r="E30" s="21"/>
      <c r="F30" s="31"/>
    </row>
    <row r="31" spans="2:6">
      <c r="B31" s="21"/>
      <c r="C31" s="21"/>
      <c r="D31" s="21"/>
      <c r="E31" s="21"/>
      <c r="F31" s="31"/>
    </row>
    <row r="32" spans="2:6">
      <c r="B32" s="21"/>
      <c r="C32" s="21"/>
      <c r="D32" s="21"/>
      <c r="E32" s="21"/>
      <c r="F32" s="31"/>
    </row>
    <row r="33" spans="2:6">
      <c r="B33" s="21"/>
      <c r="C33" s="21"/>
      <c r="D33" s="21"/>
      <c r="E33" s="21"/>
      <c r="F33" s="31"/>
    </row>
    <row r="34" spans="2:6">
      <c r="B34" s="21"/>
      <c r="C34" s="21"/>
      <c r="D34" s="21"/>
      <c r="E34" s="21"/>
      <c r="F34" s="31"/>
    </row>
    <row r="35" spans="2:6">
      <c r="B35" s="21"/>
      <c r="C35" s="21"/>
      <c r="D35" s="21"/>
      <c r="E35" s="21"/>
      <c r="F35" s="31"/>
    </row>
    <row r="36" spans="2:6">
      <c r="B36" s="21"/>
      <c r="C36" s="21"/>
      <c r="D36" s="21"/>
      <c r="E36" s="21"/>
      <c r="F36" s="31"/>
    </row>
    <row r="37" spans="2:6">
      <c r="B37" s="21"/>
      <c r="C37" s="21"/>
      <c r="D37" s="21"/>
      <c r="E37" s="21"/>
      <c r="F37" s="31"/>
    </row>
    <row r="38" spans="2:6">
      <c r="B38" s="21"/>
      <c r="C38" s="21"/>
      <c r="D38" s="21"/>
      <c r="E38" s="21"/>
      <c r="F38" s="31"/>
    </row>
    <row r="39" spans="2:6">
      <c r="B39" s="21"/>
      <c r="C39" s="21"/>
      <c r="D39" s="21"/>
      <c r="E39" s="21"/>
      <c r="F39" s="31"/>
    </row>
    <row r="40" spans="2:6">
      <c r="B40" s="21"/>
      <c r="C40" s="21"/>
      <c r="D40" s="21"/>
      <c r="E40" s="21"/>
      <c r="F40" s="31"/>
    </row>
    <row r="41" spans="2:6">
      <c r="B41" s="21"/>
      <c r="C41" s="21"/>
      <c r="D41" s="21"/>
      <c r="E41" s="21"/>
      <c r="F41" s="31"/>
    </row>
    <row r="42" spans="2:6">
      <c r="B42" s="21"/>
      <c r="C42" s="21"/>
      <c r="D42" s="21"/>
      <c r="E42" s="21"/>
      <c r="F42" s="31"/>
    </row>
    <row r="43" spans="2:6">
      <c r="B43" s="21"/>
      <c r="C43" s="21"/>
      <c r="D43" s="21"/>
      <c r="E43" s="21"/>
      <c r="F43" s="31"/>
    </row>
    <row r="44" spans="2:6">
      <c r="B44" s="21"/>
      <c r="C44" s="21"/>
      <c r="D44" s="21"/>
      <c r="E44" s="21"/>
      <c r="F44" s="31"/>
    </row>
    <row r="45" spans="2:6">
      <c r="B45" s="21"/>
      <c r="C45" s="21"/>
      <c r="D45" s="21"/>
      <c r="E45" s="21"/>
      <c r="F45" s="31"/>
    </row>
    <row r="46" spans="2:6">
      <c r="B46" s="21"/>
      <c r="C46" s="21"/>
      <c r="D46" s="21"/>
      <c r="E46" s="21"/>
      <c r="F46" s="31"/>
    </row>
    <row r="47" spans="2:6">
      <c r="B47" s="21"/>
      <c r="C47" s="21"/>
      <c r="D47" s="21"/>
      <c r="E47" s="21"/>
      <c r="F47" s="31"/>
    </row>
    <row r="48" spans="2:6">
      <c r="B48" s="21"/>
      <c r="C48" s="21"/>
      <c r="D48" s="21"/>
      <c r="E48" s="21"/>
      <c r="F48" s="31"/>
    </row>
    <row r="49" spans="2:6">
      <c r="B49" s="21"/>
      <c r="C49" s="21"/>
      <c r="D49" s="21"/>
      <c r="E49" s="21"/>
      <c r="F49" s="31"/>
    </row>
    <row r="50" spans="2:6">
      <c r="B50" s="21"/>
      <c r="C50" s="21"/>
      <c r="D50" s="21"/>
      <c r="E50" s="21"/>
      <c r="F50" s="31"/>
    </row>
    <row r="51" spans="2:6">
      <c r="B51" s="21"/>
      <c r="C51" s="21"/>
      <c r="D51" s="21"/>
      <c r="E51" s="21"/>
      <c r="F51" s="31"/>
    </row>
    <row r="52" spans="2:6">
      <c r="B52" s="21"/>
      <c r="C52" s="21"/>
      <c r="D52" s="21"/>
      <c r="E52" s="21"/>
      <c r="F52" s="31"/>
    </row>
    <row r="53" spans="2:6">
      <c r="B53" s="21"/>
      <c r="C53" s="21"/>
      <c r="D53" s="21"/>
      <c r="E53" s="21"/>
      <c r="F53" s="31"/>
    </row>
    <row r="54" spans="2:6">
      <c r="B54" s="21"/>
      <c r="C54" s="21"/>
      <c r="D54" s="21"/>
      <c r="E54" s="21"/>
      <c r="F54" s="31"/>
    </row>
  </sheetData>
  <pageMargins left="0.7" right="0.7" top="0.75" bottom="0.75" header="0.511811023622047" footer="0.511811023622047"/>
  <pageSetup paperSize="9" scale="34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Справочники!$F$3:$F$15</xm:f>
          </x14:formula1>
          <xm:sqref>B3:B54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1"/>
  <sheetViews>
    <sheetView workbookViewId="0">
      <selection activeCell="B14" sqref="B14"/>
    </sheetView>
  </sheetViews>
  <sheetFormatPr defaultRowHeight="12.75"/>
  <cols>
    <col min="2" max="2" width="45.7109375" customWidth="1"/>
    <col min="3" max="3" width="17.28515625" customWidth="1"/>
    <col min="4" max="4" width="28" customWidth="1"/>
    <col min="5" max="5" width="28.140625" customWidth="1"/>
    <col min="6" max="6" width="27.85546875" customWidth="1"/>
    <col min="7" max="7" width="28.140625" customWidth="1"/>
  </cols>
  <sheetData>
    <row r="1" spans="2:8">
      <c r="B1" s="18"/>
      <c r="C1" s="18"/>
      <c r="D1" s="18"/>
      <c r="E1" s="18"/>
      <c r="F1" s="18"/>
      <c r="G1" s="18"/>
      <c r="H1" s="18"/>
    </row>
    <row r="2" spans="2:8" ht="15.75">
      <c r="B2" s="23" t="s">
        <v>125</v>
      </c>
      <c r="C2" s="22" t="s">
        <v>127</v>
      </c>
      <c r="D2" s="22" t="s">
        <v>12</v>
      </c>
      <c r="E2" s="22" t="s">
        <v>13</v>
      </c>
      <c r="F2" s="22" t="s">
        <v>11</v>
      </c>
      <c r="G2" s="22" t="s">
        <v>10</v>
      </c>
      <c r="H2" s="18"/>
    </row>
    <row r="3" spans="2:8">
      <c r="B3" s="39" t="s">
        <v>231</v>
      </c>
      <c r="C3" s="48"/>
      <c r="D3" s="21"/>
      <c r="E3" s="21"/>
      <c r="F3" s="21"/>
      <c r="G3" s="21"/>
    </row>
    <row r="4" spans="2:8" ht="15.75">
      <c r="B4" s="39" t="s">
        <v>247</v>
      </c>
      <c r="C4" s="21" t="s">
        <v>244</v>
      </c>
      <c r="D4" s="21"/>
      <c r="E4" s="21"/>
      <c r="F4" s="21">
        <v>3.4</v>
      </c>
      <c r="G4" s="21"/>
    </row>
    <row r="5" spans="2:8">
      <c r="B5" s="39" t="s">
        <v>248</v>
      </c>
      <c r="C5" s="21" t="s">
        <v>246</v>
      </c>
      <c r="D5" s="21"/>
      <c r="E5" s="21"/>
      <c r="F5" s="21"/>
      <c r="G5" s="21"/>
    </row>
    <row r="6" spans="2:8">
      <c r="B6" s="39" t="s">
        <v>249</v>
      </c>
      <c r="C6" s="21" t="s">
        <v>230</v>
      </c>
      <c r="D6" s="21"/>
      <c r="E6" s="21"/>
      <c r="F6" s="21"/>
      <c r="G6" s="21"/>
    </row>
    <row r="7" spans="2:8">
      <c r="B7" s="39" t="s">
        <v>232</v>
      </c>
      <c r="C7" s="21" t="s">
        <v>238</v>
      </c>
      <c r="D7" s="21"/>
      <c r="E7" s="21"/>
      <c r="F7" s="21"/>
      <c r="G7" s="21"/>
    </row>
    <row r="8" spans="2:8">
      <c r="B8" s="39" t="s">
        <v>233</v>
      </c>
      <c r="C8" s="21" t="s">
        <v>238</v>
      </c>
      <c r="D8" s="21"/>
      <c r="E8" s="21"/>
      <c r="F8" s="21"/>
      <c r="G8" s="21"/>
    </row>
    <row r="9" spans="2:8">
      <c r="B9" s="39" t="s">
        <v>234</v>
      </c>
      <c r="C9" s="21" t="s">
        <v>238</v>
      </c>
      <c r="D9" s="21"/>
      <c r="E9" s="21"/>
      <c r="F9" s="21"/>
      <c r="G9" s="21"/>
    </row>
    <row r="10" spans="2:8" ht="15.75">
      <c r="B10" s="39" t="s">
        <v>235</v>
      </c>
      <c r="C10" s="21" t="s">
        <v>244</v>
      </c>
      <c r="D10" s="21"/>
      <c r="E10" s="21"/>
      <c r="F10" s="21"/>
      <c r="G10" s="21"/>
    </row>
    <row r="11" spans="2:8" ht="15.75">
      <c r="B11" s="39" t="s">
        <v>236</v>
      </c>
      <c r="C11" s="21" t="s">
        <v>244</v>
      </c>
      <c r="D11" s="21"/>
      <c r="E11" s="21"/>
      <c r="F11" s="21"/>
      <c r="G11" s="2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0"/>
  <sheetViews>
    <sheetView workbookViewId="0">
      <selection activeCell="B24" sqref="B24"/>
    </sheetView>
  </sheetViews>
  <sheetFormatPr defaultRowHeight="12.75"/>
  <cols>
    <col min="2" max="2" width="63.85546875" customWidth="1"/>
    <col min="3" max="3" width="18.140625" customWidth="1"/>
    <col min="4" max="4" width="26.85546875" customWidth="1"/>
    <col min="5" max="6" width="27.140625" customWidth="1"/>
    <col min="7" max="7" width="27" customWidth="1"/>
  </cols>
  <sheetData>
    <row r="1" spans="2:8">
      <c r="B1" s="18"/>
      <c r="C1" s="18"/>
      <c r="D1" s="18"/>
      <c r="E1" s="18"/>
      <c r="F1" s="18"/>
      <c r="G1" s="18"/>
      <c r="H1" s="18"/>
    </row>
    <row r="2" spans="2:8" ht="15.75">
      <c r="B2" s="23" t="s">
        <v>125</v>
      </c>
      <c r="C2" s="22" t="s">
        <v>127</v>
      </c>
      <c r="D2" s="22" t="s">
        <v>12</v>
      </c>
      <c r="E2" s="22" t="s">
        <v>13</v>
      </c>
      <c r="F2" s="22" t="s">
        <v>11</v>
      </c>
      <c r="G2" s="22" t="s">
        <v>10</v>
      </c>
      <c r="H2" s="18"/>
    </row>
    <row r="3" spans="2:8" ht="15.75">
      <c r="B3" s="47" t="s">
        <v>243</v>
      </c>
      <c r="C3" s="48"/>
      <c r="D3" s="49"/>
      <c r="E3" s="49"/>
      <c r="F3" s="49"/>
      <c r="G3" s="49"/>
      <c r="H3" s="49"/>
    </row>
    <row r="4" spans="2:8" ht="15.75">
      <c r="B4" s="47" t="s">
        <v>219</v>
      </c>
      <c r="C4" s="21" t="s">
        <v>245</v>
      </c>
      <c r="D4" s="49"/>
      <c r="E4" s="49"/>
      <c r="F4" s="49"/>
      <c r="G4" s="49"/>
    </row>
    <row r="5" spans="2:8" ht="15.75">
      <c r="B5" s="47" t="s">
        <v>220</v>
      </c>
      <c r="C5" s="21" t="s">
        <v>245</v>
      </c>
      <c r="D5" s="49"/>
      <c r="E5" s="49"/>
      <c r="F5" s="49"/>
      <c r="G5" s="49"/>
    </row>
    <row r="6" spans="2:8" ht="15.75">
      <c r="B6" s="47" t="s">
        <v>221</v>
      </c>
      <c r="C6" s="21" t="s">
        <v>228</v>
      </c>
      <c r="D6" s="49">
        <v>2</v>
      </c>
      <c r="E6" s="49"/>
      <c r="F6" s="49"/>
      <c r="G6" s="49"/>
    </row>
    <row r="7" spans="2:8" ht="15.75">
      <c r="B7" s="47" t="s">
        <v>222</v>
      </c>
      <c r="C7" s="21" t="s">
        <v>229</v>
      </c>
      <c r="D7" s="49">
        <f>D5/D6</f>
        <v>0</v>
      </c>
      <c r="E7" s="49"/>
      <c r="F7" s="49"/>
      <c r="G7" s="49"/>
    </row>
    <row r="8" spans="2:8" ht="15.75">
      <c r="B8" s="47" t="s">
        <v>223</v>
      </c>
      <c r="C8" s="51" t="s">
        <v>227</v>
      </c>
      <c r="D8" s="49"/>
      <c r="E8" s="49"/>
      <c r="F8" s="49"/>
      <c r="G8" s="49"/>
    </row>
    <row r="9" spans="2:8" ht="15.75">
      <c r="B9" s="47" t="s">
        <v>224</v>
      </c>
      <c r="C9" s="51" t="s">
        <v>227</v>
      </c>
      <c r="D9" s="49"/>
      <c r="E9" s="49"/>
      <c r="F9" s="49"/>
      <c r="G9" s="49"/>
    </row>
    <row r="10" spans="2:8" ht="15.75">
      <c r="B10" s="47" t="s">
        <v>225</v>
      </c>
      <c r="C10" s="51" t="s">
        <v>227</v>
      </c>
      <c r="D10" s="49"/>
      <c r="E10" s="49"/>
      <c r="F10" s="49"/>
      <c r="G10" s="4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7"/>
  <sheetViews>
    <sheetView zoomScale="75" zoomScaleNormal="75" workbookViewId="0">
      <selection activeCell="F56" sqref="F56"/>
    </sheetView>
  </sheetViews>
  <sheetFormatPr defaultColWidth="12.42578125" defaultRowHeight="12.75"/>
  <cols>
    <col min="1" max="1" width="9" style="4" customWidth="1"/>
    <col min="2" max="2" width="49.42578125" style="4" customWidth="1"/>
    <col min="3" max="3" width="49.140625" style="4" customWidth="1"/>
    <col min="4" max="4" width="61.42578125" style="4" customWidth="1"/>
    <col min="5" max="5" width="26" style="5" customWidth="1"/>
    <col min="6" max="6" width="45.28515625" customWidth="1"/>
    <col min="7" max="16336" width="12.42578125" style="4"/>
    <col min="16337" max="16384" width="11.5703125" style="4" customWidth="1"/>
  </cols>
  <sheetData>
    <row r="1" spans="1:8">
      <c r="A1" s="6"/>
      <c r="B1" s="6"/>
      <c r="C1" s="6"/>
    </row>
    <row r="2" spans="1:8" ht="18">
      <c r="A2" s="7" t="s">
        <v>6</v>
      </c>
      <c r="B2" s="7" t="s">
        <v>7</v>
      </c>
      <c r="C2" s="7" t="s">
        <v>8</v>
      </c>
      <c r="D2" s="7" t="s">
        <v>5</v>
      </c>
      <c r="E2" s="8" t="s">
        <v>9</v>
      </c>
      <c r="F2" s="8" t="s">
        <v>122</v>
      </c>
      <c r="G2"/>
      <c r="H2"/>
    </row>
    <row r="3" spans="1:8">
      <c r="A3" s="6">
        <v>2024</v>
      </c>
      <c r="B3" s="6" t="s">
        <v>26</v>
      </c>
      <c r="C3" s="6" t="s">
        <v>29</v>
      </c>
      <c r="D3" s="44" t="s">
        <v>187</v>
      </c>
      <c r="E3" s="5" t="s">
        <v>12</v>
      </c>
      <c r="F3" s="5" t="s">
        <v>214</v>
      </c>
      <c r="G3"/>
      <c r="H3"/>
    </row>
    <row r="4" spans="1:8">
      <c r="A4" s="6">
        <v>2025</v>
      </c>
      <c r="B4" s="6" t="s">
        <v>24</v>
      </c>
      <c r="C4" s="6" t="s">
        <v>30</v>
      </c>
      <c r="D4" s="44" t="s">
        <v>188</v>
      </c>
      <c r="E4" s="5" t="s">
        <v>13</v>
      </c>
      <c r="F4" s="5" t="s">
        <v>215</v>
      </c>
      <c r="H4"/>
    </row>
    <row r="5" spans="1:8">
      <c r="A5" s="6">
        <v>2026</v>
      </c>
      <c r="B5" s="6" t="s">
        <v>20</v>
      </c>
      <c r="C5" s="6" t="s">
        <v>31</v>
      </c>
      <c r="D5" s="44" t="s">
        <v>189</v>
      </c>
      <c r="E5" s="5" t="s">
        <v>10</v>
      </c>
      <c r="F5" s="5" t="s">
        <v>123</v>
      </c>
    </row>
    <row r="6" spans="1:8">
      <c r="A6" s="6">
        <v>2027</v>
      </c>
      <c r="B6" s="6" t="s">
        <v>21</v>
      </c>
      <c r="C6" s="6" t="s">
        <v>32</v>
      </c>
      <c r="D6" s="44" t="s">
        <v>202</v>
      </c>
      <c r="E6" s="5" t="s">
        <v>11</v>
      </c>
      <c r="F6" s="5" t="s">
        <v>124</v>
      </c>
    </row>
    <row r="7" spans="1:8">
      <c r="A7" s="6">
        <v>2028</v>
      </c>
      <c r="B7" s="6" t="s">
        <v>22</v>
      </c>
      <c r="C7" s="6" t="s">
        <v>33</v>
      </c>
      <c r="D7" s="44" t="s">
        <v>190</v>
      </c>
      <c r="F7" s="5" t="s">
        <v>216</v>
      </c>
    </row>
    <row r="8" spans="1:8">
      <c r="A8" s="6">
        <v>2029</v>
      </c>
      <c r="B8" s="6" t="s">
        <v>18</v>
      </c>
      <c r="C8" s="6" t="s">
        <v>34</v>
      </c>
      <c r="D8" s="44" t="s">
        <v>191</v>
      </c>
      <c r="F8" s="5" t="s">
        <v>217</v>
      </c>
    </row>
    <row r="9" spans="1:8">
      <c r="A9" s="6">
        <v>2030</v>
      </c>
      <c r="B9" s="6" t="s">
        <v>16</v>
      </c>
      <c r="C9" s="6" t="s">
        <v>35</v>
      </c>
      <c r="D9" s="44" t="s">
        <v>192</v>
      </c>
    </row>
    <row r="10" spans="1:8">
      <c r="A10" s="6">
        <v>2031</v>
      </c>
      <c r="B10" s="6" t="s">
        <v>15</v>
      </c>
      <c r="C10" s="6" t="s">
        <v>36</v>
      </c>
      <c r="D10" s="44" t="s">
        <v>193</v>
      </c>
    </row>
    <row r="11" spans="1:8">
      <c r="A11" s="6">
        <v>2032</v>
      </c>
      <c r="B11" s="6" t="s">
        <v>239</v>
      </c>
      <c r="C11" s="6" t="s">
        <v>37</v>
      </c>
      <c r="D11" s="44" t="s">
        <v>203</v>
      </c>
      <c r="E11" s="9"/>
    </row>
    <row r="12" spans="1:8">
      <c r="A12" s="6">
        <v>2033</v>
      </c>
      <c r="B12" s="6" t="s">
        <v>240</v>
      </c>
      <c r="C12" s="6" t="s">
        <v>38</v>
      </c>
      <c r="D12" s="44" t="s">
        <v>194</v>
      </c>
      <c r="E12" s="9"/>
    </row>
    <row r="13" spans="1:8">
      <c r="A13" s="6">
        <v>2034</v>
      </c>
      <c r="B13" s="6" t="s">
        <v>23</v>
      </c>
      <c r="C13" s="6" t="s">
        <v>39</v>
      </c>
      <c r="D13" s="44" t="s">
        <v>195</v>
      </c>
      <c r="E13" s="4"/>
      <c r="F13" s="5"/>
    </row>
    <row r="14" spans="1:8">
      <c r="A14" s="6">
        <v>2035</v>
      </c>
      <c r="B14" s="6" t="s">
        <v>28</v>
      </c>
      <c r="C14" s="6" t="s">
        <v>40</v>
      </c>
      <c r="D14" s="44" t="s">
        <v>196</v>
      </c>
      <c r="E14" s="4"/>
      <c r="F14" s="5"/>
    </row>
    <row r="15" spans="1:8">
      <c r="A15" s="6">
        <v>2036</v>
      </c>
      <c r="B15" s="6" t="s">
        <v>241</v>
      </c>
      <c r="C15" s="6" t="s">
        <v>41</v>
      </c>
      <c r="D15" s="44" t="s">
        <v>197</v>
      </c>
      <c r="E15" s="4"/>
      <c r="F15" s="5"/>
    </row>
    <row r="16" spans="1:8">
      <c r="A16" s="6">
        <v>2037</v>
      </c>
      <c r="B16" s="6" t="s">
        <v>17</v>
      </c>
      <c r="C16" s="6" t="s">
        <v>42</v>
      </c>
      <c r="D16" s="44" t="s">
        <v>198</v>
      </c>
      <c r="E16" s="4"/>
    </row>
    <row r="17" spans="1:5">
      <c r="A17" s="6">
        <v>2038</v>
      </c>
      <c r="B17" s="6" t="s">
        <v>27</v>
      </c>
      <c r="C17" s="6" t="s">
        <v>43</v>
      </c>
      <c r="D17" s="44" t="s">
        <v>204</v>
      </c>
      <c r="E17" s="4"/>
    </row>
    <row r="18" spans="1:5">
      <c r="A18" s="6">
        <v>2039</v>
      </c>
      <c r="B18" s="6" t="s">
        <v>25</v>
      </c>
      <c r="C18" s="6" t="s">
        <v>44</v>
      </c>
      <c r="D18" s="44" t="s">
        <v>199</v>
      </c>
      <c r="E18" s="4"/>
    </row>
    <row r="19" spans="1:5">
      <c r="A19" s="6">
        <v>2040</v>
      </c>
      <c r="B19" s="6" t="s">
        <v>19</v>
      </c>
      <c r="C19" s="6" t="s">
        <v>45</v>
      </c>
      <c r="D19" s="44" t="s">
        <v>205</v>
      </c>
      <c r="E19" s="4"/>
    </row>
    <row r="20" spans="1:5">
      <c r="A20" s="6">
        <v>2041</v>
      </c>
      <c r="B20" s="6" t="s">
        <v>111</v>
      </c>
      <c r="C20" s="6" t="s">
        <v>46</v>
      </c>
      <c r="D20" s="44" t="s">
        <v>206</v>
      </c>
      <c r="E20" s="4"/>
    </row>
    <row r="21" spans="1:5">
      <c r="A21" s="6">
        <v>2042</v>
      </c>
      <c r="B21" s="6" t="s">
        <v>112</v>
      </c>
      <c r="C21" s="6" t="s">
        <v>47</v>
      </c>
      <c r="D21" s="44" t="s">
        <v>200</v>
      </c>
      <c r="E21" s="4"/>
    </row>
    <row r="22" spans="1:5">
      <c r="A22" s="6">
        <v>2043</v>
      </c>
      <c r="B22" s="6" t="s">
        <v>113</v>
      </c>
      <c r="C22" s="6" t="s">
        <v>48</v>
      </c>
      <c r="D22" s="44" t="s">
        <v>207</v>
      </c>
      <c r="E22" s="4"/>
    </row>
    <row r="23" spans="1:5">
      <c r="A23" s="6">
        <v>2044</v>
      </c>
      <c r="B23" s="6"/>
      <c r="C23" s="6" t="s">
        <v>49</v>
      </c>
      <c r="D23" s="44" t="s">
        <v>208</v>
      </c>
      <c r="E23" s="4"/>
    </row>
    <row r="24" spans="1:5">
      <c r="A24" s="6">
        <v>2045</v>
      </c>
      <c r="B24" s="6"/>
      <c r="C24" s="6" t="s">
        <v>50</v>
      </c>
      <c r="D24" s="44" t="s">
        <v>209</v>
      </c>
      <c r="E24" s="4"/>
    </row>
    <row r="25" spans="1:5">
      <c r="A25" s="6">
        <v>2046</v>
      </c>
      <c r="B25" s="6"/>
      <c r="C25" s="6" t="s">
        <v>51</v>
      </c>
      <c r="D25" s="44" t="s">
        <v>201</v>
      </c>
      <c r="E25" s="4"/>
    </row>
    <row r="26" spans="1:5">
      <c r="A26" s="6">
        <v>2047</v>
      </c>
      <c r="B26" s="6"/>
      <c r="C26" s="6" t="s">
        <v>117</v>
      </c>
      <c r="D26" s="4" t="s">
        <v>242</v>
      </c>
      <c r="E26" s="4"/>
    </row>
    <row r="27" spans="1:5">
      <c r="A27" s="6">
        <v>2048</v>
      </c>
      <c r="B27" s="6"/>
      <c r="C27" s="6" t="s">
        <v>52</v>
      </c>
      <c r="E27" s="4"/>
    </row>
    <row r="28" spans="1:5">
      <c r="A28" s="6">
        <v>2049</v>
      </c>
      <c r="B28" s="6"/>
      <c r="C28" s="6" t="s">
        <v>53</v>
      </c>
      <c r="E28" s="4"/>
    </row>
    <row r="29" spans="1:5">
      <c r="A29" s="6">
        <v>2050</v>
      </c>
      <c r="B29" s="6"/>
      <c r="C29" s="6" t="s">
        <v>54</v>
      </c>
      <c r="E29" s="4"/>
    </row>
    <row r="30" spans="1:5">
      <c r="A30" s="6">
        <v>2051</v>
      </c>
      <c r="B30" s="6"/>
      <c r="C30" s="6" t="s">
        <v>114</v>
      </c>
      <c r="E30" s="4"/>
    </row>
    <row r="31" spans="1:5">
      <c r="A31" s="6">
        <v>2052</v>
      </c>
      <c r="B31" s="6"/>
      <c r="C31" s="6" t="s">
        <v>55</v>
      </c>
      <c r="E31" s="4"/>
    </row>
    <row r="32" spans="1:5">
      <c r="A32" s="6">
        <v>2053</v>
      </c>
      <c r="B32" s="6"/>
      <c r="C32" s="6" t="s">
        <v>56</v>
      </c>
      <c r="E32" s="4"/>
    </row>
    <row r="33" spans="1:5">
      <c r="A33" s="6">
        <v>2054</v>
      </c>
      <c r="B33" s="6"/>
      <c r="C33" s="6" t="s">
        <v>57</v>
      </c>
      <c r="E33" s="4"/>
    </row>
    <row r="34" spans="1:5">
      <c r="A34" s="6">
        <v>2055</v>
      </c>
      <c r="B34" s="6"/>
      <c r="C34" s="6" t="s">
        <v>58</v>
      </c>
      <c r="E34" s="4"/>
    </row>
    <row r="35" spans="1:5">
      <c r="C35" s="6" t="s">
        <v>59</v>
      </c>
      <c r="E35" s="4"/>
    </row>
    <row r="36" spans="1:5">
      <c r="C36" s="6" t="s">
        <v>60</v>
      </c>
      <c r="E36"/>
    </row>
    <row r="37" spans="1:5">
      <c r="C37" s="4" t="s">
        <v>61</v>
      </c>
      <c r="E37"/>
    </row>
    <row r="38" spans="1:5">
      <c r="C38" s="4" t="s">
        <v>62</v>
      </c>
      <c r="E38"/>
    </row>
    <row r="39" spans="1:5">
      <c r="C39" s="4" t="s">
        <v>63</v>
      </c>
      <c r="E39"/>
    </row>
    <row r="40" spans="1:5">
      <c r="C40" s="4" t="s">
        <v>64</v>
      </c>
      <c r="E40"/>
    </row>
    <row r="41" spans="1:5">
      <c r="C41" s="4" t="s">
        <v>65</v>
      </c>
      <c r="E41"/>
    </row>
    <row r="42" spans="1:5">
      <c r="C42" s="4" t="s">
        <v>66</v>
      </c>
      <c r="E42"/>
    </row>
    <row r="43" spans="1:5">
      <c r="C43" s="4" t="s">
        <v>67</v>
      </c>
      <c r="E43"/>
    </row>
    <row r="44" spans="1:5">
      <c r="C44" s="4" t="s">
        <v>68</v>
      </c>
      <c r="E44"/>
    </row>
    <row r="45" spans="1:5">
      <c r="C45" s="4" t="s">
        <v>69</v>
      </c>
      <c r="E45"/>
    </row>
    <row r="46" spans="1:5">
      <c r="C46" s="4" t="s">
        <v>118</v>
      </c>
      <c r="E46"/>
    </row>
    <row r="47" spans="1:5">
      <c r="C47" s="4" t="s">
        <v>70</v>
      </c>
      <c r="E47"/>
    </row>
    <row r="48" spans="1:5">
      <c r="C48" s="4" t="s">
        <v>71</v>
      </c>
      <c r="E48"/>
    </row>
    <row r="49" spans="3:5">
      <c r="C49" s="4" t="s">
        <v>72</v>
      </c>
      <c r="E49"/>
    </row>
    <row r="50" spans="3:5">
      <c r="C50" s="4" t="s">
        <v>73</v>
      </c>
      <c r="E50"/>
    </row>
    <row r="51" spans="3:5">
      <c r="C51" s="4" t="s">
        <v>74</v>
      </c>
      <c r="E51"/>
    </row>
    <row r="52" spans="3:5">
      <c r="C52" s="4" t="s">
        <v>75</v>
      </c>
      <c r="E52"/>
    </row>
    <row r="53" spans="3:5">
      <c r="C53" s="4" t="s">
        <v>76</v>
      </c>
      <c r="E53"/>
    </row>
    <row r="54" spans="3:5">
      <c r="C54" s="4" t="s">
        <v>77</v>
      </c>
      <c r="E54"/>
    </row>
    <row r="55" spans="3:5">
      <c r="C55" s="4" t="s">
        <v>78</v>
      </c>
      <c r="E55"/>
    </row>
    <row r="56" spans="3:5">
      <c r="C56" s="4" t="s">
        <v>79</v>
      </c>
      <c r="E56"/>
    </row>
    <row r="57" spans="3:5">
      <c r="C57" s="4" t="s">
        <v>80</v>
      </c>
      <c r="E57"/>
    </row>
    <row r="58" spans="3:5">
      <c r="C58" s="4" t="s">
        <v>81</v>
      </c>
      <c r="E58"/>
    </row>
    <row r="59" spans="3:5">
      <c r="C59" s="4" t="s">
        <v>82</v>
      </c>
      <c r="E59"/>
    </row>
    <row r="60" spans="3:5">
      <c r="C60" s="4" t="s">
        <v>83</v>
      </c>
      <c r="E60"/>
    </row>
    <row r="61" spans="3:5">
      <c r="C61" s="4" t="s">
        <v>84</v>
      </c>
      <c r="E61"/>
    </row>
    <row r="62" spans="3:5">
      <c r="C62" s="4" t="s">
        <v>85</v>
      </c>
      <c r="E62"/>
    </row>
    <row r="63" spans="3:5">
      <c r="C63" s="4" t="s">
        <v>86</v>
      </c>
      <c r="E63"/>
    </row>
    <row r="64" spans="3:5">
      <c r="C64" s="4" t="s">
        <v>87</v>
      </c>
      <c r="E64"/>
    </row>
    <row r="65" spans="3:5">
      <c r="C65" s="4" t="s">
        <v>88</v>
      </c>
      <c r="E65"/>
    </row>
    <row r="66" spans="3:5">
      <c r="C66" s="4" t="s">
        <v>115</v>
      </c>
      <c r="E66"/>
    </row>
    <row r="67" spans="3:5">
      <c r="C67" s="4" t="s">
        <v>89</v>
      </c>
      <c r="E67"/>
    </row>
    <row r="68" spans="3:5">
      <c r="C68" s="4" t="s">
        <v>90</v>
      </c>
      <c r="E68"/>
    </row>
    <row r="69" spans="3:5">
      <c r="C69" s="4" t="s">
        <v>91</v>
      </c>
      <c r="E69"/>
    </row>
    <row r="70" spans="3:5">
      <c r="C70" s="4" t="s">
        <v>119</v>
      </c>
      <c r="E70"/>
    </row>
    <row r="71" spans="3:5">
      <c r="C71" s="4" t="s">
        <v>92</v>
      </c>
      <c r="E71"/>
    </row>
    <row r="72" spans="3:5">
      <c r="C72" s="4" t="s">
        <v>93</v>
      </c>
      <c r="E72"/>
    </row>
    <row r="73" spans="3:5">
      <c r="C73" s="4" t="s">
        <v>94</v>
      </c>
      <c r="E73"/>
    </row>
    <row r="74" spans="3:5">
      <c r="C74" s="4" t="s">
        <v>95</v>
      </c>
      <c r="E74"/>
    </row>
    <row r="75" spans="3:5">
      <c r="C75" s="4" t="s">
        <v>116</v>
      </c>
      <c r="E75"/>
    </row>
    <row r="76" spans="3:5">
      <c r="C76" s="4" t="s">
        <v>96</v>
      </c>
    </row>
    <row r="77" spans="3:5">
      <c r="C77" s="4" t="s">
        <v>97</v>
      </c>
    </row>
    <row r="78" spans="3:5">
      <c r="C78" s="4" t="s">
        <v>98</v>
      </c>
    </row>
    <row r="79" spans="3:5">
      <c r="C79" s="4" t="s">
        <v>99</v>
      </c>
    </row>
    <row r="80" spans="3:5">
      <c r="C80" s="4" t="s">
        <v>100</v>
      </c>
    </row>
    <row r="81" spans="3:5">
      <c r="C81" s="4" t="s">
        <v>101</v>
      </c>
      <c r="E81"/>
    </row>
    <row r="82" spans="3:5">
      <c r="C82" s="4" t="s">
        <v>102</v>
      </c>
      <c r="E82"/>
    </row>
    <row r="83" spans="3:5">
      <c r="C83" s="4" t="s">
        <v>103</v>
      </c>
      <c r="E83"/>
    </row>
    <row r="84" spans="3:5">
      <c r="C84" s="4" t="s">
        <v>104</v>
      </c>
      <c r="E84"/>
    </row>
    <row r="85" spans="3:5">
      <c r="C85" s="4" t="s">
        <v>105</v>
      </c>
    </row>
    <row r="86" spans="3:5">
      <c r="C86" s="4" t="s">
        <v>106</v>
      </c>
    </row>
    <row r="87" spans="3:5">
      <c r="C87" s="4" t="s">
        <v>107</v>
      </c>
      <c r="E87"/>
    </row>
    <row r="88" spans="3:5">
      <c r="C88" s="4" t="s">
        <v>108</v>
      </c>
      <c r="E88"/>
    </row>
    <row r="89" spans="3:5">
      <c r="C89" s="4" t="s">
        <v>109</v>
      </c>
      <c r="E89"/>
    </row>
    <row r="90" spans="3:5">
      <c r="C90" s="4" t="s">
        <v>110</v>
      </c>
      <c r="E90"/>
    </row>
    <row r="91" spans="3:5">
      <c r="E91"/>
    </row>
    <row r="92" spans="3:5">
      <c r="E92"/>
    </row>
    <row r="93" spans="3:5">
      <c r="E93"/>
    </row>
    <row r="94" spans="3:5">
      <c r="E94"/>
    </row>
    <row r="95" spans="3:5">
      <c r="E95"/>
    </row>
    <row r="96" spans="3:5">
      <c r="E96"/>
    </row>
    <row r="97" spans="5:5">
      <c r="E97"/>
    </row>
    <row r="98" spans="5:5">
      <c r="E98"/>
    </row>
    <row r="99" spans="5:5">
      <c r="E99"/>
    </row>
    <row r="100" spans="5:5">
      <c r="E100"/>
    </row>
    <row r="101" spans="5:5">
      <c r="E101"/>
    </row>
    <row r="102" spans="5:5">
      <c r="E102"/>
    </row>
    <row r="103" spans="5:5">
      <c r="E103"/>
    </row>
    <row r="104" spans="5:5">
      <c r="E104"/>
    </row>
    <row r="105" spans="5:5">
      <c r="E105"/>
    </row>
    <row r="106" spans="5:5">
      <c r="E106"/>
    </row>
    <row r="107" spans="5:5">
      <c r="E107"/>
    </row>
    <row r="108" spans="5:5">
      <c r="E108"/>
    </row>
    <row r="109" spans="5:5">
      <c r="E109"/>
    </row>
    <row r="110" spans="5:5">
      <c r="E110"/>
    </row>
    <row r="111" spans="5:5">
      <c r="E111"/>
    </row>
    <row r="112" spans="5:5">
      <c r="E112"/>
    </row>
    <row r="113" spans="5:5">
      <c r="E113"/>
    </row>
    <row r="114" spans="5:5">
      <c r="E114"/>
    </row>
    <row r="115" spans="5:5">
      <c r="E115"/>
    </row>
    <row r="132" spans="5:5">
      <c r="E132"/>
    </row>
    <row r="133" spans="5:5">
      <c r="E133"/>
    </row>
    <row r="134" spans="5:5">
      <c r="E134"/>
    </row>
    <row r="135" spans="5:5">
      <c r="E135"/>
    </row>
    <row r="136" spans="5:5">
      <c r="E136"/>
    </row>
    <row r="137" spans="5:5">
      <c r="E137"/>
    </row>
    <row r="138" spans="5:5">
      <c r="E138"/>
    </row>
    <row r="139" spans="5:5">
      <c r="E139"/>
    </row>
    <row r="140" spans="5:5">
      <c r="E140"/>
    </row>
    <row r="141" spans="5:5">
      <c r="E141"/>
    </row>
    <row r="142" spans="5:5">
      <c r="E142"/>
    </row>
    <row r="143" spans="5:5">
      <c r="E143"/>
    </row>
    <row r="144" spans="5:5">
      <c r="E144"/>
    </row>
    <row r="145" spans="5:5">
      <c r="E145"/>
    </row>
    <row r="146" spans="5:5">
      <c r="E146"/>
    </row>
    <row r="147" spans="5:5">
      <c r="E147"/>
    </row>
    <row r="148" spans="5:5">
      <c r="E148"/>
    </row>
    <row r="149" spans="5:5">
      <c r="E149"/>
    </row>
    <row r="150" spans="5:5">
      <c r="E150"/>
    </row>
    <row r="151" spans="5:5">
      <c r="E151"/>
    </row>
    <row r="152" spans="5:5">
      <c r="E152"/>
    </row>
    <row r="153" spans="5:5">
      <c r="E153"/>
    </row>
    <row r="154" spans="5:5">
      <c r="E154"/>
    </row>
    <row r="155" spans="5:5">
      <c r="E155"/>
    </row>
    <row r="156" spans="5:5">
      <c r="E156"/>
    </row>
    <row r="157" spans="5:5">
      <c r="E157"/>
    </row>
    <row r="158" spans="5:5">
      <c r="E158"/>
    </row>
    <row r="159" spans="5:5">
      <c r="E159"/>
    </row>
    <row r="160" spans="5:5">
      <c r="E160"/>
    </row>
    <row r="161" spans="5:5">
      <c r="E161"/>
    </row>
    <row r="162" spans="5:5">
      <c r="E162"/>
    </row>
    <row r="163" spans="5:5">
      <c r="E163"/>
    </row>
    <row r="164" spans="5:5">
      <c r="E164"/>
    </row>
    <row r="165" spans="5:5">
      <c r="E165"/>
    </row>
    <row r="166" spans="5:5">
      <c r="E166"/>
    </row>
    <row r="167" spans="5:5">
      <c r="E167"/>
    </row>
    <row r="168" spans="5:5">
      <c r="E168"/>
    </row>
    <row r="169" spans="5:5">
      <c r="E169"/>
    </row>
    <row r="170" spans="5:5">
      <c r="E170"/>
    </row>
    <row r="171" spans="5:5">
      <c r="E171"/>
    </row>
    <row r="172" spans="5:5">
      <c r="E172"/>
    </row>
    <row r="173" spans="5:5">
      <c r="E173"/>
    </row>
    <row r="174" spans="5:5">
      <c r="E174"/>
    </row>
    <row r="175" spans="5:5">
      <c r="E175"/>
    </row>
    <row r="176" spans="5:5">
      <c r="E176"/>
    </row>
    <row r="177" spans="5:5">
      <c r="E177"/>
    </row>
    <row r="178" spans="5:5">
      <c r="E178"/>
    </row>
    <row r="179" spans="5:5">
      <c r="E179"/>
    </row>
    <row r="180" spans="5:5">
      <c r="E180"/>
    </row>
    <row r="181" spans="5:5">
      <c r="E181"/>
    </row>
    <row r="182" spans="5:5">
      <c r="E182"/>
    </row>
    <row r="183" spans="5:5">
      <c r="E183"/>
    </row>
    <row r="184" spans="5:5">
      <c r="E184"/>
    </row>
    <row r="185" spans="5:5">
      <c r="E185"/>
    </row>
    <row r="186" spans="5:5">
      <c r="E186"/>
    </row>
    <row r="187" spans="5:5">
      <c r="E187"/>
    </row>
    <row r="188" spans="5:5">
      <c r="E188" s="4"/>
    </row>
    <row r="189" spans="5:5">
      <c r="E189" s="9"/>
    </row>
    <row r="190" spans="5:5">
      <c r="E190"/>
    </row>
    <row r="191" spans="5:5">
      <c r="E191"/>
    </row>
    <row r="192" spans="5:5">
      <c r="E192"/>
    </row>
    <row r="193" spans="5:5">
      <c r="E193"/>
    </row>
    <row r="194" spans="5:5">
      <c r="E194"/>
    </row>
    <row r="195" spans="5:5">
      <c r="E195"/>
    </row>
    <row r="196" spans="5:5">
      <c r="E196"/>
    </row>
    <row r="197" spans="5:5">
      <c r="E197"/>
    </row>
    <row r="198" spans="5:5">
      <c r="E198"/>
    </row>
    <row r="199" spans="5:5">
      <c r="E199"/>
    </row>
    <row r="200" spans="5:5">
      <c r="E200"/>
    </row>
    <row r="201" spans="5:5">
      <c r="E201"/>
    </row>
    <row r="202" spans="5:5">
      <c r="E202"/>
    </row>
    <row r="203" spans="5:5">
      <c r="E203"/>
    </row>
    <row r="204" spans="5:5">
      <c r="E204"/>
    </row>
    <row r="205" spans="5:5">
      <c r="E205"/>
    </row>
    <row r="206" spans="5:5">
      <c r="E206"/>
    </row>
    <row r="207" spans="5:5">
      <c r="E207"/>
    </row>
  </sheetData>
  <conditionalFormatting sqref="E4:E10">
    <cfRule type="cellIs" dxfId="5" priority="20" operator="lessThan">
      <formula>0</formula>
    </cfRule>
  </conditionalFormatting>
  <conditionalFormatting sqref="E110:E137 E139:E145">
    <cfRule type="cellIs" dxfId="4" priority="2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Z28:AG50"/>
  <sheetViews>
    <sheetView zoomScale="75" zoomScaleNormal="75" workbookViewId="0">
      <selection activeCell="C12" sqref="C12"/>
    </sheetView>
  </sheetViews>
  <sheetFormatPr defaultColWidth="12.42578125" defaultRowHeight="12.75"/>
  <cols>
    <col min="1" max="1" width="3" customWidth="1"/>
    <col min="2" max="2" width="29.42578125" customWidth="1"/>
    <col min="3" max="3" width="33.42578125" customWidth="1"/>
    <col min="4" max="4" width="13.7109375" customWidth="1"/>
    <col min="29" max="29" width="38.42578125" customWidth="1"/>
    <col min="33" max="33" width="36.28515625" customWidth="1"/>
  </cols>
  <sheetData>
    <row r="28" spans="26:33" ht="15.75" customHeight="1">
      <c r="Z28" s="5"/>
      <c r="AC28" s="10"/>
      <c r="AE28" s="11"/>
      <c r="AG28" s="12"/>
    </row>
    <row r="29" spans="26:33" ht="15.75" customHeight="1">
      <c r="Z29" s="13"/>
      <c r="AA29" s="5"/>
      <c r="AC29" s="14"/>
      <c r="AE29" s="15"/>
      <c r="AG29" s="12"/>
    </row>
    <row r="30" spans="26:33" ht="15.75" customHeight="1">
      <c r="AA30" s="5"/>
      <c r="AC30" s="14"/>
      <c r="AE30" s="15"/>
      <c r="AG30" s="12"/>
    </row>
    <row r="31" spans="26:33" ht="15.75" customHeight="1">
      <c r="AA31" s="5"/>
      <c r="AC31" s="14"/>
      <c r="AE31" s="15"/>
      <c r="AG31" s="12"/>
    </row>
    <row r="32" spans="26:33" ht="15.75" customHeight="1">
      <c r="AA32" s="5"/>
      <c r="AC32" s="14"/>
      <c r="AE32" s="15"/>
      <c r="AG32" s="12"/>
    </row>
    <row r="33" spans="27:33" ht="15.75" customHeight="1">
      <c r="AA33" s="5"/>
      <c r="AC33" s="14"/>
      <c r="AE33" s="15"/>
      <c r="AG33" s="12"/>
    </row>
    <row r="34" spans="27:33" ht="15.75" customHeight="1">
      <c r="AC34" s="14"/>
      <c r="AE34" s="16"/>
      <c r="AG34" s="12"/>
    </row>
    <row r="35" spans="27:33" ht="15.75" customHeight="1">
      <c r="AC35" s="14"/>
      <c r="AG35" s="12"/>
    </row>
    <row r="36" spans="27:33" ht="15.75" customHeight="1">
      <c r="AC36" s="14"/>
      <c r="AG36" s="12"/>
    </row>
    <row r="37" spans="27:33" ht="15.75" customHeight="1">
      <c r="AC37" s="14"/>
      <c r="AG37" s="12"/>
    </row>
    <row r="38" spans="27:33" ht="15.75" customHeight="1">
      <c r="AC38" s="14"/>
      <c r="AG38" s="12"/>
    </row>
    <row r="39" spans="27:33" ht="15.75" customHeight="1">
      <c r="AC39" s="14"/>
    </row>
    <row r="40" spans="27:33" ht="15.75" customHeight="1">
      <c r="AC40" s="14"/>
    </row>
    <row r="41" spans="27:33" ht="15.75" customHeight="1">
      <c r="AC41" s="14"/>
    </row>
    <row r="42" spans="27:33" ht="15.75" customHeight="1">
      <c r="AC42" s="14"/>
    </row>
    <row r="43" spans="27:33" ht="15.75" customHeight="1">
      <c r="AC43" s="14"/>
    </row>
    <row r="44" spans="27:33" ht="15.75" customHeight="1">
      <c r="AC44" s="14"/>
    </row>
    <row r="45" spans="27:33" ht="15.75" customHeight="1">
      <c r="AC45" s="14"/>
    </row>
    <row r="46" spans="27:33" ht="15.75" customHeight="1">
      <c r="AC46" s="14"/>
    </row>
    <row r="47" spans="27:33" ht="15.75" customHeight="1">
      <c r="AC47" s="14"/>
    </row>
    <row r="48" spans="27:33" ht="15.75" customHeight="1">
      <c r="AC48" s="14"/>
    </row>
    <row r="49" spans="29:29" ht="15.75" customHeight="1">
      <c r="AC49" s="14"/>
    </row>
    <row r="50" spans="29:29" ht="15.75" customHeight="1">
      <c r="AC50" s="17"/>
    </row>
  </sheetData>
  <conditionalFormatting sqref="AC28:AC50">
    <cfRule type="duplicateValues" dxfId="3" priority="4"/>
    <cfRule type="duplicateValues" dxfId="2" priority="5"/>
  </conditionalFormatting>
  <conditionalFormatting sqref="AE28:AE34">
    <cfRule type="duplicateValues" dxfId="1" priority="2"/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1492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3</vt:i4>
      </vt:variant>
    </vt:vector>
  </HeadingPairs>
  <TitlesOfParts>
    <vt:vector size="10" baseType="lpstr">
      <vt:lpstr>Инструкция</vt:lpstr>
      <vt:lpstr>1</vt:lpstr>
      <vt:lpstr>2</vt:lpstr>
      <vt:lpstr>3</vt:lpstr>
      <vt:lpstr>Уд.показ.</vt:lpstr>
      <vt:lpstr>Справочники</vt:lpstr>
      <vt:lpstr>Лист3</vt:lpstr>
      <vt:lpstr>'1'!Область_печати</vt:lpstr>
      <vt:lpstr>'2'!Область_печати</vt:lpstr>
      <vt:lpstr>Справочники!Область_печати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Глухов Юрий Олегович</dc:creator>
  <dc:description/>
  <cp:lastModifiedBy>danel</cp:lastModifiedBy>
  <cp:revision>156</cp:revision>
  <dcterms:created xsi:type="dcterms:W3CDTF">2024-01-29T14:02:09Z</dcterms:created>
  <dcterms:modified xsi:type="dcterms:W3CDTF">2026-06-10T08:16:28Z</dcterms:modified>
  <dc:language>ru-RU</dc:language>
</cp:coreProperties>
</file>
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Work_Project\JavaGovna\danila\fsd-facility-parser\src\test\resources\"/>
    </mc:Choice>
  </mc:AlternateContent>
  <xr:revisionPtr revIDLastSave="0" documentId="13_ncr:1_{EE947EBC-BE5B-400F-872A-DFAFFC7E4802}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ФСД.Площадки" sheetId="1" r:id="rId1"/>
    <sheet name="Справочники" sheetId="2" r:id="rId2"/>
    <sheet name="Лист3" sheetId="3" state="hidden" r:id="rId3"/>
  </sheets>
  <definedNames>
    <definedName name="_xlnm._FilterDatabase" localSheetId="2" hidden="1">Лист3!$B$7:$D$8</definedName>
    <definedName name="_xlnm.Print_Area" localSheetId="0">ФСД.Площадки!$A$1:$F$21</definedName>
  </definedNames>
  <calcPr calcId="191029"/>
</workbook>
</file>

<file path=xl/calcChain.xml><?xml version="1.0" encoding="utf-8"?>
<calcChain xmlns="http://schemas.openxmlformats.org/spreadsheetml/2006/main">
  <c r="F7" i="1" l="1"/>
  <c r="R4" i="2" l="1"/>
  <c r="P4" i="2" l="1"/>
  <c r="T5" i="2" l="1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4" i="2"/>
  <c r="R5" i="2" l="1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P159" i="2" l="1"/>
  <c r="P158" i="2"/>
  <c r="P157" i="2"/>
  <c r="P156" i="2"/>
  <c r="P155" i="2"/>
  <c r="P154" i="2"/>
  <c r="P153" i="2"/>
  <c r="P152" i="2"/>
  <c r="P151" i="2"/>
  <c r="P150" i="2"/>
  <c r="P149" i="2"/>
  <c r="P148" i="2"/>
  <c r="P147" i="2"/>
  <c r="P146" i="2"/>
  <c r="P145" i="2"/>
  <c r="P144" i="2"/>
  <c r="P143" i="2"/>
  <c r="P142" i="2"/>
  <c r="P141" i="2"/>
  <c r="P140" i="2"/>
  <c r="P139" i="2"/>
  <c r="P138" i="2"/>
  <c r="P137" i="2"/>
  <c r="P136" i="2"/>
  <c r="P135" i="2"/>
  <c r="P134" i="2"/>
  <c r="P133" i="2"/>
  <c r="P132" i="2"/>
  <c r="P131" i="2"/>
  <c r="P130" i="2"/>
  <c r="P129" i="2"/>
  <c r="P128" i="2"/>
  <c r="P127" i="2"/>
  <c r="P126" i="2"/>
  <c r="P125" i="2"/>
  <c r="P124" i="2"/>
  <c r="P123" i="2"/>
  <c r="P122" i="2"/>
  <c r="P121" i="2"/>
  <c r="P120" i="2"/>
  <c r="P119" i="2"/>
  <c r="P118" i="2"/>
  <c r="P117" i="2"/>
  <c r="P116" i="2"/>
  <c r="P115" i="2"/>
  <c r="P114" i="2"/>
  <c r="P113" i="2"/>
  <c r="P112" i="2"/>
  <c r="P111" i="2"/>
  <c r="P110" i="2"/>
  <c r="P109" i="2"/>
  <c r="P108" i="2"/>
  <c r="P107" i="2"/>
  <c r="P106" i="2"/>
  <c r="P105" i="2"/>
  <c r="P104" i="2"/>
  <c r="P103" i="2"/>
  <c r="P102" i="2"/>
  <c r="P101" i="2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</calcChain>
</file>

<file path=xl/sharedStrings.xml><?xml version="1.0" encoding="utf-8"?>
<sst xmlns="http://schemas.openxmlformats.org/spreadsheetml/2006/main" count="1530" uniqueCount="626">
  <si>
    <t>добыча газа, млн м3</t>
  </si>
  <si>
    <t>добыча ГК, тыс. Т</t>
  </si>
  <si>
    <t>добыча нефти, тыс. Т</t>
  </si>
  <si>
    <t>добыча попутного нефтяного газа, млн м3</t>
  </si>
  <si>
    <t xml:space="preserve">производственная себестоимость добычи газа, тыс. руб. / млн м3 </t>
  </si>
  <si>
    <t xml:space="preserve">производственная себестоимость добычи ГК, тыс. руб. / тыс. Т </t>
  </si>
  <si>
    <t>Эксплуатационные обьекты</t>
  </si>
  <si>
    <t>Показатели:</t>
  </si>
  <si>
    <t>ООО "Газпром добыча Ямбург"</t>
  </si>
  <si>
    <t>ООО "Газпром добыча Надым"</t>
  </si>
  <si>
    <t>ООО "Газпром добыча Ноябрьск"</t>
  </si>
  <si>
    <t>ООО "Газпром добыча Оренбург"</t>
  </si>
  <si>
    <t>ООО "Газпром добыча Краснодар"</t>
  </si>
  <si>
    <t>ООО "Газпром добыча Астрахань"</t>
  </si>
  <si>
    <t>ЗАО "Пургаз"</t>
  </si>
  <si>
    <t>ГДО:</t>
  </si>
  <si>
    <t>Сценарий:</t>
  </si>
  <si>
    <t>среднесуточная добыча газа, млн м3</t>
  </si>
  <si>
    <t>Годы</t>
  </si>
  <si>
    <t>Версии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</si>
  <si>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</si>
  <si>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</si>
  <si>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</si>
  <si>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</si>
  <si>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</si>
  <si>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</si>
  <si>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</si>
  <si>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</si>
  <si>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</si>
  <si>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</si>
  <si>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</si>
  <si>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</si>
  <si>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Бованенковское</t>
  </si>
  <si>
    <t>Вынгапуровское</t>
  </si>
  <si>
    <t>Вынгаяхинское</t>
  </si>
  <si>
    <t>Губкинское</t>
  </si>
  <si>
    <t>Ен-Яхинское</t>
  </si>
  <si>
    <t>Еты-Пуровское</t>
  </si>
  <si>
    <t>Западно-Таркосалинское</t>
  </si>
  <si>
    <t>Заполярное</t>
  </si>
  <si>
    <t>Комсомольское</t>
  </si>
  <si>
    <t>Медвежье</t>
  </si>
  <si>
    <t>Оренбургское НГКМ</t>
  </si>
  <si>
    <t>Северо-Уренгойское</t>
  </si>
  <si>
    <t>Уренгойское</t>
  </si>
  <si>
    <t>Юбилейное</t>
  </si>
  <si>
    <t>Южно-Русское НГКМ</t>
  </si>
  <si>
    <t>Ямбургское</t>
  </si>
  <si>
    <t>Ямсовейское</t>
  </si>
  <si>
    <t>Наименование месторождения</t>
  </si>
  <si>
    <t>Площадка</t>
  </si>
  <si>
    <t>Объект разработки</t>
  </si>
  <si>
    <t>ярус</t>
  </si>
  <si>
    <t>Расшифровка яруса</t>
  </si>
  <si>
    <t>Гелогический горизонт</t>
  </si>
  <si>
    <t>Площадь</t>
  </si>
  <si>
    <t>УКПГ-2</t>
  </si>
  <si>
    <t>ПК1</t>
  </si>
  <si>
    <t>K2s</t>
  </si>
  <si>
    <t>Сеноман-апт</t>
  </si>
  <si>
    <t>УКПГ-3</t>
  </si>
  <si>
    <t>ПК10</t>
  </si>
  <si>
    <t>K1a</t>
  </si>
  <si>
    <t>УКПГ-1</t>
  </si>
  <si>
    <t>ПК9</t>
  </si>
  <si>
    <t>ТП1-6</t>
  </si>
  <si>
    <t>ТП7-11</t>
  </si>
  <si>
    <t>ХМ1-2</t>
  </si>
  <si>
    <t>K1al</t>
  </si>
  <si>
    <t>УКПГ</t>
  </si>
  <si>
    <t>I</t>
  </si>
  <si>
    <t>Сеноман</t>
  </si>
  <si>
    <t>УППГ</t>
  </si>
  <si>
    <t>МУПН</t>
  </si>
  <si>
    <t>K1g</t>
  </si>
  <si>
    <t>Неоком</t>
  </si>
  <si>
    <t>УКПГ-11В</t>
  </si>
  <si>
    <t xml:space="preserve"> II</t>
  </si>
  <si>
    <t>III</t>
  </si>
  <si>
    <t>K1v</t>
  </si>
  <si>
    <t>IV</t>
  </si>
  <si>
    <t>УКПГиК</t>
  </si>
  <si>
    <t>II</t>
  </si>
  <si>
    <t>K1br</t>
  </si>
  <si>
    <t>VI</t>
  </si>
  <si>
    <t>VII</t>
  </si>
  <si>
    <t>УКПГ-1В</t>
  </si>
  <si>
    <t>УКПГ-2В</t>
  </si>
  <si>
    <t>Участок ОПР нефтяной оторочки пласта БТ100 Газпром нефть</t>
  </si>
  <si>
    <t>УКПГ-1С</t>
  </si>
  <si>
    <t>УКПГ-2С</t>
  </si>
  <si>
    <t>УКПГ-3С</t>
  </si>
  <si>
    <t>УППГ СК</t>
  </si>
  <si>
    <t>УППГ ЗК</t>
  </si>
  <si>
    <t>сборный пункт</t>
  </si>
  <si>
    <t>УКПГ-Н</t>
  </si>
  <si>
    <t>1а</t>
  </si>
  <si>
    <t>1б</t>
  </si>
  <si>
    <t>1в</t>
  </si>
  <si>
    <t>1г</t>
  </si>
  <si>
    <t>1д</t>
  </si>
  <si>
    <t>K1vAch</t>
  </si>
  <si>
    <t>Ачимовский</t>
  </si>
  <si>
    <t>1н</t>
  </si>
  <si>
    <t>2а</t>
  </si>
  <si>
    <t>K2st</t>
  </si>
  <si>
    <t>11а</t>
  </si>
  <si>
    <t>5 (сеноман)</t>
  </si>
  <si>
    <t>УКПГ-4</t>
  </si>
  <si>
    <t>УКПГ-5</t>
  </si>
  <si>
    <t>УКПГ-6</t>
  </si>
  <si>
    <t>УКПГ-7</t>
  </si>
  <si>
    <t>УКПГ-8</t>
  </si>
  <si>
    <t>УКПГ-9</t>
  </si>
  <si>
    <t>Р5-А3</t>
  </si>
  <si>
    <t>УКПГ-10</t>
  </si>
  <si>
    <t>Р4+5+6</t>
  </si>
  <si>
    <t>УКПГ-14</t>
  </si>
  <si>
    <t>УКПГ-12</t>
  </si>
  <si>
    <t>Р3</t>
  </si>
  <si>
    <t>УКПГ-15</t>
  </si>
  <si>
    <t>MSK_BSHK</t>
  </si>
  <si>
    <t>А1/1-А4/1</t>
  </si>
  <si>
    <t>Р7</t>
  </si>
  <si>
    <t>А0-А2</t>
  </si>
  <si>
    <t>P5-A3</t>
  </si>
  <si>
    <t>УКПГ-15 ЗАПАДНЫЙ КУПОЛ</t>
  </si>
  <si>
    <t>K2s пл. ПК1</t>
  </si>
  <si>
    <t>УКПГ-15 ВОСТОЧНЫЙ КУПОЛ</t>
  </si>
  <si>
    <t>УКПГ-15 западный КУПОЛ</t>
  </si>
  <si>
    <t>УКПГ-31</t>
  </si>
  <si>
    <t>2a+3a</t>
  </si>
  <si>
    <t>Участок 1А</t>
  </si>
  <si>
    <t>УКПГ-22</t>
  </si>
  <si>
    <t>Участок 2А</t>
  </si>
  <si>
    <t>УКПГ-21</t>
  </si>
  <si>
    <t>УКПГ-41</t>
  </si>
  <si>
    <t>Участок 4А</t>
  </si>
  <si>
    <t>УКПГ-51</t>
  </si>
  <si>
    <t>Участок 5А</t>
  </si>
  <si>
    <t>Уренгойская</t>
  </si>
  <si>
    <t>УКПГ-10 ТАБ-ЯХИНСКИЙ УЧАСТОК</t>
  </si>
  <si>
    <t>УКПГ-11</t>
  </si>
  <si>
    <t>Ен-яхинская</t>
  </si>
  <si>
    <t>УКПГ-13</t>
  </si>
  <si>
    <t>УКПГ-16 ПЕСЦОВАЯ ПЛОЩАДЬ</t>
  </si>
  <si>
    <t>Песцовая</t>
  </si>
  <si>
    <t>УКПГ-1АС</t>
  </si>
  <si>
    <t>УКПГ-16 ЗАПАДНО-ПЕСЦ. ПЛОЩАДЬ</t>
  </si>
  <si>
    <t>Западно-Песцовая</t>
  </si>
  <si>
    <t>УКПГ-НТС</t>
  </si>
  <si>
    <t>K2t</t>
  </si>
  <si>
    <t>Турон</t>
  </si>
  <si>
    <t>УППГ-3В</t>
  </si>
  <si>
    <t>УППГ-2В</t>
  </si>
  <si>
    <t>Ямбургская</t>
  </si>
  <si>
    <t>УППГ-8</t>
  </si>
  <si>
    <t>Харвутинская</t>
  </si>
  <si>
    <t>УППГ-4А</t>
  </si>
  <si>
    <t>Анерьяхинская</t>
  </si>
  <si>
    <t>УКПГ-9 (Уч-11)</t>
  </si>
  <si>
    <t>УППГ-10 (Уч-10)</t>
  </si>
  <si>
    <t>ТП-9 (Уч-9)</t>
  </si>
  <si>
    <t>Т1</t>
  </si>
  <si>
    <t>К1al</t>
  </si>
  <si>
    <t>К1g</t>
  </si>
  <si>
    <t>Апт</t>
  </si>
  <si>
    <t>Альп</t>
  </si>
  <si>
    <t>Готтерив</t>
  </si>
  <si>
    <t>Валажин</t>
  </si>
  <si>
    <t>Борем</t>
  </si>
  <si>
    <t>Сенон</t>
  </si>
  <si>
    <t>Площадки</t>
  </si>
  <si>
    <t>Бованенковское.Сеноман-апт.УКПГ-2</t>
  </si>
  <si>
    <t>Бованенковское.Сеноман-апт.УКПГ-3</t>
  </si>
  <si>
    <t>Бованенковское.Сеноман-апт.УКПГ-1</t>
  </si>
  <si>
    <t>Вынгапуровское.Сеноман.УКПГ</t>
  </si>
  <si>
    <t>Вынгаяхинское.Сеноман.УКПГ</t>
  </si>
  <si>
    <t>Губкинское.Сеноман.УКПГ</t>
  </si>
  <si>
    <t>Губкинское.Сеноман.УППГ</t>
  </si>
  <si>
    <t>Ен-Яхинское.Неоком.МУПН</t>
  </si>
  <si>
    <t>Ен-Яхинское.Неоком.УКПГ-11В</t>
  </si>
  <si>
    <t>Еты-Пуровское.Сеноман.УППГ</t>
  </si>
  <si>
    <t>Западно-Таркосалинское.Неоком.УКПГиК</t>
  </si>
  <si>
    <t>Западно-Таркосалинское.Сеноман.УКПГ</t>
  </si>
  <si>
    <t>Заполярное.Неоком.УКПГ-1В</t>
  </si>
  <si>
    <t>Заполярное.Неоком.УКПГ-2В</t>
  </si>
  <si>
    <t>Заполярное.Неоком.Участок ОПР нефтяной оторочки пласта БТ100 Газпром нефть</t>
  </si>
  <si>
    <t>Заполярное.Сеноман.УКПГ-1С</t>
  </si>
  <si>
    <t>Заполярное.Сеноман.УКПГ-2С</t>
  </si>
  <si>
    <t>Заполярное.Сеноман.УКПГ-3С</t>
  </si>
  <si>
    <t>Комсомольское.Сеноман.УКПГ</t>
  </si>
  <si>
    <t>Комсомольское.Сеноман.УППГ СК</t>
  </si>
  <si>
    <t>Комсомольское.Сеноман.УППГ ЗК</t>
  </si>
  <si>
    <t>Комсомольское.Сеноман.сборный пункт</t>
  </si>
  <si>
    <t>Медвежье.Неоком.УКПГ-Н</t>
  </si>
  <si>
    <t>Медвежье.Ачимовский.УКПГ-Н</t>
  </si>
  <si>
    <t>Медвежье.Неоком.УКПГ-1</t>
  </si>
  <si>
    <t>Медвежье.Неоком.УКПГ-2</t>
  </si>
  <si>
    <t>Медвежье.Неоком.УКПГ-3</t>
  </si>
  <si>
    <t>Медвежье.Неоком.УКПГ-4</t>
  </si>
  <si>
    <t>Медвежье.Неоком.УКПГ-5</t>
  </si>
  <si>
    <t>Медвежье.Неоком.УКПГ-6</t>
  </si>
  <si>
    <t>Медвежье.Неоком.УКПГ-7</t>
  </si>
  <si>
    <t>Медвежье.Неоком.УКПГ-8</t>
  </si>
  <si>
    <t>Медвежье.Неоком.УКПГ-9</t>
  </si>
  <si>
    <t>Оренбургское НГКМ..УКПГ-2</t>
  </si>
  <si>
    <t>Оренбургское НГКМ..УКПГ-10</t>
  </si>
  <si>
    <t>Оренбургское НГКМ..УКПГ-1</t>
  </si>
  <si>
    <t>Оренбургское НГКМ..УКПГ-14</t>
  </si>
  <si>
    <t>Оренбургское НГКМ..УКПГ-12</t>
  </si>
  <si>
    <t>Оренбургское НГКМ..УКПГ-3</t>
  </si>
  <si>
    <t>Оренбургское НГКМ..УКПГ-6</t>
  </si>
  <si>
    <t>Оренбургское НГКМ..УКПГ-15</t>
  </si>
  <si>
    <t>Оренбургское НГКМ..УКПГ-7</t>
  </si>
  <si>
    <t>Оренбургское НГКМ..УКПГ-8</t>
  </si>
  <si>
    <t>Оренбургское НГКМ..MSK_BSHK</t>
  </si>
  <si>
    <t>Оренбургское НГКМ..УКПГ-9</t>
  </si>
  <si>
    <t>Северо-Уренгойское.Сеноман.УКПГ-15 ЗАПАДНЫЙ КУПОЛ</t>
  </si>
  <si>
    <t>Северо-Уренгойское.Сеноман.УКПГ-15 ВОСТОЧНЫЙ КУПОЛ</t>
  </si>
  <si>
    <t>Уренгойское.Ачимовский.УКПГ-31</t>
  </si>
  <si>
    <t>Уренгойское.Ачимовский.УКПГ-22</t>
  </si>
  <si>
    <t>Уренгойское.Ачимовский.УКПГ-21</t>
  </si>
  <si>
    <t>Уренгойское.Ачимовский.УКПГ-41</t>
  </si>
  <si>
    <t>Уренгойское.Ачимовский.УКПГ-51</t>
  </si>
  <si>
    <t>Уренгойское.Сеноман.УКПГ-1</t>
  </si>
  <si>
    <t>Уренгойское.Сеноман.УКПГ-3</t>
  </si>
  <si>
    <t>Уренгойское.Сеноман.УКПГ-4</t>
  </si>
  <si>
    <t>Уренгойское.Сеноман.УКПГ-6</t>
  </si>
  <si>
    <t>Уренгойское.Сеноман.УКПГ-7</t>
  </si>
  <si>
    <t>Уренгойское.Сеноман.УКПГ-2</t>
  </si>
  <si>
    <t>Уренгойское.Сеноман.УКПГ-5</t>
  </si>
  <si>
    <t>Уренгойское.Сеноман.УКПГ-8</t>
  </si>
  <si>
    <t>Уренгойское.Сеноман.УКПГ-10</t>
  </si>
  <si>
    <t>Уренгойское.Сеноман.УКПГ-10 ТАБ-ЯХИНСКИЙ УЧАСТОК</t>
  </si>
  <si>
    <t>Уренгойское.Сеноман.УКПГ-11</t>
  </si>
  <si>
    <t>Уренгойское.Сеноман.УКПГ-12</t>
  </si>
  <si>
    <t>Уренгойское.Сеноман.УКПГ-13</t>
  </si>
  <si>
    <t>Уренгойское.Сеноман.УКПГ-16 ПЕСЦОВАЯ ПЛОЩАДЬ</t>
  </si>
  <si>
    <t>Уренгойское.Сеноман.УКПГ-9</t>
  </si>
  <si>
    <t>Уренгойское.Сеноман.УКПГ-1АС</t>
  </si>
  <si>
    <t>Уренгойское.Сеноман.УКПГ-16 ЗАПАДНО-ПЕСЦ. ПЛОЩАДЬ</t>
  </si>
  <si>
    <t>Юбилейное.Неоком.УКПГ-НТС</t>
  </si>
  <si>
    <t>Юбилейное.Сеноман.УКПГ</t>
  </si>
  <si>
    <t>Южно-Русское НГКМ.Турон.УКПГ</t>
  </si>
  <si>
    <t>Южно-Русское НГКМ.Сеноман.УКПГ</t>
  </si>
  <si>
    <t>Ямбургское.Неоком.УКПГ-1В</t>
  </si>
  <si>
    <t>Ямбургское.Неоком.УППГ-3В</t>
  </si>
  <si>
    <t>Ямбургское.Неоком.УППГ-2В</t>
  </si>
  <si>
    <t>Ямбургское.Сеноман.УКПГ-1</t>
  </si>
  <si>
    <t>Ямбургское.Сеноман.УКПГ-2</t>
  </si>
  <si>
    <t>Ямбургское.Сеноман.УКПГ-3</t>
  </si>
  <si>
    <t>Ямбургское.Сеноман.УКПГ-4</t>
  </si>
  <si>
    <t>Ямбургское.Сеноман.УКПГ-5</t>
  </si>
  <si>
    <t>Ямбургское.Сеноман.УКПГ-6</t>
  </si>
  <si>
    <t>Ямбургское.Сеноман.УКПГ-7</t>
  </si>
  <si>
    <t>Ямбургское.Сеноман.УППГ-8</t>
  </si>
  <si>
    <t>Ямбургское.Сеноман.УППГ-4А</t>
  </si>
  <si>
    <t>Ямбургское.Сеноман.УКПГ-9 (Уч-11)</t>
  </si>
  <si>
    <t>Ямбургское.Сеноман.УППГ-10 (Уч-10)</t>
  </si>
  <si>
    <t>Ямбургское.Сеноман.ТП-9 (Уч-9)</t>
  </si>
  <si>
    <t>Ямсовейское.Сеноман.УКПГ-1</t>
  </si>
  <si>
    <t>Заполярное.Турон.УКПГ-2С</t>
  </si>
  <si>
    <t>Уренгойское.Неоком.</t>
  </si>
  <si>
    <t>Способ разработки на заключительной фазе ЖЦ месторождения</t>
  </si>
  <si>
    <t>Потенциал</t>
  </si>
  <si>
    <t>Минимальный оптимальный</t>
  </si>
  <si>
    <t>Минимальный эксплуатационный</t>
  </si>
  <si>
    <t>Мероприятие</t>
  </si>
  <si>
    <t>Тип периода</t>
  </si>
  <si>
    <t>Квартал</t>
  </si>
  <si>
    <t>Месяц</t>
  </si>
  <si>
    <t>Периоды</t>
  </si>
  <si>
    <t>1 кв.</t>
  </si>
  <si>
    <t>3 кв.</t>
  </si>
  <si>
    <t>2 кв.</t>
  </si>
  <si>
    <t>4 кв.</t>
  </si>
  <si>
    <t>Тип</t>
  </si>
  <si>
    <t>Горизонт</t>
  </si>
  <si>
    <t>Стройка</t>
  </si>
  <si>
    <t>Установка КЛК УКПГ-1 1 скв.</t>
  </si>
  <si>
    <t>Установка КЛК УКПГ-2 5 скв.</t>
  </si>
  <si>
    <t>Установка КЛК УКПГ-3 4 скв.</t>
  </si>
  <si>
    <t>Установка КЛК УКПГ-5 3 скв.</t>
  </si>
  <si>
    <t>Установка КЛК УКПГ-7 3 скв.</t>
  </si>
  <si>
    <t>Установка КЛК УКПГ-2 1 скв.</t>
  </si>
  <si>
    <t>Установка КЛК УКПГ-3 9 скв.</t>
  </si>
  <si>
    <t>Установка КЛК УКПГ-5 2 скв.</t>
  </si>
  <si>
    <t>Установка КЛК УКПГ-1 2 скв.</t>
  </si>
  <si>
    <t>Установка КЛК УКПГ-2 2 скв.</t>
  </si>
  <si>
    <t>Установка КЛК УКПГ-4 1 скв.</t>
  </si>
  <si>
    <t>Установка КЛК УКПГ-6 2 скв.</t>
  </si>
  <si>
    <t>Установка КЛК УКПГ-7 1 скв.</t>
  </si>
  <si>
    <t>Установка КЛК УППГ-8 1 скв.</t>
  </si>
  <si>
    <t>Установка КЛК УКПГ-3 3 скв.</t>
  </si>
  <si>
    <t>Установка КЛК УКПГ-4 3 скв.</t>
  </si>
  <si>
    <t>Установка КЛК УКПГ-6 1 скв.</t>
  </si>
  <si>
    <t>Установка КЛК УКПГ-7 4 скв.</t>
  </si>
  <si>
    <t>Установка КЛК УКПГ-2 3 скв.</t>
  </si>
  <si>
    <t>Установка КЛК УКПГ-5 1 скв.</t>
  </si>
  <si>
    <t>Установка КЛК УКПГ-7 2 скв.</t>
  </si>
  <si>
    <t>Бованенковское.Сеноман-апт..ПК1</t>
  </si>
  <si>
    <t>Бованенковское.Сеноман-апт..ПК10</t>
  </si>
  <si>
    <t>Бованенковское.Сеноман-апт..ПК9</t>
  </si>
  <si>
    <t>Бованенковское.Сеноман-апт..ТП1-6</t>
  </si>
  <si>
    <t>Бованенковское.Сеноман-апт..ТП7-11</t>
  </si>
  <si>
    <t>Бованенковское.Сеноман-апт..ХМ1-2</t>
  </si>
  <si>
    <t>Вынгапуровское.Сеноман..I</t>
  </si>
  <si>
    <t>Вынгаяхинское.Сеноман..I</t>
  </si>
  <si>
    <t>Губкинское.Сеноман..I</t>
  </si>
  <si>
    <t>Ен-Яхинское.Неоком..I</t>
  </si>
  <si>
    <t>Ен-Яхинское.Неоком.. II</t>
  </si>
  <si>
    <t>Ен-Яхинское.Неоком..III</t>
  </si>
  <si>
    <t>Ен-Яхинское.Неоком..IV</t>
  </si>
  <si>
    <t>Еты-Пуровское.Сеноман..I</t>
  </si>
  <si>
    <t>Западно-Таркосалинское.Неоком..II</t>
  </si>
  <si>
    <t>Западно-Таркосалинское.Неоком..IV</t>
  </si>
  <si>
    <t>Западно-Таркосалинское.Неоком..VI</t>
  </si>
  <si>
    <t>Западно-Таркосалинское.Неоком..VII</t>
  </si>
  <si>
    <t>Западно-Таркосалинское.Сеноман..I</t>
  </si>
  <si>
    <t>Заполярное.Неоком..1</t>
  </si>
  <si>
    <t>Заполярное.Неоком..2</t>
  </si>
  <si>
    <t>Заполярное.Сеноман..ПК1</t>
  </si>
  <si>
    <t>Комсомольское.Сеноман..I</t>
  </si>
  <si>
    <t>Медвежье.Неоком..1</t>
  </si>
  <si>
    <t>Медвежье.Неоком..1а</t>
  </si>
  <si>
    <t>Медвежье.Неоком..1б</t>
  </si>
  <si>
    <t>Медвежье.Неоком..1в</t>
  </si>
  <si>
    <t>Медвежье.Неоком..1г</t>
  </si>
  <si>
    <t>Медвежье.Ачимовский..1д</t>
  </si>
  <si>
    <t>Медвежье.Ачимовский..1н</t>
  </si>
  <si>
    <t>Медвежье.Неоком..2</t>
  </si>
  <si>
    <t>Медвежье.Неоком..2а</t>
  </si>
  <si>
    <t>Медвежье.Неоком..3</t>
  </si>
  <si>
    <t>Медвежье.Неоком..4</t>
  </si>
  <si>
    <t>Медвежье.Неоком..6</t>
  </si>
  <si>
    <t>Медвежье.Неоком..7</t>
  </si>
  <si>
    <t>Медвежье.Неоком..8</t>
  </si>
  <si>
    <t>Медвежье.Неоком..9</t>
  </si>
  <si>
    <t>Медвежье.Неоком..10</t>
  </si>
  <si>
    <t>Медвежье.Неоком..11</t>
  </si>
  <si>
    <t>Медвежье.Неоком..11а</t>
  </si>
  <si>
    <t>Медвежье.Неоком..5 (сеноман)</t>
  </si>
  <si>
    <t>Оренбургское НГКМ...Р5-А3</t>
  </si>
  <si>
    <t>Оренбургское НГКМ...Р4+5+6</t>
  </si>
  <si>
    <t>Оренбургское НГКМ...Р3</t>
  </si>
  <si>
    <t>Оренбургское НГКМ...А1/1-А4/1</t>
  </si>
  <si>
    <t>Оренбургское НГКМ...Р7</t>
  </si>
  <si>
    <t>Оренбургское НГКМ...А0-А2</t>
  </si>
  <si>
    <t>Оренбургское НГКМ...P5-A3</t>
  </si>
  <si>
    <t>Северо-Уренгойское.Сеноман..K2s пл. ПК1</t>
  </si>
  <si>
    <t>Уренгойское.Ачимовский.Участок 1А.2a+3a</t>
  </si>
  <si>
    <t>Уренгойское.Ачимовский.Участок 2А.2a+3a</t>
  </si>
  <si>
    <t>Уренгойское.Ачимовский.Участок 4А.2a+3a</t>
  </si>
  <si>
    <t>Уренгойское.Ачимовский.Участок 5А.2a+3a</t>
  </si>
  <si>
    <t>Уренгойское.Сеноман.Уренгойская.K2s пл. ПК1</t>
  </si>
  <si>
    <t>Уренгойское.Сеноман.Ен-яхинская.K2s пл. ПК1</t>
  </si>
  <si>
    <t>Уренгойское.Сеноман.Песцовая.K2s пл. ПК1</t>
  </si>
  <si>
    <t>Уренгойское.Сеноман.Западно-Песцовая.K2s пл. ПК1</t>
  </si>
  <si>
    <t>Юбилейное.Неоком..2</t>
  </si>
  <si>
    <t>Юбилейное.Неоком..3</t>
  </si>
  <si>
    <t>Юбилейное.Сеноман..1</t>
  </si>
  <si>
    <t>Южно-Русское НГКМ.Турон..1</t>
  </si>
  <si>
    <t>Южно-Русское НГКМ.Сеноман..2</t>
  </si>
  <si>
    <t>Ямбургское.Неоком..I</t>
  </si>
  <si>
    <t>Ямбургское.Неоком..II</t>
  </si>
  <si>
    <t>Ямбургское.Сеноман.Ямбургская.ПК1</t>
  </si>
  <si>
    <t>Ямбургское.Сеноман.Харвутинская.ПК1</t>
  </si>
  <si>
    <t>Ямбургское.Сеноман.Анерьяхинская.ПК1</t>
  </si>
  <si>
    <t>Ямсовейское.Сеноман..1</t>
  </si>
  <si>
    <t>Заполярное.Турон..Т1</t>
  </si>
  <si>
    <t>Уренгойское.Неоком..1</t>
  </si>
  <si>
    <t>Уренгойское.Неоком..2</t>
  </si>
  <si>
    <t>Уренгойское.Неоком..3</t>
  </si>
  <si>
    <t>Уренгойское.Неоком..4</t>
  </si>
  <si>
    <t>Уренгойское.Неоком..5</t>
  </si>
  <si>
    <t>Редакция 1Г.Эт1.1</t>
  </si>
  <si>
    <t>Редакция 1Г.Эт1.2</t>
  </si>
  <si>
    <t>Редакция 1Г.Эт1.3</t>
  </si>
  <si>
    <t>Редакция 1Г.Эт1.4</t>
  </si>
  <si>
    <t>Редакция 1Г.Эт1.5</t>
  </si>
  <si>
    <t>Редакция 1Г.Эт2.1</t>
  </si>
  <si>
    <t>Редакция 1Г.Эт2.2</t>
  </si>
  <si>
    <t>Редакция 1Г.Эт2.3</t>
  </si>
  <si>
    <t>Редакция 1Г.Эт2.4</t>
  </si>
  <si>
    <t>Редакция 1Г.Эт2.5</t>
  </si>
  <si>
    <t>Редакция 1Г.Эт3.1</t>
  </si>
  <si>
    <t>Редакция 1Г.Эт3.2</t>
  </si>
  <si>
    <t>Редакция 1Г.Эт3.3</t>
  </si>
  <si>
    <t>Редакция 1Г.Эт3.4</t>
  </si>
  <si>
    <t>Редакция 1Г.Эт3.5</t>
  </si>
  <si>
    <t>Редакция 1Г.Эт4.1</t>
  </si>
  <si>
    <t>Редакция 1Г.Эт4.2</t>
  </si>
  <si>
    <t>Редакция 1Г.Эт4.3</t>
  </si>
  <si>
    <t>Редакция 1Г.Эт4.4</t>
  </si>
  <si>
    <t>Редакция 1Г.Эт4.5</t>
  </si>
  <si>
    <t>Редакция 1Г.Эт5.1</t>
  </si>
  <si>
    <t>Редакция 1Г.Эт5.2</t>
  </si>
  <si>
    <t>Редакция 1Г.Эт5.3</t>
  </si>
  <si>
    <t>Редакция 1Г.Эт5.4</t>
  </si>
  <si>
    <t>Редакция 1Г.Эт5.5</t>
  </si>
  <si>
    <t>Редакция 3Г.Эт1.1</t>
  </si>
  <si>
    <t>Редакция 3Г.Эт1.2</t>
  </si>
  <si>
    <t>Редакция 3Г.Эт1.3</t>
  </si>
  <si>
    <t>Редакция 3Г.Эт1.4</t>
  </si>
  <si>
    <t>Редакция 3Г.Эт1.5</t>
  </si>
  <si>
    <t>Редакция 3Г.Эт2.1</t>
  </si>
  <si>
    <t>Редакция 3Г.Эт2.2</t>
  </si>
  <si>
    <t>Редакция 3Г.Эт2.3</t>
  </si>
  <si>
    <t>Редакция 3Г.Эт2.4</t>
  </si>
  <si>
    <t>Редакция 3Г.Эт2.5</t>
  </si>
  <si>
    <t>Редакция 3Г.Эт3.1</t>
  </si>
  <si>
    <t>Редакция 3Г.Эт3.2</t>
  </si>
  <si>
    <t>Редакция 3Г.Эт3.3</t>
  </si>
  <si>
    <t>Редакция 3Г.Эт3.4</t>
  </si>
  <si>
    <t>Редакция 3Г.Эт3.5</t>
  </si>
  <si>
    <t>Редакция 3Г.Эт4.1</t>
  </si>
  <si>
    <t>Редакция 3Г.Эт4.2</t>
  </si>
  <si>
    <t>Редакция 3Г.Эт4.3</t>
  </si>
  <si>
    <t>Редакция 3Г.Эт4.4</t>
  </si>
  <si>
    <t>Редакция 3Г.Эт4.5</t>
  </si>
  <si>
    <t>Редакция 3Г.Эт5.1</t>
  </si>
  <si>
    <t>Редакция 3Г.Эт5.2</t>
  </si>
  <si>
    <t>Редакция 3Г.Эт5.3</t>
  </si>
  <si>
    <t>Редакция 3Г.Эт5.4</t>
  </si>
  <si>
    <t>Редакция 3Г.Эт5.5</t>
  </si>
  <si>
    <t>Этап 1</t>
  </si>
  <si>
    <t>Этап 2</t>
  </si>
  <si>
    <t>Этап 3</t>
  </si>
  <si>
    <t>Этап 4</t>
  </si>
  <si>
    <t>Этап 5</t>
  </si>
  <si>
    <t>Бованенковское.Сеноман-апт</t>
  </si>
  <si>
    <t>Вынгапуровское.Сеноман</t>
  </si>
  <si>
    <t>Вынгаяхинское.Сеноман</t>
  </si>
  <si>
    <t>Губкинское.Сеноман</t>
  </si>
  <si>
    <t>Ен-Яхинское.Неоком</t>
  </si>
  <si>
    <t>Еты-Пуровское.Сеноман</t>
  </si>
  <si>
    <t>Западно-Таркосалинское.Неоком</t>
  </si>
  <si>
    <t>Западно-Таркосалинское.Сеноман</t>
  </si>
  <si>
    <t>Заполярное.Неоком</t>
  </si>
  <si>
    <t>Заполярное.Сеноман</t>
  </si>
  <si>
    <t>Комсомольское.Сеноман</t>
  </si>
  <si>
    <t>Медвежье.Неоком</t>
  </si>
  <si>
    <t>Медвежье.Ачимовский</t>
  </si>
  <si>
    <t>Оренбургское НГКМ.</t>
  </si>
  <si>
    <t>Северо-Уренгойское.Сеноман</t>
  </si>
  <si>
    <t>Уренгойское.Ачимовский</t>
  </si>
  <si>
    <t>Уренгойское.Сеноман</t>
  </si>
  <si>
    <t>Юбилейное.Неоком</t>
  </si>
  <si>
    <t>Юбилейное.Сеноман</t>
  </si>
  <si>
    <t>Южно-Русское НГКМ.Турон</t>
  </si>
  <si>
    <t>Южно-Русское НГКМ.Сеноман</t>
  </si>
  <si>
    <t>Ямбургское.Неоком</t>
  </si>
  <si>
    <t>Ямбургское.Сеноман</t>
  </si>
  <si>
    <t>Ямсовейское.Сеноман</t>
  </si>
  <si>
    <t>Заполярное.Турон</t>
  </si>
  <si>
    <t>Уренгойское.Неоком</t>
  </si>
  <si>
    <t>Регион</t>
  </si>
  <si>
    <t>ГДО</t>
  </si>
  <si>
    <t>Республика Бурятия</t>
  </si>
  <si>
    <t>Карачаево-Черкесская Республика</t>
  </si>
  <si>
    <t>Сахалинская обл.</t>
  </si>
  <si>
    <t>Воронежская обл.</t>
  </si>
  <si>
    <t>Томская обл.</t>
  </si>
  <si>
    <t>Новосибирская обл.</t>
  </si>
  <si>
    <t>Ненецкий АО</t>
  </si>
  <si>
    <t>Магаданская обл.</t>
  </si>
  <si>
    <t>Камчатский край</t>
  </si>
  <si>
    <t>Приморский край</t>
  </si>
  <si>
    <t>Ставропольский край</t>
  </si>
  <si>
    <t>Республика Алтай</t>
  </si>
  <si>
    <t>г. Москва</t>
  </si>
  <si>
    <t>Республика Тыва</t>
  </si>
  <si>
    <t>Тамбовская обл.</t>
  </si>
  <si>
    <t>Свердловская обл.</t>
  </si>
  <si>
    <t>Ханты-Мансийский АО - Югра</t>
  </si>
  <si>
    <t>Чукотский АО</t>
  </si>
  <si>
    <t>Тюменская обл.</t>
  </si>
  <si>
    <t>Владимирская обл.</t>
  </si>
  <si>
    <t>Московская обл.</t>
  </si>
  <si>
    <t>Волгоградская обл.</t>
  </si>
  <si>
    <t>Оренбургская обл.</t>
  </si>
  <si>
    <t>Самарская обл.</t>
  </si>
  <si>
    <t>Астраханская обл.</t>
  </si>
  <si>
    <t>Республика Адыгея (Адыгея)</t>
  </si>
  <si>
    <t>Луганская народная республика</t>
  </si>
  <si>
    <t>Красноярский край</t>
  </si>
  <si>
    <t>Ростовская обл.</t>
  </si>
  <si>
    <t>Мурманская обл.</t>
  </si>
  <si>
    <t>Псковская обл.</t>
  </si>
  <si>
    <t>г. Санкт-Петербург</t>
  </si>
  <si>
    <t>Ленинградская обл.</t>
  </si>
  <si>
    <t>Республика Татарстан (Татарстан)</t>
  </si>
  <si>
    <t>Кировская обл.</t>
  </si>
  <si>
    <t>Костромская обл.</t>
  </si>
  <si>
    <t>Тверская обл.</t>
  </si>
  <si>
    <t>Тульская обл.</t>
  </si>
  <si>
    <t>Калужская обл.</t>
  </si>
  <si>
    <t>Ульяновская обл.</t>
  </si>
  <si>
    <t>Республика Марий Эл</t>
  </si>
  <si>
    <t>Смоленская обл.</t>
  </si>
  <si>
    <t>Пермский край</t>
  </si>
  <si>
    <t>Ивановская обл.</t>
  </si>
  <si>
    <t>Чувашская Республика - Чувашия</t>
  </si>
  <si>
    <t>Республика Северная Осетия - Алания</t>
  </si>
  <si>
    <t>Брянская обл.</t>
  </si>
  <si>
    <t>Пензенская обл.</t>
  </si>
  <si>
    <t>Белгородская обл.</t>
  </si>
  <si>
    <t>Липецкая обл.</t>
  </si>
  <si>
    <t>Новгородская обл.</t>
  </si>
  <si>
    <t>Архангельская обл.</t>
  </si>
  <si>
    <t>Нижегородская обл.</t>
  </si>
  <si>
    <t>Курганская обл.</t>
  </si>
  <si>
    <t>Курская обл.</t>
  </si>
  <si>
    <t>Забайкальский край</t>
  </si>
  <si>
    <t>Рязанская обл.</t>
  </si>
  <si>
    <t>Ямало-Ненецкий АО</t>
  </si>
  <si>
    <t>Республика Дагестан</t>
  </si>
  <si>
    <t>Омская обл.</t>
  </si>
  <si>
    <t>Чеченская Республика</t>
  </si>
  <si>
    <t>Кабардино-Балкарская Республика</t>
  </si>
  <si>
    <t>Саратовская обл.</t>
  </si>
  <si>
    <t>Калининградская обл.</t>
  </si>
  <si>
    <t>Орловская обл.</t>
  </si>
  <si>
    <t>Иркутская обл.</t>
  </si>
  <si>
    <t>Амурская обл.</t>
  </si>
  <si>
    <t>Еврейская АО</t>
  </si>
  <si>
    <t>Хабаровский край</t>
  </si>
  <si>
    <t>Кемеровская обл. - Кузбасс</t>
  </si>
  <si>
    <t>Ярославская обл.</t>
  </si>
  <si>
    <t>Удмуртская Республика</t>
  </si>
  <si>
    <t>Вологодская обл.</t>
  </si>
  <si>
    <t>Республика Ингушетия</t>
  </si>
  <si>
    <t>Челябинская обл.</t>
  </si>
  <si>
    <t>Республика Башкортостан</t>
  </si>
  <si>
    <t>Донецкая народная республика</t>
  </si>
  <si>
    <t>Херсонская обл.</t>
  </si>
  <si>
    <t>Запорожская обл.</t>
  </si>
  <si>
    <t>Республика Крым</t>
  </si>
  <si>
    <t>Месторождение</t>
  </si>
  <si>
    <t>Геологический горизонт</t>
  </si>
  <si>
    <t>Сценарий</t>
  </si>
  <si>
    <t>ООО "Газпром добыча Уренгой"</t>
  </si>
  <si>
    <t>ООО "Севернефтегазпром"</t>
  </si>
  <si>
    <t>АО "Газпром добыча Томск"</t>
  </si>
  <si>
    <t>ООО "Газпром добыча Тамбей"</t>
  </si>
  <si>
    <t>ПАО "Газпром нефть"</t>
  </si>
  <si>
    <t>ООО "Газпромнефть-Заполярье"</t>
  </si>
  <si>
    <t>ООО "Газпром добыча Иркутск"</t>
  </si>
  <si>
    <t>ООО "Газпром трансгаз Югорск"</t>
  </si>
  <si>
    <t>ООО "Газпром добыча шельф Южно-Сахалинск"</t>
  </si>
  <si>
    <t>ООО "Газпром добыча Кузнецк"</t>
  </si>
  <si>
    <t>Сахалинская энергия</t>
  </si>
  <si>
    <t>Астраханское</t>
  </si>
  <si>
    <t>Ковыктинское</t>
  </si>
  <si>
    <t>Марковское</t>
  </si>
  <si>
    <t>Мирненское</t>
  </si>
  <si>
    <t>Вуктыльское</t>
  </si>
  <si>
    <t>Западно-Соплесское</t>
  </si>
  <si>
    <t>Югидское</t>
  </si>
  <si>
    <t>Печорокожвинское</t>
  </si>
  <si>
    <t>Прибрежное</t>
  </si>
  <si>
    <t>Азовское</t>
  </si>
  <si>
    <t>Безопасненское</t>
  </si>
  <si>
    <t>Бейсугское</t>
  </si>
  <si>
    <t>Восточно-Прибрежное</t>
  </si>
  <si>
    <t>Гривенское</t>
  </si>
  <si>
    <t>Челбасское</t>
  </si>
  <si>
    <t>Тахта-Кугультинское</t>
  </si>
  <si>
    <t>Синявское</t>
  </si>
  <si>
    <t>Сенгилеевское</t>
  </si>
  <si>
    <t>Расшеватское</t>
  </si>
  <si>
    <t>Каменно-Балковское</t>
  </si>
  <si>
    <t>Ильинское</t>
  </si>
  <si>
    <t>Журавское</t>
  </si>
  <si>
    <t>Западно-Красноармейское</t>
  </si>
  <si>
    <t>Каневское-Лебяжье</t>
  </si>
  <si>
    <t>Красноармейское</t>
  </si>
  <si>
    <t>Мечетское</t>
  </si>
  <si>
    <t>Мостовянское</t>
  </si>
  <si>
    <t>Роговское</t>
  </si>
  <si>
    <t>Северо-Гривенское</t>
  </si>
  <si>
    <t>Северо-Прибрежное</t>
  </si>
  <si>
    <t>Северо-Чебургольское</t>
  </si>
  <si>
    <t>Элитное</t>
  </si>
  <si>
    <t>Южно-Радыковское</t>
  </si>
  <si>
    <t>Петровско-Благодарненское</t>
  </si>
  <si>
    <t>Кугутское</t>
  </si>
  <si>
    <t>Патроновское</t>
  </si>
  <si>
    <t>Николаевское</t>
  </si>
  <si>
    <t>Песчаное</t>
  </si>
  <si>
    <t>Граничное</t>
  </si>
  <si>
    <t>Радыковское</t>
  </si>
  <si>
    <t>Талдинское</t>
  </si>
  <si>
    <t>Нарыкско-Осташнинское</t>
  </si>
  <si>
    <t>Харасавэйское</t>
  </si>
  <si>
    <t>Чаяндинское</t>
  </si>
  <si>
    <t>Нижнеквакчикское</t>
  </si>
  <si>
    <t>Кшукское</t>
  </si>
  <si>
    <t>Северо-Колпаковское</t>
  </si>
  <si>
    <t>Бухаровское</t>
  </si>
  <si>
    <t>Оренбургское</t>
  </si>
  <si>
    <t>Лунское</t>
  </si>
  <si>
    <t>Пильтун-Астохское</t>
  </si>
  <si>
    <t>Южно-Русское</t>
  </si>
  <si>
    <t>Тамбейское</t>
  </si>
  <si>
    <t>Казанское</t>
  </si>
  <si>
    <t>Мыльджинское</t>
  </si>
  <si>
    <t>Останинское</t>
  </si>
  <si>
    <t>Северо-Васюганское</t>
  </si>
  <si>
    <t>Болтное</t>
  </si>
  <si>
    <t>Мирное</t>
  </si>
  <si>
    <t>Пинджинское</t>
  </si>
  <si>
    <t>Рыбальное</t>
  </si>
  <si>
    <t>Северо-Останинское</t>
  </si>
  <si>
    <t>Песцовое</t>
  </si>
  <si>
    <t>Березовское</t>
  </si>
  <si>
    <t>Деминское</t>
  </si>
  <si>
    <t>Киринское</t>
  </si>
  <si>
    <t>Южно-Киринское</t>
  </si>
  <si>
    <t>Форма сбора данных НСИ. Площадки</t>
  </si>
  <si>
    <t>Полное наименование площадки</t>
  </si>
  <si>
    <t>Площадка (УКПГ/УППГ)</t>
  </si>
  <si>
    <t>ЦДГГКН-1</t>
  </si>
  <si>
    <t>ЦДГГКН-2</t>
  </si>
  <si>
    <t>ДКС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</si>
</sst>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  <font>
      <sz val="11"/>
      <name val="Arial"/>
      <family val="2"/>
      <charset val="204"/>
      <scheme val="minor"/>
    </font>
    <font>
      <b/>
      <sz val="8"/>
      <color indexed="8"/>
      <name val="Times New Roman Cyr"/>
      <family val="1"/>
      <charset val="204"/>
    </font>
    <font>
      <b/>
      <sz val="11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theme="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2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</borders>
  <cellStyleXfs count="2">
    <xf numFmtId="0" fontId="0" fillId="0" borderId="0"/>
    <xf numFmtId="0" fontId="2" fillId="0" borderId="0"/>
  </cellStyleXfs>
  <cellXfs count="46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4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right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6" fillId="5" borderId="4" xfId="0" applyFont="1" applyFill="1" applyBorder="1" applyAlignment="1">
      <alignment horizontal="center" vertical="top"/>
    </xf>
    <xf numFmtId="0" fontId="6" fillId="5" borderId="5" xfId="0" applyFont="1" applyFill="1" applyBorder="1" applyAlignment="1">
      <alignment horizontal="center" vertical="top"/>
    </xf>
    <xf numFmtId="0" fontId="0" fillId="3" borderId="6" xfId="0" applyFont="1" applyFill="1" applyBorder="1"/>
    <xf numFmtId="0" fontId="0" fillId="3" borderId="7" xfId="0" applyFont="1" applyFill="1" applyBorder="1"/>
    <xf numFmtId="0" fontId="0" fillId="3" borderId="7" xfId="0" applyFont="1" applyFill="1" applyBorder="1" applyAlignment="1">
      <alignment horizontal="center" vertical="center"/>
    </xf>
    <xf numFmtId="0" fontId="0" fillId="4" borderId="8" xfId="0" applyFont="1" applyFill="1" applyBorder="1"/>
    <xf numFmtId="0" fontId="0" fillId="4" borderId="9" xfId="0" applyFont="1" applyFill="1" applyBorder="1"/>
    <xf numFmtId="0" fontId="0" fillId="4" borderId="9" xfId="0" applyFont="1" applyFill="1" applyBorder="1" applyAlignment="1">
      <alignment horizontal="center" vertical="center"/>
    </xf>
    <xf numFmtId="0" fontId="0" fillId="3" borderId="8" xfId="0" applyFont="1" applyFill="1" applyBorder="1"/>
    <xf numFmtId="0" fontId="0" fillId="3" borderId="9" xfId="0" applyFont="1" applyFill="1" applyBorder="1"/>
    <xf numFmtId="0" fontId="0" fillId="3" borderId="9" xfId="0" applyFont="1" applyFill="1" applyBorder="1" applyAlignment="1">
      <alignment horizontal="center" vertical="center"/>
    </xf>
    <xf numFmtId="0" fontId="0" fillId="0" borderId="10" xfId="0" applyFont="1" applyBorder="1"/>
    <xf numFmtId="0" fontId="0" fillId="4" borderId="10" xfId="0" applyFont="1" applyFill="1" applyBorder="1"/>
    <xf numFmtId="0" fontId="0" fillId="4" borderId="0" xfId="0" applyFont="1" applyFill="1" applyBorder="1"/>
    <xf numFmtId="0" fontId="0" fillId="0" borderId="0" xfId="0" applyAlignment="1">
      <alignment horizontal="center" vertical="center"/>
    </xf>
    <xf numFmtId="0" fontId="8" fillId="6" borderId="1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vertical="top" wrapText="1"/>
    </xf>
    <xf numFmtId="0" fontId="11" fillId="0" borderId="1" xfId="0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1" xfId="1" applyFont="1" applyBorder="1" applyAlignment="1">
      <alignment wrapText="1"/>
    </xf>
    <xf numFmtId="0" fontId="0" fillId="0" borderId="0" xfId="0" applyFont="1" applyBorder="1"/>
    <xf numFmtId="0" fontId="0" fillId="0" borderId="10" xfId="0" applyBorder="1"/>
    <xf numFmtId="0" fontId="2" fillId="0" borderId="10" xfId="0" applyFont="1" applyBorder="1" applyAlignment="1">
      <alignment horizontal="center" vertical="center"/>
    </xf>
    <xf numFmtId="0" fontId="7" fillId="0" borderId="0" xfId="0" applyFont="1" applyAlignment="1">
      <alignment vertical="top"/>
    </xf>
    <xf numFmtId="0" fontId="8" fillId="0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7" fillId="0" borderId="1" xfId="0" applyFont="1" applyBorder="1" applyAlignment="1">
      <alignment horizontal="right" vertical="top" wrapText="1"/>
    </xf>
    <xf numFmtId="0" fontId="7" fillId="0" borderId="0" xfId="0" applyFont="1" applyBorder="1" applyAlignment="1">
      <alignment horizontal="right" vertical="top" wrapText="1"/>
    </xf>
    <xf numFmtId="0" fontId="9" fillId="5" borderId="11" xfId="0" applyFont="1" applyFill="1" applyBorder="1" applyAlignment="1">
      <alignment vertical="top"/>
    </xf>
    <xf numFmtId="0" fontId="10" fillId="2" borderId="1" xfId="0" applyFont="1" applyFill="1" applyBorder="1" applyAlignment="1">
      <alignment horizontal="center" vertical="top" wrapText="1"/>
    </xf>
    <xf numFmtId="0" fontId="8" fillId="0" borderId="1" xfId="0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vertical="top" wrapText="1"/>
    </xf>
    <xf numFmtId="0" fontId="2" fillId="3" borderId="9" xfId="0" applyFont="1" applyFill="1" applyBorder="1"/>
  </cellXfs>
  <cellStyles count="2">
    <cellStyle name="Обычный" xfId="0" builtinId="0"/>
    <cellStyle name="Обычный 2" xfId="1" xr:uid="{00000000-0005-0000-0000-000001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30"/>
  <sheetViews>
    <sheetView showGridLines="0" tabSelected="1" view="pageBreakPreview" zoomScaleNormal="100" zoomScaleSheetLayoutView="100" workbookViewId="0">
      <selection activeCell="E11" sqref="E11"/>
    </sheetView>
  </sheetViews>
  <sheetFormatPr defaultColWidth="12.42578125" defaultRowHeight="15.75" x14ac:dyDescent="0.2"/>
  <cols>
    <col min="1" max="1" width="3" style="38" customWidth="1"/>
    <col min="2" max="2" width="32.42578125" style="38" customWidth="1"/>
    <col min="3" max="5" width="29.5703125" style="38" customWidth="1"/>
    <col min="6" max="6" width="56.28515625" style="38" customWidth="1"/>
    <col min="7" max="7" width="22" style="38" customWidth="1"/>
    <col min="8" max="16384" width="12.42578125" style="38"/>
  </cols>
  <sheetData>
    <row r="1" spans="2:7" ht="15.75" customHeight="1" x14ac:dyDescent="0.2">
      <c r="B1" s="36" t="s">
        <v>620</v>
      </c>
      <c r="C1" s="37"/>
      <c r="D1" s="37"/>
      <c r="E1" s="37"/>
    </row>
    <row r="2" spans="2:7" ht="15.75" customHeight="1" x14ac:dyDescent="0.2"/>
    <row r="3" spans="2:7" ht="15.75" customHeight="1" x14ac:dyDescent="0.2">
      <c r="B3" s="39" t="s">
        <v>541</v>
      </c>
      <c r="C3" s="29" t="s">
        <v>172</v>
      </c>
      <c r="D3" s="44"/>
      <c r="E3" s="44"/>
    </row>
    <row r="4" spans="2:7" ht="15.75" customHeight="1" x14ac:dyDescent="0.2">
      <c r="B4" s="39" t="s">
        <v>539</v>
      </c>
      <c r="C4" s="43" t="s">
        <v>44</v>
      </c>
    </row>
    <row r="5" spans="2:7" ht="15.75" customHeight="1" thickBot="1" x14ac:dyDescent="0.25">
      <c r="B5" s="40"/>
      <c r="C5" s="40"/>
      <c r="D5" s="40"/>
      <c r="E5" s="40"/>
      <c r="F5" s="40"/>
      <c r="G5" s="41"/>
    </row>
    <row r="6" spans="2:7" ht="16.5" thickTop="1" x14ac:dyDescent="0.2">
      <c r="B6" s="42" t="s">
        <v>540</v>
      </c>
      <c r="C6" s="42" t="s">
        <v>55</v>
      </c>
      <c r="D6" s="42" t="s">
        <v>622</v>
      </c>
      <c r="E6" s="42" t="s">
        <v>625</v>
      </c>
      <c r="F6" s="42" t="s">
        <v>621</v>
      </c>
    </row>
    <row r="7" spans="2:7" x14ac:dyDescent="0.2">
      <c r="B7" s="29" t="s">
        <v>102</v>
      </c>
      <c r="C7" s="29"/>
      <c r="D7" s="29" t="s">
        <v>130</v>
      </c>
      <c r="E7" s="29"/>
      <c r="F7" s="28" t="str">
        <f>CONCATENATE($C$4,".",B7,".",C7,".",D7)</f>
        <v>Уренгойское.Ачимовский..УКПГ-31</v>
      </c>
    </row>
    <row r="8" spans="2:7" ht="15.75" customHeight="1" x14ac:dyDescent="0.2">
      <c r="B8" s="43"/>
      <c r="C8" s="29"/>
      <c r="D8" s="29"/>
      <c r="E8" s="29"/>
      <c r="F8" s="28"/>
    </row>
    <row r="9" spans="2:7" ht="15.75" customHeight="1" x14ac:dyDescent="0.2">
      <c r="B9" s="43"/>
      <c r="C9" s="29"/>
      <c r="D9" s="29"/>
      <c r="E9" s="29"/>
      <c r="F9" s="28"/>
    </row>
    <row r="10" spans="2:7" ht="15.75" customHeight="1" x14ac:dyDescent="0.2">
      <c r="B10" s="43"/>
      <c r="C10" s="29"/>
      <c r="D10" s="29"/>
      <c r="E10" s="29"/>
      <c r="F10" s="28"/>
    </row>
    <row r="11" spans="2:7" ht="15.75" customHeight="1" x14ac:dyDescent="0.2">
      <c r="B11" s="43"/>
      <c r="C11" s="29"/>
      <c r="D11" s="29"/>
      <c r="E11" s="29"/>
      <c r="F11" s="28"/>
    </row>
    <row r="12" spans="2:7" ht="15.75" customHeight="1" x14ac:dyDescent="0.2">
      <c r="B12" s="43"/>
      <c r="C12" s="29"/>
      <c r="D12" s="29"/>
      <c r="E12" s="29"/>
      <c r="F12" s="28"/>
    </row>
    <row r="13" spans="2:7" ht="15.75" customHeight="1" x14ac:dyDescent="0.2">
      <c r="B13" s="43"/>
      <c r="C13" s="29"/>
      <c r="D13" s="29"/>
      <c r="E13" s="29"/>
      <c r="F13" s="28"/>
    </row>
    <row r="14" spans="2:7" ht="15.75" customHeight="1" x14ac:dyDescent="0.2">
      <c r="B14" s="43"/>
      <c r="C14" s="29"/>
      <c r="D14" s="29"/>
      <c r="E14" s="29"/>
      <c r="F14" s="28"/>
    </row>
    <row r="15" spans="2:7" ht="15.75" customHeight="1" x14ac:dyDescent="0.2">
      <c r="B15" s="43"/>
      <c r="C15" s="29"/>
      <c r="D15" s="29"/>
      <c r="E15" s="29"/>
      <c r="F15" s="28"/>
    </row>
    <row r="16" spans="2:7" ht="15.75" customHeight="1" x14ac:dyDescent="0.2">
      <c r="B16" s="43"/>
      <c r="C16" s="29"/>
      <c r="D16" s="29"/>
      <c r="E16" s="29"/>
      <c r="F16" s="28"/>
    </row>
    <row r="17" spans="1:6" ht="15.75" customHeight="1" x14ac:dyDescent="0.2">
      <c r="B17" s="43"/>
      <c r="C17" s="29"/>
      <c r="D17" s="29"/>
      <c r="E17" s="29"/>
      <c r="F17" s="28"/>
    </row>
    <row r="18" spans="1:6" ht="15.75" customHeight="1" x14ac:dyDescent="0.2">
      <c r="B18" s="43"/>
      <c r="C18" s="29"/>
      <c r="D18" s="29"/>
      <c r="E18" s="29"/>
      <c r="F18" s="28"/>
    </row>
    <row r="19" spans="1:6" ht="15.75" customHeight="1" x14ac:dyDescent="0.2">
      <c r="B19" s="43"/>
      <c r="C19" s="29"/>
      <c r="D19" s="29"/>
      <c r="E19" s="29"/>
      <c r="F19" s="28"/>
    </row>
    <row r="20" spans="1:6" ht="15.75" customHeight="1" x14ac:dyDescent="0.2">
      <c r="B20" s="43"/>
      <c r="C20" s="29"/>
      <c r="D20" s="29"/>
      <c r="E20" s="29"/>
      <c r="F20" s="28"/>
    </row>
    <row r="21" spans="1:6" ht="15.75" customHeight="1" x14ac:dyDescent="0.2">
      <c r="B21" s="43"/>
      <c r="C21" s="29"/>
      <c r="D21" s="29"/>
      <c r="E21" s="29"/>
      <c r="F21" s="28"/>
    </row>
    <row r="22" spans="1:6" x14ac:dyDescent="0.2">
      <c r="A22" s="44"/>
      <c r="B22" s="29"/>
      <c r="C22" s="29"/>
      <c r="D22" s="29"/>
      <c r="E22" s="29"/>
      <c r="F22" s="29"/>
    </row>
    <row r="23" spans="1:6" x14ac:dyDescent="0.2">
      <c r="A23" s="44"/>
      <c r="B23" s="29"/>
      <c r="C23" s="29"/>
      <c r="D23" s="29"/>
      <c r="E23" s="29"/>
      <c r="F23" s="29"/>
    </row>
    <row r="24" spans="1:6" x14ac:dyDescent="0.2">
      <c r="A24" s="44"/>
      <c r="B24" s="29"/>
      <c r="C24" s="29"/>
      <c r="D24" s="29"/>
      <c r="E24" s="29"/>
      <c r="F24" s="29"/>
    </row>
    <row r="25" spans="1:6" x14ac:dyDescent="0.2">
      <c r="A25" s="44"/>
      <c r="B25" s="29"/>
      <c r="C25" s="29"/>
      <c r="D25" s="29"/>
      <c r="E25" s="29"/>
      <c r="F25" s="29"/>
    </row>
    <row r="26" spans="1:6" x14ac:dyDescent="0.2">
      <c r="A26" s="44"/>
      <c r="B26" s="29"/>
      <c r="C26" s="29"/>
      <c r="D26" s="29"/>
      <c r="E26" s="29"/>
      <c r="F26" s="29"/>
    </row>
    <row r="27" spans="1:6" x14ac:dyDescent="0.2">
      <c r="A27" s="44"/>
      <c r="B27" s="29"/>
      <c r="C27" s="29"/>
      <c r="D27" s="29"/>
      <c r="E27" s="29"/>
      <c r="F27" s="29"/>
    </row>
    <row r="28" spans="1:6" x14ac:dyDescent="0.2">
      <c r="A28" s="44"/>
      <c r="B28" s="29"/>
      <c r="C28" s="29"/>
      <c r="D28" s="29"/>
      <c r="E28" s="29"/>
      <c r="F28" s="29"/>
    </row>
    <row r="29" spans="1:6" x14ac:dyDescent="0.2">
      <c r="A29" s="44"/>
      <c r="B29" s="29"/>
      <c r="C29" s="29"/>
      <c r="D29" s="29"/>
      <c r="E29" s="29"/>
      <c r="F29" s="29"/>
    </row>
    <row r="30" spans="1:6" x14ac:dyDescent="0.2">
      <c r="A30" s="44"/>
      <c r="B30" s="29"/>
      <c r="C30" s="29"/>
      <c r="D30" s="29"/>
      <c r="E30" s="29"/>
      <c r="F30" s="29"/>
    </row>
    <row r="31" spans="1:6" x14ac:dyDescent="0.2">
      <c r="A31" s="44"/>
      <c r="B31" s="29"/>
      <c r="C31" s="29"/>
      <c r="D31" s="29"/>
      <c r="E31" s="29"/>
      <c r="F31" s="29"/>
    </row>
    <row r="32" spans="1:6" x14ac:dyDescent="0.2">
      <c r="A32" s="44"/>
      <c r="B32" s="29"/>
      <c r="C32" s="29"/>
      <c r="D32" s="29"/>
      <c r="E32" s="29"/>
      <c r="F32" s="29"/>
    </row>
    <row r="33" spans="1:6" x14ac:dyDescent="0.2">
      <c r="A33" s="44"/>
      <c r="B33" s="29"/>
      <c r="C33" s="29"/>
      <c r="D33" s="29"/>
      <c r="E33" s="29"/>
      <c r="F33" s="29"/>
    </row>
    <row r="34" spans="1:6" x14ac:dyDescent="0.2">
      <c r="A34" s="44"/>
      <c r="B34" s="29"/>
      <c r="C34" s="29"/>
      <c r="D34" s="29"/>
      <c r="E34" s="29"/>
      <c r="F34" s="29"/>
    </row>
    <row r="35" spans="1:6" x14ac:dyDescent="0.2">
      <c r="A35" s="44"/>
      <c r="B35" s="29"/>
      <c r="C35" s="29"/>
      <c r="D35" s="29"/>
      <c r="E35" s="29"/>
      <c r="F35" s="29"/>
    </row>
    <row r="36" spans="1:6" x14ac:dyDescent="0.2">
      <c r="A36" s="44"/>
      <c r="B36" s="29"/>
      <c r="C36" s="29"/>
      <c r="D36" s="29"/>
      <c r="E36" s="29"/>
      <c r="F36" s="29"/>
    </row>
    <row r="37" spans="1:6" x14ac:dyDescent="0.2">
      <c r="A37" s="44"/>
      <c r="B37" s="29"/>
      <c r="C37" s="29"/>
      <c r="D37" s="29"/>
      <c r="E37" s="29"/>
      <c r="F37" s="29"/>
    </row>
    <row r="38" spans="1:6" x14ac:dyDescent="0.2">
      <c r="A38" s="44"/>
      <c r="B38" s="29"/>
      <c r="C38" s="29"/>
      <c r="D38" s="29"/>
      <c r="E38" s="29"/>
      <c r="F38" s="29"/>
    </row>
    <row r="39" spans="1:6" x14ac:dyDescent="0.2">
      <c r="A39" s="44"/>
      <c r="B39" s="29"/>
      <c r="C39" s="29"/>
      <c r="D39" s="29"/>
      <c r="E39" s="29"/>
      <c r="F39" s="29"/>
    </row>
    <row r="40" spans="1:6" x14ac:dyDescent="0.2">
      <c r="A40" s="44"/>
      <c r="B40" s="29"/>
      <c r="C40" s="29"/>
      <c r="D40" s="29"/>
      <c r="E40" s="29"/>
      <c r="F40" s="29"/>
    </row>
    <row r="41" spans="1:6" x14ac:dyDescent="0.2">
      <c r="A41" s="44"/>
      <c r="B41" s="29"/>
      <c r="C41" s="29"/>
      <c r="D41" s="29"/>
      <c r="E41" s="29"/>
      <c r="F41" s="29"/>
    </row>
    <row r="42" spans="1:6" x14ac:dyDescent="0.2">
      <c r="A42" s="44"/>
      <c r="B42" s="29"/>
      <c r="C42" s="29"/>
      <c r="D42" s="29"/>
      <c r="E42" s="29"/>
      <c r="F42" s="29"/>
    </row>
    <row r="43" spans="1:6" x14ac:dyDescent="0.2">
      <c r="A43" s="44"/>
      <c r="B43" s="29"/>
      <c r="C43" s="29"/>
      <c r="D43" s="29"/>
      <c r="E43" s="29"/>
      <c r="F43" s="29"/>
    </row>
    <row r="44" spans="1:6" x14ac:dyDescent="0.2">
      <c r="A44" s="44"/>
      <c r="B44" s="29"/>
      <c r="C44" s="29"/>
      <c r="D44" s="29"/>
      <c r="E44" s="29"/>
      <c r="F44" s="29"/>
    </row>
    <row r="45" spans="1:6" x14ac:dyDescent="0.2">
      <c r="A45" s="44"/>
      <c r="B45" s="29"/>
      <c r="C45" s="29"/>
      <c r="D45" s="29"/>
      <c r="E45" s="29"/>
      <c r="F45" s="29"/>
    </row>
    <row r="46" spans="1:6" x14ac:dyDescent="0.2">
      <c r="A46" s="44"/>
      <c r="B46" s="29"/>
      <c r="C46" s="29"/>
      <c r="D46" s="29"/>
      <c r="E46" s="29"/>
      <c r="F46" s="29"/>
    </row>
    <row r="47" spans="1:6" x14ac:dyDescent="0.2">
      <c r="A47" s="44"/>
      <c r="B47" s="29"/>
      <c r="C47" s="29"/>
      <c r="D47" s="29"/>
      <c r="E47" s="29"/>
      <c r="F47" s="29"/>
    </row>
    <row r="48" spans="1:6" x14ac:dyDescent="0.2">
      <c r="A48" s="44"/>
      <c r="B48" s="29"/>
      <c r="C48" s="29"/>
      <c r="D48" s="29"/>
      <c r="E48" s="29"/>
      <c r="F48" s="29"/>
    </row>
    <row r="49" spans="1:6" x14ac:dyDescent="0.2">
      <c r="A49" s="44"/>
      <c r="B49" s="29"/>
      <c r="C49" s="29"/>
      <c r="D49" s="29"/>
      <c r="E49" s="29"/>
      <c r="F49" s="29"/>
    </row>
    <row r="50" spans="1:6" x14ac:dyDescent="0.2">
      <c r="A50" s="44"/>
      <c r="B50" s="29"/>
      <c r="C50" s="29"/>
      <c r="D50" s="29"/>
      <c r="E50" s="29"/>
      <c r="F50" s="29"/>
    </row>
    <row r="51" spans="1:6" x14ac:dyDescent="0.2">
      <c r="A51" s="44"/>
      <c r="B51" s="29"/>
      <c r="C51" s="29"/>
      <c r="D51" s="29"/>
      <c r="E51" s="29"/>
      <c r="F51" s="29"/>
    </row>
    <row r="52" spans="1:6" x14ac:dyDescent="0.2">
      <c r="A52" s="44"/>
      <c r="B52" s="29"/>
      <c r="C52" s="29"/>
      <c r="D52" s="29"/>
      <c r="E52" s="29"/>
      <c r="F52" s="29"/>
    </row>
    <row r="53" spans="1:6" x14ac:dyDescent="0.2">
      <c r="A53" s="44"/>
      <c r="B53" s="29"/>
      <c r="C53" s="29"/>
      <c r="D53" s="29"/>
      <c r="E53" s="29"/>
      <c r="F53" s="29"/>
    </row>
    <row r="54" spans="1:6" x14ac:dyDescent="0.2">
      <c r="A54" s="44"/>
      <c r="B54" s="29"/>
      <c r="C54" s="29"/>
      <c r="D54" s="29"/>
      <c r="E54" s="29"/>
      <c r="F54" s="29"/>
    </row>
    <row r="55" spans="1:6" x14ac:dyDescent="0.2">
      <c r="A55" s="44"/>
      <c r="B55" s="29"/>
      <c r="C55" s="29"/>
      <c r="D55" s="29"/>
      <c r="E55" s="29"/>
      <c r="F55" s="29"/>
    </row>
    <row r="56" spans="1:6" x14ac:dyDescent="0.2">
      <c r="A56" s="44"/>
      <c r="B56" s="29"/>
      <c r="C56" s="29"/>
      <c r="D56" s="29"/>
      <c r="E56" s="29"/>
      <c r="F56" s="29"/>
    </row>
    <row r="57" spans="1:6" x14ac:dyDescent="0.2">
      <c r="A57" s="44"/>
      <c r="B57" s="29"/>
      <c r="C57" s="29"/>
      <c r="D57" s="29"/>
      <c r="E57" s="29"/>
      <c r="F57" s="29"/>
    </row>
    <row r="58" spans="1:6" x14ac:dyDescent="0.2">
      <c r="A58" s="44"/>
      <c r="B58" s="29"/>
      <c r="C58" s="29"/>
      <c r="D58" s="29"/>
      <c r="E58" s="29"/>
      <c r="F58" s="29"/>
    </row>
    <row r="59" spans="1:6" x14ac:dyDescent="0.2">
      <c r="A59" s="44"/>
      <c r="B59" s="29"/>
      <c r="C59" s="29"/>
      <c r="D59" s="29"/>
      <c r="E59" s="29"/>
      <c r="F59" s="29"/>
    </row>
    <row r="60" spans="1:6" x14ac:dyDescent="0.2">
      <c r="A60" s="44"/>
      <c r="B60" s="29"/>
      <c r="C60" s="29"/>
      <c r="D60" s="29"/>
      <c r="E60" s="29"/>
      <c r="F60" s="29"/>
    </row>
    <row r="61" spans="1:6" x14ac:dyDescent="0.2">
      <c r="A61" s="44"/>
      <c r="B61" s="29"/>
      <c r="C61" s="29"/>
      <c r="D61" s="29"/>
      <c r="E61" s="29"/>
      <c r="F61" s="29"/>
    </row>
    <row r="62" spans="1:6" x14ac:dyDescent="0.2">
      <c r="A62" s="44"/>
      <c r="B62" s="29"/>
      <c r="C62" s="29"/>
      <c r="D62" s="29"/>
      <c r="E62" s="29"/>
      <c r="F62" s="29"/>
    </row>
    <row r="63" spans="1:6" x14ac:dyDescent="0.2">
      <c r="A63" s="44"/>
      <c r="B63" s="29"/>
      <c r="C63" s="29"/>
      <c r="D63" s="29"/>
      <c r="E63" s="29"/>
      <c r="F63" s="29"/>
    </row>
    <row r="64" spans="1:6" x14ac:dyDescent="0.2">
      <c r="A64" s="44"/>
      <c r="B64" s="29"/>
      <c r="C64" s="29"/>
      <c r="D64" s="29"/>
      <c r="E64" s="29"/>
      <c r="F64" s="29"/>
    </row>
    <row r="65" spans="1:6" x14ac:dyDescent="0.2">
      <c r="A65" s="44"/>
      <c r="B65" s="29"/>
      <c r="C65" s="29"/>
      <c r="D65" s="29"/>
      <c r="E65" s="29"/>
      <c r="F65" s="29"/>
    </row>
    <row r="66" spans="1:6" x14ac:dyDescent="0.2">
      <c r="A66" s="44"/>
      <c r="B66" s="29"/>
      <c r="C66" s="29"/>
      <c r="D66" s="29"/>
      <c r="E66" s="29"/>
      <c r="F66" s="29"/>
    </row>
    <row r="67" spans="1:6" x14ac:dyDescent="0.2">
      <c r="A67" s="44"/>
      <c r="B67" s="29"/>
      <c r="C67" s="29"/>
      <c r="D67" s="29"/>
      <c r="E67" s="29"/>
      <c r="F67" s="29"/>
    </row>
    <row r="68" spans="1:6" x14ac:dyDescent="0.2">
      <c r="A68" s="44"/>
      <c r="B68" s="29"/>
      <c r="C68" s="29"/>
      <c r="D68" s="29"/>
      <c r="E68" s="29"/>
      <c r="F68" s="29"/>
    </row>
    <row r="69" spans="1:6" x14ac:dyDescent="0.2">
      <c r="A69" s="44"/>
      <c r="B69" s="29"/>
      <c r="C69" s="29"/>
      <c r="D69" s="29"/>
      <c r="E69" s="29"/>
      <c r="F69" s="29"/>
    </row>
    <row r="70" spans="1:6" x14ac:dyDescent="0.2">
      <c r="A70" s="44"/>
      <c r="B70" s="29"/>
      <c r="C70" s="29"/>
      <c r="D70" s="29"/>
      <c r="E70" s="29"/>
      <c r="F70" s="29"/>
    </row>
    <row r="71" spans="1:6" x14ac:dyDescent="0.2">
      <c r="A71" s="44"/>
      <c r="B71" s="29"/>
      <c r="C71" s="29"/>
      <c r="D71" s="29"/>
      <c r="E71" s="29"/>
      <c r="F71" s="29"/>
    </row>
    <row r="72" spans="1:6" x14ac:dyDescent="0.2">
      <c r="A72" s="44"/>
      <c r="B72" s="29"/>
      <c r="C72" s="29"/>
      <c r="D72" s="29"/>
      <c r="E72" s="29"/>
      <c r="F72" s="29"/>
    </row>
    <row r="73" spans="1:6" x14ac:dyDescent="0.2">
      <c r="A73" s="44"/>
      <c r="B73" s="29"/>
      <c r="C73" s="29"/>
      <c r="D73" s="29"/>
      <c r="E73" s="29"/>
      <c r="F73" s="29"/>
    </row>
    <row r="74" spans="1:6" x14ac:dyDescent="0.2">
      <c r="A74" s="44"/>
      <c r="B74" s="29"/>
      <c r="C74" s="29"/>
      <c r="D74" s="29"/>
      <c r="E74" s="29"/>
      <c r="F74" s="29"/>
    </row>
    <row r="75" spans="1:6" x14ac:dyDescent="0.2">
      <c r="A75" s="44"/>
      <c r="B75" s="29"/>
      <c r="C75" s="29"/>
      <c r="D75" s="29"/>
      <c r="E75" s="29"/>
      <c r="F75" s="29"/>
    </row>
    <row r="76" spans="1:6" x14ac:dyDescent="0.2">
      <c r="A76" s="44"/>
      <c r="B76" s="29"/>
      <c r="C76" s="29"/>
      <c r="D76" s="29"/>
      <c r="E76" s="29"/>
      <c r="F76" s="29"/>
    </row>
    <row r="77" spans="1:6" x14ac:dyDescent="0.2">
      <c r="A77" s="44"/>
      <c r="B77" s="29"/>
      <c r="C77" s="29"/>
      <c r="D77" s="29"/>
      <c r="E77" s="29"/>
      <c r="F77" s="29"/>
    </row>
    <row r="78" spans="1:6" x14ac:dyDescent="0.2">
      <c r="A78" s="44"/>
      <c r="B78" s="29"/>
      <c r="C78" s="29"/>
      <c r="D78" s="29"/>
      <c r="E78" s="29"/>
      <c r="F78" s="29"/>
    </row>
    <row r="79" spans="1:6" x14ac:dyDescent="0.2">
      <c r="A79" s="44"/>
      <c r="B79" s="29"/>
      <c r="C79" s="29"/>
      <c r="D79" s="29"/>
      <c r="E79" s="29"/>
      <c r="F79" s="29"/>
    </row>
    <row r="80" spans="1:6" x14ac:dyDescent="0.2">
      <c r="A80" s="44"/>
      <c r="B80" s="29"/>
      <c r="C80" s="29"/>
      <c r="D80" s="29"/>
      <c r="E80" s="29"/>
      <c r="F80" s="29"/>
    </row>
    <row r="81" spans="1:6" x14ac:dyDescent="0.2">
      <c r="A81" s="44"/>
      <c r="B81" s="29"/>
      <c r="C81" s="29"/>
      <c r="D81" s="29"/>
      <c r="E81" s="29"/>
      <c r="F81" s="29"/>
    </row>
    <row r="82" spans="1:6" x14ac:dyDescent="0.2">
      <c r="A82" s="44"/>
      <c r="B82" s="29"/>
      <c r="C82" s="29"/>
      <c r="D82" s="29"/>
      <c r="E82" s="29"/>
      <c r="F82" s="29"/>
    </row>
    <row r="83" spans="1:6" x14ac:dyDescent="0.2">
      <c r="A83" s="44"/>
      <c r="B83" s="29"/>
      <c r="C83" s="29"/>
      <c r="D83" s="29"/>
      <c r="E83" s="29"/>
      <c r="F83" s="29"/>
    </row>
    <row r="84" spans="1:6" x14ac:dyDescent="0.2">
      <c r="A84" s="44"/>
      <c r="B84" s="29"/>
      <c r="C84" s="29"/>
      <c r="D84" s="29"/>
      <c r="E84" s="29"/>
      <c r="F84" s="29"/>
    </row>
    <row r="85" spans="1:6" x14ac:dyDescent="0.2">
      <c r="A85" s="44"/>
      <c r="B85" s="29"/>
      <c r="C85" s="29"/>
      <c r="D85" s="29"/>
      <c r="E85" s="29"/>
      <c r="F85" s="29"/>
    </row>
    <row r="86" spans="1:6" x14ac:dyDescent="0.2">
      <c r="A86" s="44"/>
      <c r="B86" s="29"/>
      <c r="C86" s="29"/>
      <c r="D86" s="29"/>
      <c r="E86" s="29"/>
      <c r="F86" s="29"/>
    </row>
    <row r="87" spans="1:6" x14ac:dyDescent="0.2">
      <c r="A87" s="44"/>
      <c r="B87" s="29"/>
      <c r="C87" s="29"/>
      <c r="D87" s="29"/>
      <c r="E87" s="29"/>
      <c r="F87" s="29"/>
    </row>
    <row r="88" spans="1:6" x14ac:dyDescent="0.2">
      <c r="A88" s="44"/>
      <c r="B88" s="29"/>
      <c r="C88" s="29"/>
      <c r="D88" s="29"/>
      <c r="E88" s="29"/>
      <c r="F88" s="29"/>
    </row>
    <row r="89" spans="1:6" x14ac:dyDescent="0.2">
      <c r="A89" s="44"/>
      <c r="B89" s="29"/>
      <c r="C89" s="29"/>
      <c r="D89" s="29"/>
      <c r="E89" s="29"/>
      <c r="F89" s="29"/>
    </row>
    <row r="90" spans="1:6" x14ac:dyDescent="0.2">
      <c r="A90" s="44"/>
      <c r="B90" s="29"/>
      <c r="C90" s="29"/>
      <c r="D90" s="29"/>
      <c r="E90" s="29"/>
      <c r="F90" s="29"/>
    </row>
    <row r="91" spans="1:6" x14ac:dyDescent="0.2">
      <c r="A91" s="44"/>
      <c r="B91" s="29"/>
      <c r="C91" s="29"/>
      <c r="D91" s="29"/>
      <c r="E91" s="29"/>
      <c r="F91" s="29"/>
    </row>
    <row r="92" spans="1:6" x14ac:dyDescent="0.2">
      <c r="A92" s="44"/>
      <c r="B92" s="29"/>
      <c r="C92" s="29"/>
      <c r="D92" s="29"/>
      <c r="E92" s="29"/>
      <c r="F92" s="29"/>
    </row>
    <row r="93" spans="1:6" x14ac:dyDescent="0.2">
      <c r="A93" s="44"/>
      <c r="B93" s="29"/>
      <c r="C93" s="29"/>
      <c r="D93" s="29"/>
      <c r="E93" s="29"/>
      <c r="F93" s="29"/>
    </row>
    <row r="94" spans="1:6" x14ac:dyDescent="0.2">
      <c r="A94" s="44"/>
      <c r="B94" s="29"/>
      <c r="C94" s="29"/>
      <c r="D94" s="29"/>
      <c r="E94" s="29"/>
      <c r="F94" s="29"/>
    </row>
    <row r="95" spans="1:6" x14ac:dyDescent="0.2">
      <c r="A95" s="44"/>
      <c r="B95" s="29"/>
      <c r="C95" s="29"/>
      <c r="D95" s="29"/>
      <c r="E95" s="29"/>
      <c r="F95" s="29"/>
    </row>
    <row r="96" spans="1:6" x14ac:dyDescent="0.2">
      <c r="A96" s="44"/>
      <c r="B96" s="29"/>
      <c r="C96" s="29"/>
      <c r="D96" s="29"/>
      <c r="E96" s="29"/>
      <c r="F96" s="29"/>
    </row>
    <row r="97" spans="1:6" x14ac:dyDescent="0.2">
      <c r="A97" s="44"/>
      <c r="B97" s="29"/>
      <c r="C97" s="29"/>
      <c r="D97" s="29"/>
      <c r="E97" s="29"/>
      <c r="F97" s="29"/>
    </row>
    <row r="98" spans="1:6" x14ac:dyDescent="0.2">
      <c r="A98" s="44"/>
      <c r="B98" s="29"/>
      <c r="C98" s="29"/>
      <c r="D98" s="29"/>
      <c r="E98" s="29"/>
      <c r="F98" s="29"/>
    </row>
    <row r="99" spans="1:6" x14ac:dyDescent="0.2">
      <c r="A99" s="44"/>
      <c r="B99" s="29"/>
      <c r="C99" s="29"/>
      <c r="D99" s="29"/>
      <c r="E99" s="29"/>
      <c r="F99" s="29"/>
    </row>
    <row r="100" spans="1:6" x14ac:dyDescent="0.2">
      <c r="A100" s="44"/>
      <c r="B100" s="29"/>
      <c r="C100" s="29"/>
      <c r="D100" s="29"/>
      <c r="E100" s="29"/>
      <c r="F100" s="29"/>
    </row>
    <row r="101" spans="1:6" x14ac:dyDescent="0.2">
      <c r="A101" s="44"/>
      <c r="B101" s="29"/>
      <c r="C101" s="29"/>
      <c r="D101" s="29"/>
      <c r="E101" s="29"/>
      <c r="F101" s="29"/>
    </row>
    <row r="102" spans="1:6" x14ac:dyDescent="0.2">
      <c r="A102" s="44"/>
      <c r="B102" s="29"/>
      <c r="C102" s="29"/>
      <c r="D102" s="29"/>
      <c r="E102" s="29"/>
      <c r="F102" s="29"/>
    </row>
    <row r="103" spans="1:6" x14ac:dyDescent="0.2">
      <c r="A103" s="44"/>
      <c r="B103" s="29"/>
      <c r="C103" s="29"/>
      <c r="D103" s="29"/>
      <c r="E103" s="29"/>
      <c r="F103" s="29"/>
    </row>
    <row r="104" spans="1:6" x14ac:dyDescent="0.2">
      <c r="A104" s="44"/>
      <c r="B104" s="44"/>
      <c r="C104" s="44"/>
      <c r="D104" s="44"/>
      <c r="E104" s="44"/>
    </row>
    <row r="105" spans="1:6" x14ac:dyDescent="0.2">
      <c r="A105" s="44"/>
      <c r="B105" s="44"/>
      <c r="C105" s="44"/>
      <c r="D105" s="44"/>
      <c r="E105" s="44"/>
    </row>
    <row r="106" spans="1:6" x14ac:dyDescent="0.2">
      <c r="A106" s="44"/>
      <c r="B106" s="44"/>
      <c r="C106" s="44"/>
      <c r="D106" s="44"/>
      <c r="E106" s="44"/>
    </row>
    <row r="107" spans="1:6" x14ac:dyDescent="0.2">
      <c r="A107" s="44"/>
      <c r="B107" s="44"/>
      <c r="C107" s="44"/>
      <c r="D107" s="44"/>
      <c r="E107" s="44"/>
    </row>
    <row r="108" spans="1:6" x14ac:dyDescent="0.2">
      <c r="A108" s="44"/>
      <c r="B108" s="44"/>
      <c r="C108" s="44"/>
      <c r="D108" s="44"/>
      <c r="E108" s="44"/>
    </row>
    <row r="109" spans="1:6" x14ac:dyDescent="0.2">
      <c r="A109" s="44"/>
      <c r="B109" s="44"/>
      <c r="C109" s="44"/>
      <c r="D109" s="44"/>
      <c r="E109" s="44"/>
    </row>
    <row r="110" spans="1:6" x14ac:dyDescent="0.2">
      <c r="A110" s="44"/>
      <c r="B110" s="44"/>
      <c r="C110" s="44"/>
      <c r="D110" s="44"/>
      <c r="E110" s="44"/>
    </row>
    <row r="111" spans="1:6" x14ac:dyDescent="0.2">
      <c r="A111" s="44"/>
      <c r="B111" s="44"/>
      <c r="C111" s="44"/>
      <c r="D111" s="44"/>
      <c r="E111" s="44"/>
    </row>
    <row r="112" spans="1:6" x14ac:dyDescent="0.2">
      <c r="A112" s="44"/>
      <c r="B112" s="44"/>
      <c r="C112" s="44"/>
      <c r="D112" s="44"/>
      <c r="E112" s="44"/>
    </row>
    <row r="113" spans="1:5" x14ac:dyDescent="0.2">
      <c r="A113" s="44"/>
      <c r="B113" s="44"/>
      <c r="C113" s="44"/>
      <c r="D113" s="44"/>
      <c r="E113" s="44"/>
    </row>
    <row r="114" spans="1:5" x14ac:dyDescent="0.2">
      <c r="A114" s="44"/>
      <c r="B114" s="44"/>
      <c r="C114" s="44"/>
      <c r="D114" s="44"/>
      <c r="E114" s="44"/>
    </row>
    <row r="115" spans="1:5" x14ac:dyDescent="0.2">
      <c r="A115" s="44"/>
      <c r="B115" s="44"/>
      <c r="C115" s="44"/>
      <c r="D115" s="44"/>
      <c r="E115" s="44"/>
    </row>
    <row r="116" spans="1:5" x14ac:dyDescent="0.2">
      <c r="A116" s="44"/>
      <c r="B116" s="44"/>
      <c r="C116" s="44"/>
      <c r="D116" s="44"/>
      <c r="E116" s="44"/>
    </row>
    <row r="117" spans="1:5" x14ac:dyDescent="0.2">
      <c r="A117" s="44"/>
      <c r="B117" s="44"/>
      <c r="C117" s="44"/>
      <c r="D117" s="44"/>
      <c r="E117" s="44"/>
    </row>
    <row r="118" spans="1:5" x14ac:dyDescent="0.2">
      <c r="A118" s="44"/>
      <c r="B118" s="44"/>
      <c r="C118" s="44"/>
      <c r="D118" s="44"/>
      <c r="E118" s="44"/>
    </row>
    <row r="119" spans="1:5" x14ac:dyDescent="0.2">
      <c r="A119" s="44"/>
      <c r="B119" s="44"/>
      <c r="C119" s="44"/>
      <c r="D119" s="44"/>
      <c r="E119" s="44"/>
    </row>
    <row r="120" spans="1:5" x14ac:dyDescent="0.2">
      <c r="A120" s="44"/>
      <c r="B120" s="44"/>
      <c r="C120" s="44"/>
      <c r="D120" s="44"/>
      <c r="E120" s="44"/>
    </row>
    <row r="121" spans="1:5" x14ac:dyDescent="0.2">
      <c r="A121" s="44"/>
      <c r="B121" s="44"/>
      <c r="C121" s="44"/>
      <c r="D121" s="44"/>
      <c r="E121" s="44"/>
    </row>
    <row r="122" spans="1:5" x14ac:dyDescent="0.2">
      <c r="A122" s="44"/>
      <c r="B122" s="44"/>
      <c r="C122" s="44"/>
      <c r="D122" s="44"/>
      <c r="E122" s="44"/>
    </row>
    <row r="123" spans="1:5" x14ac:dyDescent="0.2">
      <c r="A123" s="44"/>
      <c r="B123" s="44"/>
      <c r="C123" s="44"/>
      <c r="D123" s="44"/>
      <c r="E123" s="44"/>
    </row>
    <row r="124" spans="1:5" x14ac:dyDescent="0.2">
      <c r="A124" s="44"/>
      <c r="B124" s="44"/>
      <c r="C124" s="44"/>
      <c r="D124" s="44"/>
      <c r="E124" s="44"/>
    </row>
    <row r="125" spans="1:5" x14ac:dyDescent="0.2">
      <c r="A125" s="44"/>
      <c r="B125" s="44"/>
      <c r="C125" s="44"/>
      <c r="D125" s="44"/>
      <c r="E125" s="44"/>
    </row>
    <row r="126" spans="1:5" x14ac:dyDescent="0.2">
      <c r="A126" s="44"/>
      <c r="B126" s="44"/>
      <c r="C126" s="44"/>
      <c r="D126" s="44"/>
      <c r="E126" s="44"/>
    </row>
    <row r="127" spans="1:5" x14ac:dyDescent="0.2">
      <c r="A127" s="44"/>
      <c r="B127" s="44"/>
      <c r="C127" s="44"/>
      <c r="D127" s="44"/>
      <c r="E127" s="44"/>
    </row>
    <row r="128" spans="1:5" x14ac:dyDescent="0.2">
      <c r="A128" s="44"/>
      <c r="B128" s="44"/>
      <c r="C128" s="44"/>
      <c r="D128" s="44"/>
      <c r="E128" s="44"/>
    </row>
    <row r="129" spans="1:5" x14ac:dyDescent="0.2">
      <c r="A129" s="44"/>
      <c r="B129" s="44"/>
      <c r="C129" s="44"/>
      <c r="D129" s="44"/>
      <c r="E129" s="44"/>
    </row>
    <row r="130" spans="1:5" x14ac:dyDescent="0.2">
      <c r="A130" s="44"/>
      <c r="B130" s="44"/>
      <c r="C130" s="44"/>
      <c r="D130" s="44"/>
      <c r="E130" s="44"/>
    </row>
  </sheetData>
  <dataValidations count="1">
    <dataValidation type="list" allowBlank="1" showInputMessage="1" showErrorMessage="1" sqref="B22:B103 C8:E103" xr:uid="{00000000-0002-0000-0000-000000000000}">
      <formula1>$L$3:$L$7</formula1>
    </dataValidation>
  </dataValidations>
  <pageMargins left="0.7" right="0.7" top="0.75" bottom="0.75" header="0.3" footer="0.3"/>
  <pageSetup paperSize="9" scale="31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1000000}">
          <x14:formula1>
            <xm:f>Справочники!$S$3:$S$28</xm:f>
          </x14:formula1>
          <xm:sqref>F22:F103</xm:sqref>
        </x14:dataValidation>
        <x14:dataValidation type="list" allowBlank="1" showInputMessage="1" showErrorMessage="1" xr:uid="{00000000-0002-0000-0000-000002000000}">
          <x14:formula1>
            <xm:f>Справочники!$I$3</xm:f>
          </x14:formula1>
          <xm:sqref>C3:E3</xm:sqref>
        </x14:dataValidation>
        <x14:dataValidation type="list" allowBlank="1" showInputMessage="1" showErrorMessage="1" xr:uid="{00000000-0002-0000-0000-000003000000}">
          <x14:formula1>
            <xm:f>Справочники!$L$4:$L$85</xm:f>
          </x14:formula1>
          <xm:sqref>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X999"/>
  <sheetViews>
    <sheetView topLeftCell="R136" workbookViewId="0">
      <selection activeCell="V154" sqref="V154:V155"/>
    </sheetView>
  </sheetViews>
  <sheetFormatPr defaultColWidth="12.42578125" defaultRowHeight="12.75" x14ac:dyDescent="0.2"/>
  <cols>
    <col min="1" max="1" width="12.42578125" style="11"/>
    <col min="2" max="2" width="20.85546875" style="11" customWidth="1"/>
    <col min="3" max="3" width="9" style="11" customWidth="1"/>
    <col min="4" max="4" width="12.42578125" style="11"/>
    <col min="5" max="5" width="42" style="11" customWidth="1"/>
    <col min="6" max="6" width="12.42578125" style="11"/>
    <col min="7" max="7" width="36.42578125" style="11" customWidth="1"/>
    <col min="8" max="8" width="12.42578125" style="11"/>
    <col min="9" max="13" width="17.85546875" style="11" customWidth="1"/>
    <col min="14" max="14" width="31.140625" style="11" customWidth="1"/>
    <col min="15" max="15" width="20.7109375" style="11" customWidth="1"/>
    <col min="16" max="20" width="33.7109375" style="11" customWidth="1"/>
    <col min="21" max="31" width="19.85546875" style="11" customWidth="1"/>
    <col min="32" max="35" width="12.42578125" style="11"/>
    <col min="36" max="36" width="18.85546875" style="11" customWidth="1"/>
    <col min="37" max="43" width="12.42578125" style="11"/>
    <col min="44" max="44" width="28.5703125" style="1" customWidth="1"/>
    <col min="45" max="16384" width="12.42578125" style="11"/>
  </cols>
  <sheetData>
    <row r="1" spans="1:50" x14ac:dyDescent="0.2">
      <c r="C1" s="10"/>
      <c r="D1" s="10"/>
      <c r="E1" s="10"/>
      <c r="F1" s="10"/>
    </row>
    <row r="2" spans="1:50" ht="25.5" x14ac:dyDescent="0.2">
      <c r="C2" s="2"/>
      <c r="D2" s="2"/>
      <c r="E2" s="2"/>
      <c r="F2" s="2"/>
      <c r="G2" s="12"/>
      <c r="H2" s="12"/>
      <c r="I2" s="12"/>
      <c r="J2" s="12"/>
      <c r="K2" s="12"/>
      <c r="L2" s="12"/>
      <c r="M2" s="12"/>
      <c r="N2" s="12"/>
      <c r="O2" s="11" t="s">
        <v>6</v>
      </c>
      <c r="P2" s="12"/>
      <c r="Q2" s="2" t="s">
        <v>172</v>
      </c>
      <c r="R2" s="12"/>
      <c r="S2" s="12" t="s">
        <v>278</v>
      </c>
      <c r="T2" s="12"/>
      <c r="U2" s="12"/>
      <c r="V2" s="12"/>
      <c r="W2" s="12"/>
      <c r="X2" s="12"/>
      <c r="Y2" s="12"/>
      <c r="Z2" t="s">
        <v>54</v>
      </c>
      <c r="AA2" s="12"/>
      <c r="AB2" t="s">
        <v>55</v>
      </c>
      <c r="AC2" s="12"/>
      <c r="AD2" t="s">
        <v>52</v>
      </c>
      <c r="AE2" t="s">
        <v>53</v>
      </c>
      <c r="AF2" s="12"/>
      <c r="AG2" s="12"/>
      <c r="AH2" s="12"/>
    </row>
    <row r="3" spans="1:50" ht="90" x14ac:dyDescent="0.25">
      <c r="A3" s="12" t="s">
        <v>457</v>
      </c>
      <c r="B3" s="12" t="s">
        <v>459</v>
      </c>
      <c r="C3" s="2"/>
      <c r="D3" s="12" t="s">
        <v>7</v>
      </c>
      <c r="E3" s="2" t="s">
        <v>0</v>
      </c>
      <c r="F3" s="2" t="s">
        <v>15</v>
      </c>
      <c r="G3" s="30" t="s">
        <v>8</v>
      </c>
      <c r="H3" s="12" t="s">
        <v>16</v>
      </c>
      <c r="I3" s="12" t="s">
        <v>172</v>
      </c>
      <c r="J3" s="12"/>
      <c r="K3" s="12" t="s">
        <v>458</v>
      </c>
      <c r="L3" s="12" t="s">
        <v>539</v>
      </c>
      <c r="M3" s="12"/>
      <c r="N3" s="12" t="s">
        <v>32</v>
      </c>
      <c r="O3" s="12" t="s">
        <v>301</v>
      </c>
      <c r="P3" s="2" t="s">
        <v>6</v>
      </c>
      <c r="Q3" s="2" t="s">
        <v>173</v>
      </c>
      <c r="S3" s="2" t="s">
        <v>431</v>
      </c>
      <c r="U3" s="13" t="s">
        <v>49</v>
      </c>
      <c r="V3" s="13" t="s">
        <v>50</v>
      </c>
      <c r="W3" s="14" t="s">
        <v>51</v>
      </c>
      <c r="X3" t="s">
        <v>52</v>
      </c>
      <c r="Y3" t="s">
        <v>53</v>
      </c>
      <c r="Z3" t="s">
        <v>59</v>
      </c>
      <c r="AA3" t="s">
        <v>54</v>
      </c>
      <c r="AB3" t="s">
        <v>132</v>
      </c>
      <c r="AC3" t="s">
        <v>55</v>
      </c>
      <c r="AD3" t="s">
        <v>58</v>
      </c>
      <c r="AE3" t="s">
        <v>71</v>
      </c>
      <c r="AF3" s="12" t="s">
        <v>18</v>
      </c>
      <c r="AG3" s="12">
        <v>2024</v>
      </c>
      <c r="AH3" s="12"/>
      <c r="AI3" s="12" t="s">
        <v>19</v>
      </c>
      <c r="AJ3" s="12" t="s">
        <v>426</v>
      </c>
      <c r="AK3" s="12" t="s">
        <v>264</v>
      </c>
      <c r="AL3" s="12" t="s">
        <v>265</v>
      </c>
      <c r="AM3" s="12"/>
      <c r="AN3" s="12" t="s">
        <v>269</v>
      </c>
      <c r="AP3" s="12" t="s">
        <v>272</v>
      </c>
      <c r="AQ3" s="1" t="s">
        <v>268</v>
      </c>
      <c r="AW3" s="12" t="s">
        <v>19</v>
      </c>
      <c r="AX3" s="12" t="s">
        <v>376</v>
      </c>
    </row>
    <row r="4" spans="1:50" ht="45" x14ac:dyDescent="0.25">
      <c r="B4" s="12" t="s">
        <v>460</v>
      </c>
      <c r="C4" s="2"/>
      <c r="D4" s="12"/>
      <c r="E4" s="2" t="s">
        <v>17</v>
      </c>
      <c r="F4" s="12"/>
      <c r="G4" s="30" t="s">
        <v>542</v>
      </c>
      <c r="H4" s="2"/>
      <c r="I4" s="12"/>
      <c r="J4" s="12"/>
      <c r="K4" s="32" t="s">
        <v>13</v>
      </c>
      <c r="L4" s="12" t="s">
        <v>553</v>
      </c>
      <c r="M4" s="12"/>
      <c r="N4" s="12" t="s">
        <v>33</v>
      </c>
      <c r="O4" s="12" t="s">
        <v>302</v>
      </c>
      <c r="P4" s="2" t="str">
        <f>CONCATENATE(U4,".",AA4,".",AC4,".",W4)</f>
        <v>Бованенковское.Сеноман-апт..ПК1</v>
      </c>
      <c r="Q4" s="2" t="s">
        <v>174</v>
      </c>
      <c r="R4" s="2" t="str">
        <f>CONCATENATE(U4,".",AA4,".",V4)</f>
        <v>Бованенковское.Сеноман-апт.УКПГ-2</v>
      </c>
      <c r="S4" s="2" t="s">
        <v>432</v>
      </c>
      <c r="T4" s="2" t="str">
        <f>CONCATENATE(U4,".",AA4)</f>
        <v>Бованенковское.Сеноман-апт</v>
      </c>
      <c r="U4" s="15" t="s">
        <v>32</v>
      </c>
      <c r="V4" s="16" t="s">
        <v>56</v>
      </c>
      <c r="W4" s="17" t="s">
        <v>57</v>
      </c>
      <c r="X4" t="s">
        <v>58</v>
      </c>
      <c r="Y4" t="s">
        <v>71</v>
      </c>
      <c r="Z4" t="s">
        <v>71</v>
      </c>
      <c r="AA4" t="s">
        <v>59</v>
      </c>
      <c r="AB4" t="s">
        <v>134</v>
      </c>
      <c r="AC4"/>
      <c r="AD4" s="33" t="s">
        <v>62</v>
      </c>
      <c r="AE4" t="s">
        <v>166</v>
      </c>
      <c r="AF4" s="12"/>
      <c r="AG4" s="12">
        <v>2025</v>
      </c>
      <c r="AH4" s="12"/>
      <c r="AI4" s="12"/>
      <c r="AJ4" s="12" t="s">
        <v>427</v>
      </c>
      <c r="AK4" s="12"/>
      <c r="AL4" s="12" t="s">
        <v>266</v>
      </c>
      <c r="AM4" s="12"/>
      <c r="AN4" s="12" t="s">
        <v>270</v>
      </c>
      <c r="AP4" s="12" t="s">
        <v>273</v>
      </c>
      <c r="AS4" s="1" t="s">
        <v>277</v>
      </c>
      <c r="AT4" s="1" t="s">
        <v>278</v>
      </c>
      <c r="AU4" s="1" t="s">
        <v>279</v>
      </c>
      <c r="AX4" s="12" t="s">
        <v>377</v>
      </c>
    </row>
    <row r="5" spans="1:50" ht="51.75" x14ac:dyDescent="0.25">
      <c r="B5" s="11" t="s">
        <v>461</v>
      </c>
      <c r="C5" s="2"/>
      <c r="D5" s="12"/>
      <c r="E5" s="2" t="s">
        <v>1</v>
      </c>
      <c r="F5" s="12"/>
      <c r="G5" s="30" t="s">
        <v>9</v>
      </c>
      <c r="H5" s="12"/>
      <c r="I5" s="12"/>
      <c r="J5" s="12"/>
      <c r="K5" s="12" t="s">
        <v>12</v>
      </c>
      <c r="L5" s="12" t="s">
        <v>562</v>
      </c>
      <c r="M5" s="12"/>
      <c r="N5" s="12" t="s">
        <v>34</v>
      </c>
      <c r="O5" s="12" t="s">
        <v>303</v>
      </c>
      <c r="P5" s="2" t="str">
        <f t="shared" ref="P5:P68" si="0">CONCATENATE(U5,".",AA5,".",AC5,".",W5)</f>
        <v>Бованенковское.Сеноман-апт..ПК1</v>
      </c>
      <c r="Q5" s="2" t="s">
        <v>175</v>
      </c>
      <c r="R5" s="2" t="str">
        <f t="shared" ref="R5:R68" si="1">CONCATENATE(U5,".",AA5,".",V5)</f>
        <v>Бованенковское.Сеноман-апт.УКПГ-3</v>
      </c>
      <c r="S5" s="2" t="s">
        <v>433</v>
      </c>
      <c r="T5" s="2" t="str">
        <f t="shared" ref="T5:T68" si="2">CONCATENATE(U5,".",AA5)</f>
        <v>Бованенковское.Сеноман-апт</v>
      </c>
      <c r="U5" s="18" t="s">
        <v>32</v>
      </c>
      <c r="V5" s="19" t="s">
        <v>60</v>
      </c>
      <c r="W5" s="20" t="s">
        <v>57</v>
      </c>
      <c r="X5" t="s">
        <v>58</v>
      </c>
      <c r="Y5" t="s">
        <v>71</v>
      </c>
      <c r="Z5" t="s">
        <v>75</v>
      </c>
      <c r="AA5" t="s">
        <v>59</v>
      </c>
      <c r="AB5" t="s">
        <v>137</v>
      </c>
      <c r="AC5"/>
      <c r="AD5" t="s">
        <v>68</v>
      </c>
      <c r="AE5" t="s">
        <v>167</v>
      </c>
      <c r="AF5" s="12"/>
      <c r="AG5" s="12">
        <v>2026</v>
      </c>
      <c r="AH5" s="12"/>
      <c r="AI5" s="12"/>
      <c r="AJ5" s="12" t="s">
        <v>428</v>
      </c>
      <c r="AK5" s="12"/>
      <c r="AL5" s="12" t="s">
        <v>267</v>
      </c>
      <c r="AM5" s="12"/>
      <c r="AN5" s="12" t="s">
        <v>271</v>
      </c>
      <c r="AP5" s="12" t="s">
        <v>275</v>
      </c>
      <c r="AR5" s="1" t="s">
        <v>280</v>
      </c>
      <c r="AX5" s="12" t="s">
        <v>378</v>
      </c>
    </row>
    <row r="6" spans="1:50" ht="39" x14ac:dyDescent="0.25">
      <c r="B6" s="11" t="s">
        <v>462</v>
      </c>
      <c r="C6" s="2"/>
      <c r="D6" s="12"/>
      <c r="E6" s="2" t="s">
        <v>2</v>
      </c>
      <c r="F6" s="12"/>
      <c r="G6" s="30" t="s">
        <v>10</v>
      </c>
      <c r="H6" s="12"/>
      <c r="I6" s="12"/>
      <c r="J6" s="12"/>
      <c r="K6" s="12" t="s">
        <v>12</v>
      </c>
      <c r="L6" s="12" t="s">
        <v>563</v>
      </c>
      <c r="M6" s="12"/>
      <c r="N6" s="12" t="s">
        <v>35</v>
      </c>
      <c r="O6" s="12" t="s">
        <v>304</v>
      </c>
      <c r="P6" s="2" t="str">
        <f t="shared" si="0"/>
        <v>Бованенковское.Сеноман-апт..ПК10</v>
      </c>
      <c r="Q6" s="2" t="s">
        <v>176</v>
      </c>
      <c r="R6" s="2" t="str">
        <f t="shared" si="1"/>
        <v>Бованенковское.Сеноман-апт.УКПГ-2</v>
      </c>
      <c r="S6" s="2" t="s">
        <v>434</v>
      </c>
      <c r="T6" s="2" t="str">
        <f t="shared" si="2"/>
        <v>Бованенковское.Сеноман-апт</v>
      </c>
      <c r="U6" s="21" t="s">
        <v>32</v>
      </c>
      <c r="V6" s="22" t="s">
        <v>56</v>
      </c>
      <c r="W6" s="23" t="s">
        <v>61</v>
      </c>
      <c r="X6" s="24" t="s">
        <v>62</v>
      </c>
      <c r="Y6" t="s">
        <v>166</v>
      </c>
      <c r="Z6" t="s">
        <v>102</v>
      </c>
      <c r="AA6" t="s">
        <v>59</v>
      </c>
      <c r="AB6" t="s">
        <v>139</v>
      </c>
      <c r="AC6"/>
      <c r="AD6" s="25" t="s">
        <v>74</v>
      </c>
      <c r="AE6" t="s">
        <v>168</v>
      </c>
      <c r="AF6" s="12"/>
      <c r="AG6" s="12">
        <v>2027</v>
      </c>
      <c r="AH6" s="12"/>
      <c r="AI6" s="12"/>
      <c r="AJ6" s="12" t="s">
        <v>429</v>
      </c>
      <c r="AK6" s="12"/>
      <c r="AL6" s="12"/>
      <c r="AM6" s="12"/>
      <c r="AN6" s="12"/>
      <c r="AP6" s="12" t="s">
        <v>274</v>
      </c>
      <c r="AR6" s="1" t="s">
        <v>281</v>
      </c>
      <c r="AX6" s="12" t="s">
        <v>379</v>
      </c>
    </row>
    <row r="7" spans="1:50" ht="39" x14ac:dyDescent="0.25">
      <c r="B7" s="11" t="s">
        <v>463</v>
      </c>
      <c r="C7" s="2"/>
      <c r="D7" s="12"/>
      <c r="E7" s="2" t="s">
        <v>3</v>
      </c>
      <c r="F7" s="12"/>
      <c r="G7" s="30" t="s">
        <v>11</v>
      </c>
      <c r="H7" s="12"/>
      <c r="I7" s="12"/>
      <c r="J7" s="12"/>
      <c r="K7" s="12" t="s">
        <v>12</v>
      </c>
      <c r="L7" s="12" t="s">
        <v>564</v>
      </c>
      <c r="M7" s="12"/>
      <c r="N7" s="12" t="s">
        <v>36</v>
      </c>
      <c r="O7" s="12" t="s">
        <v>305</v>
      </c>
      <c r="P7" s="2" t="str">
        <f t="shared" si="0"/>
        <v>Бованенковское.Сеноман-апт..ПК9</v>
      </c>
      <c r="Q7" s="2" t="s">
        <v>177</v>
      </c>
      <c r="R7" s="2" t="str">
        <f t="shared" si="1"/>
        <v>Бованенковское.Сеноман-апт.УКПГ-1</v>
      </c>
      <c r="S7" s="2" t="s">
        <v>435</v>
      </c>
      <c r="T7" s="2" t="str">
        <f t="shared" si="2"/>
        <v>Бованенковское.Сеноман-апт</v>
      </c>
      <c r="U7" s="18" t="s">
        <v>32</v>
      </c>
      <c r="V7" s="19" t="s">
        <v>63</v>
      </c>
      <c r="W7" s="20" t="s">
        <v>64</v>
      </c>
      <c r="X7" s="24" t="s">
        <v>62</v>
      </c>
      <c r="Y7" t="s">
        <v>166</v>
      </c>
      <c r="Z7" t="s">
        <v>152</v>
      </c>
      <c r="AA7" t="s">
        <v>59</v>
      </c>
      <c r="AB7" t="s">
        <v>140</v>
      </c>
      <c r="AC7"/>
      <c r="AD7" s="25" t="s">
        <v>79</v>
      </c>
      <c r="AE7" t="s">
        <v>169</v>
      </c>
      <c r="AF7" s="12"/>
      <c r="AG7" s="12">
        <v>2028</v>
      </c>
      <c r="AH7" s="12"/>
      <c r="AI7" s="12"/>
      <c r="AJ7" s="12" t="s">
        <v>430</v>
      </c>
      <c r="AK7" s="12"/>
      <c r="AL7" s="12"/>
      <c r="AM7" s="12"/>
      <c r="AN7" s="12"/>
      <c r="AP7" s="12" t="s">
        <v>276</v>
      </c>
      <c r="AR7" s="1" t="s">
        <v>282</v>
      </c>
      <c r="AX7" s="12" t="s">
        <v>380</v>
      </c>
    </row>
    <row r="8" spans="1:50" ht="26.25" x14ac:dyDescent="0.25">
      <c r="B8" s="11" t="s">
        <v>464</v>
      </c>
      <c r="C8" s="2"/>
      <c r="D8" s="12"/>
      <c r="E8" s="2" t="s">
        <v>4</v>
      </c>
      <c r="F8" s="12"/>
      <c r="G8" s="30" t="s">
        <v>12</v>
      </c>
      <c r="H8" s="12"/>
      <c r="I8" s="12"/>
      <c r="J8" s="12"/>
      <c r="K8" s="11" t="s">
        <v>549</v>
      </c>
      <c r="L8" s="11" t="s">
        <v>616</v>
      </c>
      <c r="M8" s="12"/>
      <c r="N8" s="12" t="s">
        <v>37</v>
      </c>
      <c r="O8" s="12" t="s">
        <v>306</v>
      </c>
      <c r="P8" s="2" t="str">
        <f t="shared" si="0"/>
        <v>Бованенковское.Сеноман-апт..ПК9</v>
      </c>
      <c r="Q8" s="2" t="s">
        <v>178</v>
      </c>
      <c r="R8" s="2" t="str">
        <f t="shared" si="1"/>
        <v>Бованенковское.Сеноман-апт.УКПГ-2</v>
      </c>
      <c r="S8" s="2" t="s">
        <v>436</v>
      </c>
      <c r="T8" s="2" t="str">
        <f t="shared" si="2"/>
        <v>Бованенковское.Сеноман-апт</v>
      </c>
      <c r="U8" s="21" t="s">
        <v>32</v>
      </c>
      <c r="V8" s="22" t="s">
        <v>56</v>
      </c>
      <c r="W8" s="23" t="s">
        <v>64</v>
      </c>
      <c r="X8" s="24" t="s">
        <v>62</v>
      </c>
      <c r="Y8" t="s">
        <v>166</v>
      </c>
      <c r="Z8"/>
      <c r="AA8" t="s">
        <v>59</v>
      </c>
      <c r="AB8" t="s">
        <v>143</v>
      </c>
      <c r="AC8"/>
      <c r="AD8" s="25" t="s">
        <v>83</v>
      </c>
      <c r="AE8" t="s">
        <v>170</v>
      </c>
      <c r="AF8" s="12"/>
      <c r="AG8" s="12">
        <v>2029</v>
      </c>
      <c r="AH8" s="12"/>
      <c r="AI8" s="12"/>
      <c r="AJ8" s="12"/>
      <c r="AK8" s="12"/>
      <c r="AL8" s="12"/>
      <c r="AM8" s="12"/>
      <c r="AN8" s="12"/>
      <c r="AP8" s="12" t="s">
        <v>20</v>
      </c>
      <c r="AR8" s="1" t="s">
        <v>283</v>
      </c>
      <c r="AX8" s="12" t="s">
        <v>381</v>
      </c>
    </row>
    <row r="9" spans="1:50" ht="26.25" x14ac:dyDescent="0.25">
      <c r="B9" s="11" t="s">
        <v>465</v>
      </c>
      <c r="C9" s="2"/>
      <c r="D9" s="12"/>
      <c r="E9" s="2" t="s">
        <v>5</v>
      </c>
      <c r="F9" s="12"/>
      <c r="G9" s="30" t="s">
        <v>13</v>
      </c>
      <c r="H9" s="12"/>
      <c r="I9" s="12"/>
      <c r="J9" s="12"/>
      <c r="K9" s="11" t="s">
        <v>9</v>
      </c>
      <c r="L9" s="11" t="s">
        <v>32</v>
      </c>
      <c r="M9" s="12"/>
      <c r="N9" s="12" t="s">
        <v>38</v>
      </c>
      <c r="O9" s="12" t="s">
        <v>307</v>
      </c>
      <c r="P9" s="2" t="str">
        <f t="shared" si="0"/>
        <v>Бованенковское.Сеноман-апт..ТП1-6</v>
      </c>
      <c r="Q9" s="2" t="s">
        <v>179</v>
      </c>
      <c r="R9" s="2" t="str">
        <f t="shared" si="1"/>
        <v>Бованенковское.Сеноман-апт.УКПГ-2</v>
      </c>
      <c r="S9" s="2" t="s">
        <v>437</v>
      </c>
      <c r="T9" s="2" t="str">
        <f t="shared" si="2"/>
        <v>Бованенковское.Сеноман-апт</v>
      </c>
      <c r="U9" s="18" t="s">
        <v>32</v>
      </c>
      <c r="V9" s="19" t="s">
        <v>56</v>
      </c>
      <c r="W9" s="20" t="s">
        <v>65</v>
      </c>
      <c r="X9" s="24" t="s">
        <v>62</v>
      </c>
      <c r="Y9" t="s">
        <v>166</v>
      </c>
      <c r="Z9"/>
      <c r="AA9" t="s">
        <v>59</v>
      </c>
      <c r="AB9" t="s">
        <v>146</v>
      </c>
      <c r="AC9"/>
      <c r="AD9" s="34" t="s">
        <v>101</v>
      </c>
      <c r="AE9" t="s">
        <v>102</v>
      </c>
      <c r="AF9" s="12"/>
      <c r="AG9" s="12">
        <v>2030</v>
      </c>
      <c r="AH9" s="12"/>
      <c r="AI9" s="12"/>
      <c r="AJ9" s="12"/>
      <c r="AK9" s="12"/>
      <c r="AL9" s="12"/>
      <c r="AM9" s="12"/>
      <c r="AN9" s="12"/>
      <c r="AP9" s="12" t="s">
        <v>21</v>
      </c>
      <c r="AR9" s="1" t="s">
        <v>284</v>
      </c>
      <c r="AX9" s="12" t="s">
        <v>382</v>
      </c>
    </row>
    <row r="10" spans="1:50" ht="26.25" x14ac:dyDescent="0.25">
      <c r="B10" s="11" t="s">
        <v>466</v>
      </c>
      <c r="C10" s="2"/>
      <c r="D10" s="12"/>
      <c r="E10" s="2"/>
      <c r="F10" s="2"/>
      <c r="G10" s="30" t="s">
        <v>14</v>
      </c>
      <c r="H10" s="12"/>
      <c r="I10" s="12"/>
      <c r="J10" s="12"/>
      <c r="K10" s="11" t="s">
        <v>544</v>
      </c>
      <c r="L10" s="11" t="s">
        <v>610</v>
      </c>
      <c r="M10" s="12"/>
      <c r="N10" s="12" t="s">
        <v>39</v>
      </c>
      <c r="O10" s="12" t="s">
        <v>308</v>
      </c>
      <c r="P10" s="2" t="str">
        <f t="shared" si="0"/>
        <v>Бованенковское.Сеноман-апт..ТП1-6</v>
      </c>
      <c r="Q10" s="2" t="s">
        <v>180</v>
      </c>
      <c r="R10" s="2" t="str">
        <f t="shared" si="1"/>
        <v>Бованенковское.Сеноман-апт.УКПГ-1</v>
      </c>
      <c r="S10" s="2" t="s">
        <v>438</v>
      </c>
      <c r="T10" s="2" t="str">
        <f t="shared" si="2"/>
        <v>Бованенковское.Сеноман-апт</v>
      </c>
      <c r="U10" s="21" t="s">
        <v>32</v>
      </c>
      <c r="V10" s="22" t="s">
        <v>63</v>
      </c>
      <c r="W10" s="23" t="s">
        <v>65</v>
      </c>
      <c r="X10" s="24" t="s">
        <v>62</v>
      </c>
      <c r="Y10" t="s">
        <v>166</v>
      </c>
      <c r="Z10"/>
      <c r="AA10" t="s">
        <v>59</v>
      </c>
      <c r="AB10" t="s">
        <v>149</v>
      </c>
      <c r="AC10"/>
      <c r="AD10" s="34" t="s">
        <v>105</v>
      </c>
      <c r="AE10" t="s">
        <v>171</v>
      </c>
      <c r="AF10" s="12"/>
      <c r="AG10" s="12">
        <v>2031</v>
      </c>
      <c r="AH10" s="12"/>
      <c r="AI10" s="12"/>
      <c r="AJ10" s="12"/>
      <c r="AK10" s="12"/>
      <c r="AL10" s="12"/>
      <c r="AM10" s="12"/>
      <c r="AN10" s="12"/>
      <c r="AP10" s="12" t="s">
        <v>22</v>
      </c>
      <c r="AR10" s="1" t="s">
        <v>285</v>
      </c>
      <c r="AX10" s="12" t="s">
        <v>383</v>
      </c>
    </row>
    <row r="11" spans="1:50" ht="26.25" x14ac:dyDescent="0.25">
      <c r="B11" s="11" t="s">
        <v>467</v>
      </c>
      <c r="C11" s="2"/>
      <c r="D11" s="12"/>
      <c r="E11" s="2"/>
      <c r="F11" s="12"/>
      <c r="G11" s="30" t="s">
        <v>543</v>
      </c>
      <c r="H11" s="12"/>
      <c r="I11" s="12"/>
      <c r="J11" s="12"/>
      <c r="K11" s="11" t="s">
        <v>10</v>
      </c>
      <c r="L11" s="11" t="s">
        <v>600</v>
      </c>
      <c r="M11" s="12"/>
      <c r="N11" s="12" t="s">
        <v>40</v>
      </c>
      <c r="O11" s="12" t="s">
        <v>309</v>
      </c>
      <c r="P11" s="2" t="str">
        <f t="shared" si="0"/>
        <v>Бованенковское.Сеноман-апт..ТП1-6</v>
      </c>
      <c r="Q11" s="2" t="s">
        <v>181</v>
      </c>
      <c r="R11" s="2" t="str">
        <f t="shared" si="1"/>
        <v>Бованенковское.Сеноман-апт.УКПГ-3</v>
      </c>
      <c r="S11" s="2" t="s">
        <v>439</v>
      </c>
      <c r="T11" s="2" t="str">
        <f t="shared" si="2"/>
        <v>Бованенковское.Сеноман-апт</v>
      </c>
      <c r="U11" s="18" t="s">
        <v>32</v>
      </c>
      <c r="V11" s="19" t="s">
        <v>60</v>
      </c>
      <c r="W11" s="20" t="s">
        <v>65</v>
      </c>
      <c r="X11" s="24" t="s">
        <v>62</v>
      </c>
      <c r="Y11" t="s">
        <v>166</v>
      </c>
      <c r="Z11"/>
      <c r="AA11" t="s">
        <v>59</v>
      </c>
      <c r="AB11" t="s">
        <v>155</v>
      </c>
      <c r="AC11"/>
      <c r="AD11" s="25" t="s">
        <v>151</v>
      </c>
      <c r="AE11" t="s">
        <v>152</v>
      </c>
      <c r="AF11" s="12"/>
      <c r="AG11" s="12">
        <v>2032</v>
      </c>
      <c r="AH11" s="12"/>
      <c r="AI11" s="12"/>
      <c r="AJ11" s="12"/>
      <c r="AK11" s="12"/>
      <c r="AL11" s="12"/>
      <c r="AM11" s="12"/>
      <c r="AN11" s="12"/>
      <c r="AP11" s="12" t="s">
        <v>23</v>
      </c>
      <c r="AR11" s="1" t="s">
        <v>286</v>
      </c>
      <c r="AX11" s="12" t="s">
        <v>384</v>
      </c>
    </row>
    <row r="12" spans="1:50" ht="39" x14ac:dyDescent="0.25">
      <c r="B12" s="11" t="s">
        <v>468</v>
      </c>
      <c r="C12" s="2"/>
      <c r="D12" s="2"/>
      <c r="E12" s="12"/>
      <c r="F12" s="12"/>
      <c r="G12" s="30" t="s">
        <v>544</v>
      </c>
      <c r="H12" s="12"/>
      <c r="I12" s="12"/>
      <c r="J12" s="12"/>
      <c r="K12" s="12" t="s">
        <v>12</v>
      </c>
      <c r="L12" s="12" t="s">
        <v>565</v>
      </c>
      <c r="M12" s="12"/>
      <c r="N12" s="12" t="s">
        <v>41</v>
      </c>
      <c r="O12" s="12" t="s">
        <v>310</v>
      </c>
      <c r="P12" s="2" t="str">
        <f t="shared" si="0"/>
        <v>Бованенковское.Сеноман-апт..ТП7-11</v>
      </c>
      <c r="Q12" s="2" t="s">
        <v>182</v>
      </c>
      <c r="R12" s="2" t="str">
        <f t="shared" si="1"/>
        <v>Бованенковское.Сеноман-апт.УКПГ-2</v>
      </c>
      <c r="S12" s="2" t="s">
        <v>440</v>
      </c>
      <c r="T12" s="2" t="str">
        <f t="shared" si="2"/>
        <v>Бованенковское.Сеноман-апт</v>
      </c>
      <c r="U12" s="21" t="s">
        <v>32</v>
      </c>
      <c r="V12" s="22" t="s">
        <v>56</v>
      </c>
      <c r="W12" s="23" t="s">
        <v>66</v>
      </c>
      <c r="X12" s="24" t="s">
        <v>62</v>
      </c>
      <c r="Y12" t="s">
        <v>166</v>
      </c>
      <c r="Z12"/>
      <c r="AA12" t="s">
        <v>59</v>
      </c>
      <c r="AB12" t="s">
        <v>157</v>
      </c>
      <c r="AC12"/>
      <c r="AD12" s="35"/>
      <c r="AE12"/>
      <c r="AF12" s="12"/>
      <c r="AG12" s="12">
        <v>2033</v>
      </c>
      <c r="AH12" s="12"/>
      <c r="AI12" s="12"/>
      <c r="AJ12" s="12"/>
      <c r="AK12" s="12"/>
      <c r="AL12" s="12"/>
      <c r="AM12" s="12"/>
      <c r="AN12" s="12"/>
      <c r="AP12" s="12" t="s">
        <v>24</v>
      </c>
      <c r="AR12" s="1" t="s">
        <v>287</v>
      </c>
      <c r="AX12" s="12" t="s">
        <v>385</v>
      </c>
    </row>
    <row r="13" spans="1:50" ht="39" x14ac:dyDescent="0.25">
      <c r="B13" s="11" t="s">
        <v>469</v>
      </c>
      <c r="C13" s="2"/>
      <c r="D13" s="2"/>
      <c r="E13" s="12"/>
      <c r="F13" s="12"/>
      <c r="G13" s="30" t="s">
        <v>545</v>
      </c>
      <c r="H13" s="12"/>
      <c r="I13" s="12"/>
      <c r="J13" s="12"/>
      <c r="K13" s="12" t="s">
        <v>12</v>
      </c>
      <c r="L13" s="12" t="s">
        <v>557</v>
      </c>
      <c r="M13" s="12"/>
      <c r="N13" s="12" t="s">
        <v>42</v>
      </c>
      <c r="O13" s="12" t="s">
        <v>311</v>
      </c>
      <c r="P13" s="2" t="str">
        <f t="shared" si="0"/>
        <v>Бованенковское.Сеноман-апт..ТП7-11</v>
      </c>
      <c r="Q13" s="2" t="s">
        <v>183</v>
      </c>
      <c r="R13" s="2" t="str">
        <f t="shared" si="1"/>
        <v>Бованенковское.Сеноман-апт.УКПГ-1</v>
      </c>
      <c r="S13" s="2" t="s">
        <v>441</v>
      </c>
      <c r="T13" s="2" t="str">
        <f t="shared" si="2"/>
        <v>Бованенковское.Сеноман-апт</v>
      </c>
      <c r="U13" s="18" t="s">
        <v>32</v>
      </c>
      <c r="V13" s="19" t="s">
        <v>63</v>
      </c>
      <c r="W13" s="20" t="s">
        <v>66</v>
      </c>
      <c r="X13" s="24" t="s">
        <v>62</v>
      </c>
      <c r="Y13" t="s">
        <v>166</v>
      </c>
      <c r="Z13"/>
      <c r="AA13" t="s">
        <v>59</v>
      </c>
      <c r="AB13" t="s">
        <v>159</v>
      </c>
      <c r="AC13"/>
      <c r="AD13" s="27"/>
      <c r="AE13"/>
      <c r="AF13" s="12"/>
      <c r="AG13" s="12">
        <v>2034</v>
      </c>
      <c r="AH13" s="12"/>
      <c r="AI13" s="12"/>
      <c r="AJ13" s="12"/>
      <c r="AK13" s="12"/>
      <c r="AL13" s="12"/>
      <c r="AM13" s="12"/>
      <c r="AN13" s="12"/>
      <c r="AP13" s="12" t="s">
        <v>25</v>
      </c>
      <c r="AR13" s="1" t="s">
        <v>288</v>
      </c>
      <c r="AX13" s="12" t="s">
        <v>386</v>
      </c>
    </row>
    <row r="14" spans="1:50" ht="26.25" x14ac:dyDescent="0.25">
      <c r="B14" s="11" t="s">
        <v>470</v>
      </c>
      <c r="C14" s="2"/>
      <c r="D14" s="2"/>
      <c r="E14" s="12"/>
      <c r="F14" s="12"/>
      <c r="G14" s="31" t="s">
        <v>548</v>
      </c>
      <c r="H14" s="12"/>
      <c r="I14" s="12"/>
      <c r="J14" s="12"/>
      <c r="K14" s="11" t="s">
        <v>10</v>
      </c>
      <c r="L14" s="11" t="s">
        <v>33</v>
      </c>
      <c r="M14" s="12"/>
      <c r="N14" s="12" t="s">
        <v>43</v>
      </c>
      <c r="O14" s="12" t="s">
        <v>312</v>
      </c>
      <c r="P14" s="2" t="str">
        <f t="shared" si="0"/>
        <v>Бованенковское.Сеноман-апт..ХМ1-2</v>
      </c>
      <c r="Q14" s="2" t="s">
        <v>184</v>
      </c>
      <c r="R14" s="2" t="str">
        <f t="shared" si="1"/>
        <v>Бованенковское.Сеноман-апт.УКПГ-2</v>
      </c>
      <c r="S14" s="2" t="s">
        <v>442</v>
      </c>
      <c r="T14" s="2" t="str">
        <f t="shared" si="2"/>
        <v>Бованенковское.Сеноман-апт</v>
      </c>
      <c r="U14" s="21" t="s">
        <v>32</v>
      </c>
      <c r="V14" s="22" t="s">
        <v>56</v>
      </c>
      <c r="W14" s="23" t="s">
        <v>67</v>
      </c>
      <c r="X14" t="s">
        <v>68</v>
      </c>
      <c r="Y14" t="s">
        <v>167</v>
      </c>
      <c r="Z14"/>
      <c r="AA14" t="s">
        <v>59</v>
      </c>
      <c r="AB14"/>
      <c r="AC14"/>
      <c r="AF14" s="12"/>
      <c r="AG14" s="12">
        <v>2035</v>
      </c>
      <c r="AH14" s="12"/>
      <c r="AI14" s="12"/>
      <c r="AJ14" s="12"/>
      <c r="AK14" s="12"/>
      <c r="AL14" s="12"/>
      <c r="AM14" s="12"/>
      <c r="AN14" s="12"/>
      <c r="AP14" s="12" t="s">
        <v>26</v>
      </c>
      <c r="AR14" s="1" t="s">
        <v>289</v>
      </c>
      <c r="AX14" s="12" t="s">
        <v>387</v>
      </c>
    </row>
    <row r="15" spans="1:50" ht="26.25" x14ac:dyDescent="0.25">
      <c r="B15" s="11" t="s">
        <v>471</v>
      </c>
      <c r="C15" s="2"/>
      <c r="D15" s="2"/>
      <c r="E15" s="12"/>
      <c r="F15" s="12"/>
      <c r="G15" s="31" t="s">
        <v>549</v>
      </c>
      <c r="H15" s="12"/>
      <c r="I15" s="12"/>
      <c r="J15" s="12"/>
      <c r="K15" s="11" t="s">
        <v>10</v>
      </c>
      <c r="L15" s="11" t="s">
        <v>34</v>
      </c>
      <c r="M15" s="12"/>
      <c r="N15" s="12" t="s">
        <v>44</v>
      </c>
      <c r="O15" s="12" t="s">
        <v>313</v>
      </c>
      <c r="P15" s="2" t="str">
        <f t="shared" si="0"/>
        <v>Бованенковское.Сеноман-апт..ХМ1-2</v>
      </c>
      <c r="Q15" s="2" t="s">
        <v>185</v>
      </c>
      <c r="R15" s="2" t="str">
        <f t="shared" si="1"/>
        <v>Бованенковское.Сеноман-апт.УКПГ-1</v>
      </c>
      <c r="S15" s="2" t="s">
        <v>443</v>
      </c>
      <c r="T15" s="2" t="str">
        <f t="shared" si="2"/>
        <v>Бованенковское.Сеноман-апт</v>
      </c>
      <c r="U15" s="18" t="s">
        <v>32</v>
      </c>
      <c r="V15" s="19" t="s">
        <v>63</v>
      </c>
      <c r="W15" s="20" t="s">
        <v>67</v>
      </c>
      <c r="X15" t="s">
        <v>68</v>
      </c>
      <c r="Y15" t="s">
        <v>167</v>
      </c>
      <c r="Z15"/>
      <c r="AA15" t="s">
        <v>59</v>
      </c>
      <c r="AB15"/>
      <c r="AC15"/>
      <c r="AD15"/>
      <c r="AE15"/>
      <c r="AF15" s="12"/>
      <c r="AG15" s="12">
        <v>2036</v>
      </c>
      <c r="AH15" s="12"/>
      <c r="AJ15" s="12"/>
      <c r="AP15" s="12" t="s">
        <v>27</v>
      </c>
      <c r="AR15" s="1" t="s">
        <v>290</v>
      </c>
      <c r="AX15" s="12" t="s">
        <v>388</v>
      </c>
    </row>
    <row r="16" spans="1:50" ht="39" x14ac:dyDescent="0.25">
      <c r="B16" s="11" t="s">
        <v>472</v>
      </c>
      <c r="C16" s="2"/>
      <c r="D16" s="2"/>
      <c r="E16" s="12"/>
      <c r="F16" s="12"/>
      <c r="G16" s="31" t="s">
        <v>550</v>
      </c>
      <c r="H16" s="12"/>
      <c r="I16" s="12"/>
      <c r="J16" s="12"/>
      <c r="K16" s="12" t="s">
        <v>12</v>
      </c>
      <c r="L16" s="11" t="s">
        <v>591</v>
      </c>
      <c r="M16" s="12"/>
      <c r="N16" s="12" t="s">
        <v>45</v>
      </c>
      <c r="O16" s="12" t="s">
        <v>314</v>
      </c>
      <c r="P16" s="2" t="str">
        <f t="shared" si="0"/>
        <v>Бованенковское.Сеноман-апт..ХМ1-2</v>
      </c>
      <c r="Q16" s="2" t="s">
        <v>186</v>
      </c>
      <c r="R16" s="2" t="str">
        <f t="shared" si="1"/>
        <v>Бованенковское.Сеноман-апт.УКПГ-3</v>
      </c>
      <c r="S16" s="2" t="s">
        <v>444</v>
      </c>
      <c r="T16" s="2" t="str">
        <f t="shared" si="2"/>
        <v>Бованенковское.Сеноман-апт</v>
      </c>
      <c r="U16" s="21" t="s">
        <v>32</v>
      </c>
      <c r="V16" s="22" t="s">
        <v>60</v>
      </c>
      <c r="W16" s="23" t="s">
        <v>67</v>
      </c>
      <c r="X16" t="s">
        <v>68</v>
      </c>
      <c r="Y16" t="s">
        <v>167</v>
      </c>
      <c r="Z16"/>
      <c r="AA16" t="s">
        <v>59</v>
      </c>
      <c r="AB16"/>
      <c r="AC16"/>
      <c r="AD16"/>
      <c r="AE16"/>
      <c r="AF16" s="12"/>
      <c r="AG16" s="12">
        <v>2037</v>
      </c>
      <c r="AH16" s="12"/>
      <c r="AJ16" s="12"/>
      <c r="AP16" s="12" t="s">
        <v>28</v>
      </c>
      <c r="AR16" s="1" t="s">
        <v>287</v>
      </c>
      <c r="AX16" s="12" t="s">
        <v>389</v>
      </c>
    </row>
    <row r="17" spans="2:50" ht="39" x14ac:dyDescent="0.25">
      <c r="B17" s="11" t="s">
        <v>473</v>
      </c>
      <c r="C17" s="2"/>
      <c r="D17" s="2"/>
      <c r="E17" s="12"/>
      <c r="F17" s="12"/>
      <c r="G17" s="31" t="s">
        <v>551</v>
      </c>
      <c r="H17" s="12"/>
      <c r="I17" s="12"/>
      <c r="J17" s="12"/>
      <c r="K17" s="12" t="s">
        <v>12</v>
      </c>
      <c r="L17" s="12" t="s">
        <v>566</v>
      </c>
      <c r="M17" s="12"/>
      <c r="N17" s="12" t="s">
        <v>46</v>
      </c>
      <c r="O17" s="12" t="s">
        <v>315</v>
      </c>
      <c r="P17" s="2" t="str">
        <f t="shared" si="0"/>
        <v>Вынгапуровское.Сеноман..I</v>
      </c>
      <c r="Q17" s="2" t="s">
        <v>187</v>
      </c>
      <c r="R17" s="2" t="str">
        <f t="shared" si="1"/>
        <v>Вынгапуровское.Сеноман.УКПГ</v>
      </c>
      <c r="S17" s="2" t="s">
        <v>445</v>
      </c>
      <c r="T17" s="2" t="str">
        <f t="shared" si="2"/>
        <v>Вынгапуровское.Сеноман</v>
      </c>
      <c r="U17" s="18" t="s">
        <v>33</v>
      </c>
      <c r="V17" s="19" t="s">
        <v>69</v>
      </c>
      <c r="W17" s="20" t="s">
        <v>70</v>
      </c>
      <c r="X17" s="25" t="s">
        <v>58</v>
      </c>
      <c r="Y17" t="s">
        <v>71</v>
      </c>
      <c r="Z17"/>
      <c r="AA17" t="s">
        <v>71</v>
      </c>
      <c r="AB17"/>
      <c r="AC17"/>
      <c r="AD17"/>
      <c r="AE17"/>
      <c r="AF17" s="12"/>
      <c r="AG17" s="12">
        <v>2038</v>
      </c>
      <c r="AH17" s="12"/>
      <c r="AJ17" s="12"/>
      <c r="AP17" s="12" t="s">
        <v>29</v>
      </c>
      <c r="AR17" s="1" t="s">
        <v>291</v>
      </c>
      <c r="AX17" s="12" t="s">
        <v>390</v>
      </c>
    </row>
    <row r="18" spans="2:50" ht="39" x14ac:dyDescent="0.25">
      <c r="B18" s="11" t="s">
        <v>474</v>
      </c>
      <c r="C18" s="2"/>
      <c r="D18" s="2"/>
      <c r="E18" s="12"/>
      <c r="F18" s="12"/>
      <c r="G18" s="31" t="s">
        <v>552</v>
      </c>
      <c r="H18" s="12"/>
      <c r="I18" s="12"/>
      <c r="J18" s="12"/>
      <c r="K18" s="11" t="s">
        <v>14</v>
      </c>
      <c r="L18" s="11" t="s">
        <v>35</v>
      </c>
      <c r="M18" s="12"/>
      <c r="N18" s="12" t="s">
        <v>47</v>
      </c>
      <c r="O18" s="11" t="s">
        <v>316</v>
      </c>
      <c r="P18" s="2" t="str">
        <f t="shared" si="0"/>
        <v>Вынгаяхинское.Сеноман..I</v>
      </c>
      <c r="Q18" s="2" t="s">
        <v>188</v>
      </c>
      <c r="R18" s="2" t="str">
        <f t="shared" si="1"/>
        <v>Вынгаяхинское.Сеноман.УКПГ</v>
      </c>
      <c r="S18" s="2" t="s">
        <v>446</v>
      </c>
      <c r="T18" s="2" t="str">
        <f t="shared" si="2"/>
        <v>Вынгаяхинское.Сеноман</v>
      </c>
      <c r="U18" s="21" t="s">
        <v>34</v>
      </c>
      <c r="V18" s="22" t="s">
        <v>69</v>
      </c>
      <c r="W18" s="23" t="s">
        <v>70</v>
      </c>
      <c r="X18" s="25" t="s">
        <v>58</v>
      </c>
      <c r="Y18" t="s">
        <v>71</v>
      </c>
      <c r="Z18"/>
      <c r="AA18" t="s">
        <v>71</v>
      </c>
      <c r="AB18"/>
      <c r="AC18"/>
      <c r="AD18"/>
      <c r="AE18"/>
      <c r="AF18" s="12"/>
      <c r="AG18" s="12">
        <v>2039</v>
      </c>
      <c r="AH18" s="12"/>
      <c r="AJ18" s="12"/>
      <c r="AP18" s="12" t="s">
        <v>30</v>
      </c>
      <c r="AR18" s="1" t="s">
        <v>292</v>
      </c>
      <c r="AX18" s="12" t="s">
        <v>391</v>
      </c>
    </row>
    <row r="19" spans="2:50" ht="39" x14ac:dyDescent="0.25">
      <c r="B19" s="11" t="s">
        <v>475</v>
      </c>
      <c r="C19" s="2"/>
      <c r="D19" s="2"/>
      <c r="E19" s="12"/>
      <c r="F19" s="12"/>
      <c r="G19" s="30" t="s">
        <v>546</v>
      </c>
      <c r="H19" s="12"/>
      <c r="I19" s="12"/>
      <c r="J19" s="12"/>
      <c r="K19" s="11" t="s">
        <v>549</v>
      </c>
      <c r="L19" s="11" t="s">
        <v>617</v>
      </c>
      <c r="M19" s="12"/>
      <c r="N19" s="12" t="s">
        <v>48</v>
      </c>
      <c r="O19" s="11" t="s">
        <v>317</v>
      </c>
      <c r="P19" s="2" t="str">
        <f t="shared" si="0"/>
        <v>Губкинское.Сеноман..I</v>
      </c>
      <c r="Q19" s="2" t="s">
        <v>189</v>
      </c>
      <c r="R19" s="2" t="str">
        <f t="shared" si="1"/>
        <v>Губкинское.Сеноман.УКПГ</v>
      </c>
      <c r="S19" s="2" t="s">
        <v>447</v>
      </c>
      <c r="T19" s="2" t="str">
        <f t="shared" si="2"/>
        <v>Губкинское.Сеноман</v>
      </c>
      <c r="U19" s="18" t="s">
        <v>35</v>
      </c>
      <c r="V19" s="19" t="s">
        <v>69</v>
      </c>
      <c r="W19" s="20" t="s">
        <v>70</v>
      </c>
      <c r="X19" s="25" t="s">
        <v>58</v>
      </c>
      <c r="Y19" t="s">
        <v>71</v>
      </c>
      <c r="Z19"/>
      <c r="AA19" t="s">
        <v>71</v>
      </c>
      <c r="AB19"/>
      <c r="AC19"/>
      <c r="AD19"/>
      <c r="AE19"/>
      <c r="AF19" s="12"/>
      <c r="AG19" s="12">
        <v>2040</v>
      </c>
      <c r="AH19" s="12"/>
      <c r="AJ19" s="12"/>
      <c r="AP19" s="12" t="s">
        <v>31</v>
      </c>
      <c r="AR19" s="1" t="s">
        <v>293</v>
      </c>
      <c r="AX19" s="12" t="s">
        <v>392</v>
      </c>
    </row>
    <row r="20" spans="2:50" ht="39" x14ac:dyDescent="0.25">
      <c r="B20" s="11" t="s">
        <v>476</v>
      </c>
      <c r="C20" s="2"/>
      <c r="D20" s="2"/>
      <c r="E20" s="12"/>
      <c r="F20" s="12"/>
      <c r="G20" s="30" t="s">
        <v>547</v>
      </c>
      <c r="H20" s="12"/>
      <c r="I20" s="12"/>
      <c r="J20" s="12"/>
      <c r="K20" s="11" t="s">
        <v>542</v>
      </c>
      <c r="L20" s="11" t="s">
        <v>36</v>
      </c>
      <c r="M20" s="12"/>
      <c r="N20"/>
      <c r="O20" s="11" t="s">
        <v>318</v>
      </c>
      <c r="P20" s="2" t="str">
        <f t="shared" si="0"/>
        <v>Губкинское.Сеноман..I</v>
      </c>
      <c r="Q20" s="2" t="s">
        <v>190</v>
      </c>
      <c r="R20" s="2" t="str">
        <f t="shared" si="1"/>
        <v>Губкинское.Сеноман.УППГ</v>
      </c>
      <c r="S20" s="2" t="s">
        <v>448</v>
      </c>
      <c r="T20" s="2" t="str">
        <f t="shared" si="2"/>
        <v>Губкинское.Сеноман</v>
      </c>
      <c r="U20" s="21" t="s">
        <v>35</v>
      </c>
      <c r="V20" s="22" t="s">
        <v>72</v>
      </c>
      <c r="W20" s="23" t="s">
        <v>70</v>
      </c>
      <c r="X20" s="25" t="s">
        <v>58</v>
      </c>
      <c r="Y20" t="s">
        <v>71</v>
      </c>
      <c r="Z20"/>
      <c r="AA20" t="s">
        <v>71</v>
      </c>
      <c r="AB20"/>
      <c r="AC20"/>
      <c r="AD20"/>
      <c r="AE20"/>
      <c r="AF20" s="12"/>
      <c r="AG20" s="12">
        <v>2041</v>
      </c>
      <c r="AH20" s="12"/>
      <c r="AJ20" s="12"/>
      <c r="AR20" s="1" t="s">
        <v>281</v>
      </c>
      <c r="AX20" s="12" t="s">
        <v>393</v>
      </c>
    </row>
    <row r="21" spans="2:50" ht="38.25" x14ac:dyDescent="0.2">
      <c r="B21" s="11" t="s">
        <v>477</v>
      </c>
      <c r="C21" s="2"/>
      <c r="D21" s="2"/>
      <c r="E21" s="12"/>
      <c r="F21" s="12"/>
      <c r="H21" s="12"/>
      <c r="I21" s="12"/>
      <c r="J21" s="12"/>
      <c r="K21" s="11" t="s">
        <v>10</v>
      </c>
      <c r="L21" s="11" t="s">
        <v>37</v>
      </c>
      <c r="M21" s="12"/>
      <c r="N21"/>
      <c r="O21" s="11" t="s">
        <v>319</v>
      </c>
      <c r="P21" s="2" t="str">
        <f t="shared" si="0"/>
        <v>Ен-Яхинское.Неоком..I</v>
      </c>
      <c r="Q21" s="2" t="s">
        <v>191</v>
      </c>
      <c r="R21" s="2" t="str">
        <f t="shared" si="1"/>
        <v>Ен-Яхинское.Неоком.МУПН</v>
      </c>
      <c r="S21" s="2" t="s">
        <v>449</v>
      </c>
      <c r="T21" s="2" t="str">
        <f t="shared" si="2"/>
        <v>Ен-Яхинское.Неоком</v>
      </c>
      <c r="U21" s="18" t="s">
        <v>36</v>
      </c>
      <c r="V21" s="19" t="s">
        <v>73</v>
      </c>
      <c r="W21" s="20" t="s">
        <v>70</v>
      </c>
      <c r="X21" s="25" t="s">
        <v>74</v>
      </c>
      <c r="Y21" t="s">
        <v>168</v>
      </c>
      <c r="Z21"/>
      <c r="AA21" t="s">
        <v>75</v>
      </c>
      <c r="AB21"/>
      <c r="AC21"/>
      <c r="AD21"/>
      <c r="AE21"/>
      <c r="AF21" s="12"/>
      <c r="AG21" s="12">
        <v>2042</v>
      </c>
      <c r="AH21" s="12"/>
      <c r="AJ21" s="12"/>
      <c r="AR21" s="1" t="s">
        <v>294</v>
      </c>
      <c r="AX21" s="12" t="s">
        <v>394</v>
      </c>
    </row>
    <row r="22" spans="2:50" ht="38.25" x14ac:dyDescent="0.2">
      <c r="B22" s="11" t="s">
        <v>478</v>
      </c>
      <c r="C22" s="2"/>
      <c r="D22" s="2"/>
      <c r="E22" s="12"/>
      <c r="F22" s="12"/>
      <c r="H22" s="12"/>
      <c r="I22" s="12"/>
      <c r="J22" s="12"/>
      <c r="K22" s="12" t="s">
        <v>12</v>
      </c>
      <c r="L22" s="12" t="s">
        <v>574</v>
      </c>
      <c r="M22" s="12"/>
      <c r="N22"/>
      <c r="O22" s="11" t="s">
        <v>320</v>
      </c>
      <c r="P22" s="2" t="str">
        <f t="shared" si="0"/>
        <v>Ен-Яхинское.Неоком.. II</v>
      </c>
      <c r="Q22" s="2" t="s">
        <v>192</v>
      </c>
      <c r="R22" s="2" t="str">
        <f t="shared" si="1"/>
        <v>Ен-Яхинское.Неоком.УКПГ-11В</v>
      </c>
      <c r="S22" s="2" t="s">
        <v>450</v>
      </c>
      <c r="T22" s="2" t="str">
        <f t="shared" si="2"/>
        <v>Ен-Яхинское.Неоком</v>
      </c>
      <c r="U22" s="21" t="s">
        <v>36</v>
      </c>
      <c r="V22" s="22" t="s">
        <v>76</v>
      </c>
      <c r="W22" s="23" t="s">
        <v>77</v>
      </c>
      <c r="X22" s="24" t="s">
        <v>74</v>
      </c>
      <c r="Y22" t="s">
        <v>168</v>
      </c>
      <c r="Z22"/>
      <c r="AA22" t="s">
        <v>75</v>
      </c>
      <c r="AB22"/>
      <c r="AC22"/>
      <c r="AD22"/>
      <c r="AE22"/>
      <c r="AF22" s="12"/>
      <c r="AG22" s="12">
        <v>2043</v>
      </c>
      <c r="AH22" s="12"/>
      <c r="AJ22" s="12"/>
      <c r="AR22" s="1" t="s">
        <v>295</v>
      </c>
      <c r="AX22" s="12" t="s">
        <v>395</v>
      </c>
    </row>
    <row r="23" spans="2:50" ht="38.25" x14ac:dyDescent="0.2">
      <c r="B23" s="11" t="s">
        <v>479</v>
      </c>
      <c r="C23" s="2"/>
      <c r="D23" s="2"/>
      <c r="E23" s="12"/>
      <c r="F23" s="12"/>
      <c r="G23" s="12"/>
      <c r="H23" s="12"/>
      <c r="I23" s="12"/>
      <c r="J23" s="12"/>
      <c r="K23" s="12" t="s">
        <v>12</v>
      </c>
      <c r="L23" s="12" t="s">
        <v>575</v>
      </c>
      <c r="M23" s="12"/>
      <c r="N23"/>
      <c r="O23" s="11" t="s">
        <v>321</v>
      </c>
      <c r="P23" s="2" t="str">
        <f t="shared" si="0"/>
        <v>Ен-Яхинское.Неоком..III</v>
      </c>
      <c r="Q23" s="2" t="s">
        <v>193</v>
      </c>
      <c r="R23" s="2" t="str">
        <f t="shared" si="1"/>
        <v>Ен-Яхинское.Неоком.УКПГ-11В</v>
      </c>
      <c r="S23" s="2" t="s">
        <v>451</v>
      </c>
      <c r="T23" s="2" t="str">
        <f t="shared" si="2"/>
        <v>Ен-Яхинское.Неоком</v>
      </c>
      <c r="U23" s="18" t="s">
        <v>36</v>
      </c>
      <c r="V23" s="19" t="s">
        <v>76</v>
      </c>
      <c r="W23" s="20" t="s">
        <v>78</v>
      </c>
      <c r="X23" s="25" t="s">
        <v>79</v>
      </c>
      <c r="Y23" t="s">
        <v>169</v>
      </c>
      <c r="Z23"/>
      <c r="AA23" t="s">
        <v>75</v>
      </c>
      <c r="AB23"/>
      <c r="AC23"/>
      <c r="AD23"/>
      <c r="AE23"/>
      <c r="AF23" s="12"/>
      <c r="AG23" s="12">
        <v>2044</v>
      </c>
      <c r="AH23" s="12"/>
      <c r="AJ23" s="12"/>
      <c r="AR23" s="1" t="s">
        <v>287</v>
      </c>
      <c r="AX23" s="12" t="s">
        <v>396</v>
      </c>
    </row>
    <row r="24" spans="2:50" ht="38.25" x14ac:dyDescent="0.2">
      <c r="B24" s="11" t="s">
        <v>480</v>
      </c>
      <c r="C24" s="2"/>
      <c r="D24" s="2"/>
      <c r="E24" s="12"/>
      <c r="F24" s="12"/>
      <c r="G24" s="12"/>
      <c r="H24" s="12"/>
      <c r="I24" s="12"/>
      <c r="J24" s="12"/>
      <c r="K24" s="12" t="s">
        <v>12</v>
      </c>
      <c r="L24" s="12" t="s">
        <v>558</v>
      </c>
      <c r="M24" s="12"/>
      <c r="N24"/>
      <c r="O24" s="11" t="s">
        <v>322</v>
      </c>
      <c r="P24" s="2" t="str">
        <f t="shared" si="0"/>
        <v>Ен-Яхинское.Неоком..IV</v>
      </c>
      <c r="Q24" s="2" t="s">
        <v>194</v>
      </c>
      <c r="R24" s="2" t="str">
        <f t="shared" si="1"/>
        <v>Ен-Яхинское.Неоком.УКПГ-11В</v>
      </c>
      <c r="S24" s="2" t="s">
        <v>452</v>
      </c>
      <c r="T24" s="2" t="str">
        <f t="shared" si="2"/>
        <v>Ен-Яхинское.Неоком</v>
      </c>
      <c r="U24" s="21" t="s">
        <v>36</v>
      </c>
      <c r="V24" s="22" t="s">
        <v>76</v>
      </c>
      <c r="W24" s="23" t="s">
        <v>80</v>
      </c>
      <c r="X24" s="24" t="s">
        <v>79</v>
      </c>
      <c r="Y24" t="s">
        <v>169</v>
      </c>
      <c r="Z24"/>
      <c r="AA24" t="s">
        <v>75</v>
      </c>
      <c r="AB24"/>
      <c r="AC24"/>
      <c r="AD24"/>
      <c r="AE24"/>
      <c r="AF24" s="12"/>
      <c r="AG24" s="12">
        <v>2045</v>
      </c>
      <c r="AH24" s="12"/>
      <c r="AJ24" s="12"/>
      <c r="AR24" s="1" t="s">
        <v>296</v>
      </c>
      <c r="AX24" s="12" t="s">
        <v>397</v>
      </c>
    </row>
    <row r="25" spans="2:50" ht="25.5" x14ac:dyDescent="0.2">
      <c r="B25" s="11" t="s">
        <v>481</v>
      </c>
      <c r="C25" s="2"/>
      <c r="D25" s="2"/>
      <c r="E25" s="12"/>
      <c r="F25" s="12"/>
      <c r="G25" s="12"/>
      <c r="H25" s="12"/>
      <c r="I25" s="12"/>
      <c r="J25" s="12"/>
      <c r="K25" s="11" t="s">
        <v>10</v>
      </c>
      <c r="L25" s="11" t="s">
        <v>38</v>
      </c>
      <c r="M25" s="12"/>
      <c r="N25"/>
      <c r="O25" s="11" t="s">
        <v>323</v>
      </c>
      <c r="P25" s="2" t="str">
        <f t="shared" si="0"/>
        <v>Ен-Яхинское.Неоком..IV</v>
      </c>
      <c r="Q25" s="2" t="s">
        <v>195</v>
      </c>
      <c r="R25" s="2" t="str">
        <f t="shared" si="1"/>
        <v>Ен-Яхинское.Неоком.МУПН</v>
      </c>
      <c r="S25" s="2" t="s">
        <v>453</v>
      </c>
      <c r="T25" s="2" t="str">
        <f t="shared" si="2"/>
        <v>Ен-Яхинское.Неоком</v>
      </c>
      <c r="U25" s="18" t="s">
        <v>36</v>
      </c>
      <c r="V25" s="19" t="s">
        <v>73</v>
      </c>
      <c r="W25" s="20" t="s">
        <v>80</v>
      </c>
      <c r="X25" s="24" t="s">
        <v>79</v>
      </c>
      <c r="Y25" t="s">
        <v>169</v>
      </c>
      <c r="Z25"/>
      <c r="AA25" t="s">
        <v>75</v>
      </c>
      <c r="AB25"/>
      <c r="AC25"/>
      <c r="AD25"/>
      <c r="AE25"/>
      <c r="AF25" s="12"/>
      <c r="AG25" s="12">
        <v>2046</v>
      </c>
      <c r="AH25" s="12"/>
      <c r="AJ25" s="12"/>
      <c r="AR25" s="1" t="s">
        <v>297</v>
      </c>
      <c r="AX25" s="12" t="s">
        <v>398</v>
      </c>
    </row>
    <row r="26" spans="2:50" ht="25.5" x14ac:dyDescent="0.2">
      <c r="B26" s="11" t="s">
        <v>482</v>
      </c>
      <c r="C26" s="2"/>
      <c r="D26" s="2"/>
      <c r="E26" s="12"/>
      <c r="F26" s="12"/>
      <c r="G26" s="12"/>
      <c r="H26" s="12"/>
      <c r="I26" s="12"/>
      <c r="J26" s="12"/>
      <c r="K26" s="11" t="s">
        <v>8</v>
      </c>
      <c r="L26" s="11" t="s">
        <v>39</v>
      </c>
      <c r="M26" s="12"/>
      <c r="N26"/>
      <c r="O26" s="11" t="s">
        <v>324</v>
      </c>
      <c r="P26" s="2" t="str">
        <f t="shared" si="0"/>
        <v>Еты-Пуровское.Сеноман..I</v>
      </c>
      <c r="Q26" s="2" t="s">
        <v>196</v>
      </c>
      <c r="R26" s="2" t="str">
        <f t="shared" si="1"/>
        <v>Еты-Пуровское.Сеноман.УППГ</v>
      </c>
      <c r="S26" s="2" t="s">
        <v>454</v>
      </c>
      <c r="T26" s="2" t="str">
        <f t="shared" si="2"/>
        <v>Еты-Пуровское.Сеноман</v>
      </c>
      <c r="U26" s="21" t="s">
        <v>37</v>
      </c>
      <c r="V26" s="22" t="s">
        <v>72</v>
      </c>
      <c r="W26" s="23" t="s">
        <v>70</v>
      </c>
      <c r="X26" s="25" t="s">
        <v>58</v>
      </c>
      <c r="Y26" t="s">
        <v>71</v>
      </c>
      <c r="Z26"/>
      <c r="AA26" t="s">
        <v>71</v>
      </c>
      <c r="AB26"/>
      <c r="AC26"/>
      <c r="AD26"/>
      <c r="AE26"/>
      <c r="AF26" s="12"/>
      <c r="AG26" s="12">
        <v>2047</v>
      </c>
      <c r="AH26" s="12"/>
      <c r="AJ26" s="12"/>
      <c r="AR26" s="1" t="s">
        <v>288</v>
      </c>
      <c r="AX26" s="12" t="s">
        <v>399</v>
      </c>
    </row>
    <row r="27" spans="2:50" ht="38.25" x14ac:dyDescent="0.2">
      <c r="B27" s="11" t="s">
        <v>483</v>
      </c>
      <c r="C27" s="2"/>
      <c r="D27" s="2"/>
      <c r="E27" s="12"/>
      <c r="F27" s="12"/>
      <c r="G27" s="12"/>
      <c r="H27" s="12"/>
      <c r="I27" s="12"/>
      <c r="J27" s="12"/>
      <c r="K27" s="12" t="s">
        <v>12</v>
      </c>
      <c r="L27" s="12" t="s">
        <v>573</v>
      </c>
      <c r="M27" s="12"/>
      <c r="N27"/>
      <c r="O27" s="11" t="s">
        <v>325</v>
      </c>
      <c r="P27" s="2" t="str">
        <f t="shared" si="0"/>
        <v>Западно-Таркосалинское.Неоком..II</v>
      </c>
      <c r="Q27" s="2" t="s">
        <v>197</v>
      </c>
      <c r="R27" s="2" t="str">
        <f t="shared" si="1"/>
        <v>Западно-Таркосалинское.Неоком.УКПГиК</v>
      </c>
      <c r="S27" s="2" t="s">
        <v>455</v>
      </c>
      <c r="T27" s="2" t="str">
        <f t="shared" si="2"/>
        <v>Западно-Таркосалинское.Неоком</v>
      </c>
      <c r="U27" s="18" t="s">
        <v>38</v>
      </c>
      <c r="V27" s="19" t="s">
        <v>81</v>
      </c>
      <c r="W27" s="20" t="s">
        <v>82</v>
      </c>
      <c r="X27" s="25" t="s">
        <v>83</v>
      </c>
      <c r="Y27" t="s">
        <v>170</v>
      </c>
      <c r="Z27"/>
      <c r="AA27" t="s">
        <v>75</v>
      </c>
      <c r="AB27"/>
      <c r="AC27"/>
      <c r="AD27"/>
      <c r="AE27"/>
      <c r="AF27" s="12"/>
      <c r="AG27" s="12">
        <v>2048</v>
      </c>
      <c r="AH27" s="12"/>
      <c r="AJ27" s="12"/>
      <c r="AR27" s="1" t="s">
        <v>298</v>
      </c>
      <c r="AX27" s="12" t="s">
        <v>400</v>
      </c>
    </row>
    <row r="28" spans="2:50" ht="25.5" x14ac:dyDescent="0.2">
      <c r="B28" s="11" t="s">
        <v>484</v>
      </c>
      <c r="C28" s="2"/>
      <c r="D28" s="2"/>
      <c r="E28" s="12"/>
      <c r="F28" s="12"/>
      <c r="G28" s="12"/>
      <c r="H28" s="12"/>
      <c r="I28" s="12"/>
      <c r="J28" s="12"/>
      <c r="K28" s="11" t="s">
        <v>544</v>
      </c>
      <c r="L28" s="11" t="s">
        <v>606</v>
      </c>
      <c r="M28" s="12"/>
      <c r="N28"/>
      <c r="O28" s="11" t="s">
        <v>326</v>
      </c>
      <c r="P28" s="2" t="str">
        <f t="shared" si="0"/>
        <v>Западно-Таркосалинское.Неоком..II</v>
      </c>
      <c r="Q28" s="2" t="s">
        <v>198</v>
      </c>
      <c r="R28" s="2" t="str">
        <f t="shared" si="1"/>
        <v>Западно-Таркосалинское.Неоком.УКПГиК</v>
      </c>
      <c r="S28" s="2" t="s">
        <v>456</v>
      </c>
      <c r="T28" s="2" t="str">
        <f t="shared" si="2"/>
        <v>Западно-Таркосалинское.Неоком</v>
      </c>
      <c r="U28" s="21" t="s">
        <v>38</v>
      </c>
      <c r="V28" s="22" t="s">
        <v>81</v>
      </c>
      <c r="W28" s="23" t="s">
        <v>82</v>
      </c>
      <c r="X28" s="24" t="s">
        <v>68</v>
      </c>
      <c r="Y28" t="s">
        <v>167</v>
      </c>
      <c r="Z28"/>
      <c r="AA28" t="s">
        <v>75</v>
      </c>
      <c r="AB28"/>
      <c r="AC28"/>
      <c r="AD28"/>
      <c r="AE28"/>
      <c r="AF28" s="12"/>
      <c r="AG28" s="12">
        <v>2049</v>
      </c>
      <c r="AH28" s="12"/>
      <c r="AR28" s="1" t="s">
        <v>294</v>
      </c>
      <c r="AX28" s="12" t="s">
        <v>401</v>
      </c>
    </row>
    <row r="29" spans="2:50" ht="38.25" x14ac:dyDescent="0.2">
      <c r="B29" s="11" t="s">
        <v>485</v>
      </c>
      <c r="C29" s="2"/>
      <c r="D29" s="2"/>
      <c r="E29" s="12"/>
      <c r="F29" s="12"/>
      <c r="G29" s="12"/>
      <c r="H29" s="12"/>
      <c r="I29" s="12"/>
      <c r="J29" s="12"/>
      <c r="K29" s="12" t="s">
        <v>12</v>
      </c>
      <c r="L29" s="12" t="s">
        <v>572</v>
      </c>
      <c r="M29" s="12"/>
      <c r="N29"/>
      <c r="O29" s="11" t="s">
        <v>327</v>
      </c>
      <c r="P29" s="2" t="str">
        <f t="shared" si="0"/>
        <v>Западно-Таркосалинское.Неоком..II</v>
      </c>
      <c r="Q29" s="2" t="s">
        <v>199</v>
      </c>
      <c r="R29" s="2" t="str">
        <f t="shared" si="1"/>
        <v>Западно-Таркосалинское.Неоком.УКПГиК</v>
      </c>
      <c r="S29"/>
      <c r="T29" s="2" t="str">
        <f t="shared" si="2"/>
        <v>Западно-Таркосалинское.Неоком</v>
      </c>
      <c r="U29" s="18" t="s">
        <v>38</v>
      </c>
      <c r="V29" s="19" t="s">
        <v>81</v>
      </c>
      <c r="W29" s="20" t="s">
        <v>82</v>
      </c>
      <c r="X29" s="25" t="s">
        <v>62</v>
      </c>
      <c r="Y29" t="s">
        <v>166</v>
      </c>
      <c r="Z29"/>
      <c r="AA29" t="s">
        <v>75</v>
      </c>
      <c r="AB29"/>
      <c r="AC29"/>
      <c r="AD29"/>
      <c r="AE29"/>
      <c r="AF29" s="12"/>
      <c r="AG29" s="12">
        <v>2050</v>
      </c>
      <c r="AH29" s="12"/>
      <c r="AR29" s="1" t="s">
        <v>299</v>
      </c>
      <c r="AX29" s="12" t="s">
        <v>402</v>
      </c>
    </row>
    <row r="30" spans="2:50" ht="38.25" x14ac:dyDescent="0.2">
      <c r="B30" s="11" t="s">
        <v>486</v>
      </c>
      <c r="C30" s="10"/>
      <c r="D30" s="10"/>
      <c r="K30" s="12" t="s">
        <v>12</v>
      </c>
      <c r="L30" s="12" t="s">
        <v>576</v>
      </c>
      <c r="N30"/>
      <c r="O30" s="11" t="s">
        <v>328</v>
      </c>
      <c r="P30" s="2" t="str">
        <f t="shared" si="0"/>
        <v>Западно-Таркосалинское.Неоком..IV</v>
      </c>
      <c r="Q30" s="2" t="s">
        <v>200</v>
      </c>
      <c r="R30" s="2" t="str">
        <f t="shared" si="1"/>
        <v>Западно-Таркосалинское.Неоком.УКПГиК</v>
      </c>
      <c r="S30"/>
      <c r="T30" s="2" t="str">
        <f t="shared" si="2"/>
        <v>Западно-Таркосалинское.Неоком</v>
      </c>
      <c r="U30" s="21" t="s">
        <v>38</v>
      </c>
      <c r="V30" s="22" t="s">
        <v>81</v>
      </c>
      <c r="W30" s="23" t="s">
        <v>80</v>
      </c>
      <c r="X30" s="25" t="s">
        <v>79</v>
      </c>
      <c r="Y30" t="s">
        <v>169</v>
      </c>
      <c r="Z30"/>
      <c r="AA30" t="s">
        <v>75</v>
      </c>
      <c r="AB30"/>
      <c r="AC30"/>
      <c r="AD30"/>
      <c r="AE30"/>
      <c r="AG30" s="12">
        <v>2051</v>
      </c>
      <c r="AR30" s="1" t="s">
        <v>296</v>
      </c>
      <c r="AX30" s="12" t="s">
        <v>403</v>
      </c>
    </row>
    <row r="31" spans="2:50" ht="38.25" x14ac:dyDescent="0.2">
      <c r="B31" s="11" t="s">
        <v>487</v>
      </c>
      <c r="C31" s="10"/>
      <c r="D31" s="10"/>
      <c r="K31" s="11" t="s">
        <v>550</v>
      </c>
      <c r="L31" s="11" t="s">
        <v>618</v>
      </c>
      <c r="N31"/>
      <c r="O31" s="11" t="s">
        <v>329</v>
      </c>
      <c r="P31" s="2" t="str">
        <f t="shared" si="0"/>
        <v>Западно-Таркосалинское.Неоком..IV</v>
      </c>
      <c r="Q31" s="2" t="s">
        <v>201</v>
      </c>
      <c r="R31" s="2" t="str">
        <f t="shared" si="1"/>
        <v>Западно-Таркосалинское.Неоком.УКПГиК</v>
      </c>
      <c r="S31"/>
      <c r="T31" s="2" t="str">
        <f t="shared" si="2"/>
        <v>Западно-Таркосалинское.Неоком</v>
      </c>
      <c r="U31" s="18" t="s">
        <v>38</v>
      </c>
      <c r="V31" s="19" t="s">
        <v>81</v>
      </c>
      <c r="W31" s="20" t="s">
        <v>80</v>
      </c>
      <c r="X31" s="25" t="s">
        <v>79</v>
      </c>
      <c r="Y31" t="s">
        <v>169</v>
      </c>
      <c r="Z31"/>
      <c r="AA31" t="s">
        <v>75</v>
      </c>
      <c r="AB31"/>
      <c r="AC31"/>
      <c r="AD31"/>
      <c r="AE31"/>
      <c r="AG31" s="12">
        <v>2052</v>
      </c>
      <c r="AR31" s="1" t="s">
        <v>300</v>
      </c>
      <c r="AX31" s="12" t="s">
        <v>404</v>
      </c>
    </row>
    <row r="32" spans="2:50" ht="25.5" x14ac:dyDescent="0.2">
      <c r="B32" s="11" t="s">
        <v>488</v>
      </c>
      <c r="C32" s="10"/>
      <c r="D32" s="10"/>
      <c r="K32" s="12" t="s">
        <v>548</v>
      </c>
      <c r="L32" s="12" t="s">
        <v>554</v>
      </c>
      <c r="N32"/>
      <c r="O32" s="11" t="s">
        <v>330</v>
      </c>
      <c r="P32" s="2" t="str">
        <f t="shared" si="0"/>
        <v>Западно-Таркосалинское.Неоком..VI</v>
      </c>
      <c r="Q32" s="2" t="s">
        <v>202</v>
      </c>
      <c r="R32" s="2" t="str">
        <f t="shared" si="1"/>
        <v>Западно-Таркосалинское.Неоком.УКПГиК</v>
      </c>
      <c r="S32"/>
      <c r="T32" s="2" t="str">
        <f t="shared" si="2"/>
        <v>Западно-Таркосалинское.Неоком</v>
      </c>
      <c r="U32" s="21" t="s">
        <v>38</v>
      </c>
      <c r="V32" s="22" t="s">
        <v>81</v>
      </c>
      <c r="W32" s="23" t="s">
        <v>84</v>
      </c>
      <c r="X32" s="24" t="s">
        <v>79</v>
      </c>
      <c r="Y32" t="s">
        <v>169</v>
      </c>
      <c r="Z32"/>
      <c r="AA32" t="s">
        <v>75</v>
      </c>
      <c r="AB32"/>
      <c r="AC32"/>
      <c r="AD32"/>
      <c r="AE32"/>
      <c r="AG32" s="12">
        <v>2053</v>
      </c>
      <c r="AR32" s="1" t="s">
        <v>293</v>
      </c>
      <c r="AX32" s="12" t="s">
        <v>405</v>
      </c>
    </row>
    <row r="33" spans="2:50" ht="25.5" x14ac:dyDescent="0.2">
      <c r="B33" s="11" t="s">
        <v>489</v>
      </c>
      <c r="C33" s="10"/>
      <c r="D33" s="10"/>
      <c r="K33" s="11" t="s">
        <v>10</v>
      </c>
      <c r="L33" s="11" t="s">
        <v>40</v>
      </c>
      <c r="N33"/>
      <c r="O33" s="11" t="s">
        <v>331</v>
      </c>
      <c r="P33" s="2" t="str">
        <f t="shared" si="0"/>
        <v>Западно-Таркосалинское.Неоком..VI</v>
      </c>
      <c r="Q33" s="2" t="s">
        <v>203</v>
      </c>
      <c r="R33" s="2" t="str">
        <f t="shared" si="1"/>
        <v>Западно-Таркосалинское.Неоком.УКПГиК</v>
      </c>
      <c r="S33"/>
      <c r="T33" s="2" t="str">
        <f t="shared" si="2"/>
        <v>Западно-Таркосалинское.Неоком</v>
      </c>
      <c r="U33" s="18" t="s">
        <v>38</v>
      </c>
      <c r="V33" s="19" t="s">
        <v>81</v>
      </c>
      <c r="W33" s="20" t="s">
        <v>84</v>
      </c>
      <c r="X33" s="24" t="s">
        <v>79</v>
      </c>
      <c r="Y33" t="s">
        <v>169</v>
      </c>
      <c r="Z33"/>
      <c r="AA33" t="s">
        <v>75</v>
      </c>
      <c r="AB33"/>
      <c r="AC33"/>
      <c r="AD33"/>
      <c r="AE33"/>
      <c r="AG33" s="12">
        <v>2054</v>
      </c>
      <c r="AX33" s="12" t="s">
        <v>406</v>
      </c>
    </row>
    <row r="34" spans="2:50" ht="38.25" x14ac:dyDescent="0.2">
      <c r="B34" s="11" t="s">
        <v>490</v>
      </c>
      <c r="C34" s="10"/>
      <c r="D34" s="10"/>
      <c r="K34" s="12" t="s">
        <v>12</v>
      </c>
      <c r="L34" s="12" t="s">
        <v>577</v>
      </c>
      <c r="N34"/>
      <c r="O34" s="11" t="s">
        <v>332</v>
      </c>
      <c r="P34" s="2" t="str">
        <f t="shared" si="0"/>
        <v>Западно-Таркосалинское.Неоком..VII</v>
      </c>
      <c r="Q34" s="2" t="s">
        <v>204</v>
      </c>
      <c r="R34" s="2" t="str">
        <f t="shared" si="1"/>
        <v>Западно-Таркосалинское.Неоком.УКПГиК</v>
      </c>
      <c r="S34"/>
      <c r="T34" s="2" t="str">
        <f t="shared" si="2"/>
        <v>Западно-Таркосалинское.Неоком</v>
      </c>
      <c r="U34" s="21" t="s">
        <v>38</v>
      </c>
      <c r="V34" s="22" t="s">
        <v>81</v>
      </c>
      <c r="W34" s="23" t="s">
        <v>85</v>
      </c>
      <c r="X34" s="24" t="s">
        <v>79</v>
      </c>
      <c r="Y34" t="s">
        <v>169</v>
      </c>
      <c r="Z34"/>
      <c r="AA34" t="s">
        <v>75</v>
      </c>
      <c r="AB34"/>
      <c r="AC34"/>
      <c r="AD34"/>
      <c r="AE34"/>
      <c r="AG34" s="12">
        <v>2055</v>
      </c>
      <c r="AX34" s="12" t="s">
        <v>407</v>
      </c>
    </row>
    <row r="35" spans="2:50" ht="38.25" x14ac:dyDescent="0.2">
      <c r="B35" s="11" t="s">
        <v>491</v>
      </c>
      <c r="C35" s="10"/>
      <c r="D35" s="10"/>
      <c r="K35" s="12" t="s">
        <v>12</v>
      </c>
      <c r="L35" s="11" t="s">
        <v>587</v>
      </c>
      <c r="N35"/>
      <c r="O35" s="11" t="s">
        <v>333</v>
      </c>
      <c r="P35" s="2" t="str">
        <f t="shared" si="0"/>
        <v>Западно-Таркосалинское.Неоком..VII</v>
      </c>
      <c r="Q35" s="2" t="s">
        <v>205</v>
      </c>
      <c r="R35" s="2" t="str">
        <f t="shared" si="1"/>
        <v>Западно-Таркосалинское.Неоком.УКПГиК</v>
      </c>
      <c r="S35"/>
      <c r="T35" s="2" t="str">
        <f t="shared" si="2"/>
        <v>Западно-Таркосалинское.Неоком</v>
      </c>
      <c r="U35" s="18" t="s">
        <v>38</v>
      </c>
      <c r="V35" s="19" t="s">
        <v>81</v>
      </c>
      <c r="W35" s="20" t="s">
        <v>85</v>
      </c>
      <c r="X35" s="24" t="s">
        <v>79</v>
      </c>
      <c r="Y35" t="s">
        <v>169</v>
      </c>
      <c r="Z35"/>
      <c r="AA35" t="s">
        <v>75</v>
      </c>
      <c r="AB35"/>
      <c r="AC35"/>
      <c r="AD35"/>
      <c r="AE35"/>
      <c r="AX35" s="12" t="s">
        <v>408</v>
      </c>
    </row>
    <row r="36" spans="2:50" ht="25.5" x14ac:dyDescent="0.2">
      <c r="B36" s="11" t="s">
        <v>485</v>
      </c>
      <c r="C36" s="10"/>
      <c r="D36" s="10"/>
      <c r="K36" s="11" t="s">
        <v>10</v>
      </c>
      <c r="L36" s="11" t="s">
        <v>598</v>
      </c>
      <c r="N36"/>
      <c r="O36" s="11" t="s">
        <v>334</v>
      </c>
      <c r="P36" s="2" t="str">
        <f t="shared" si="0"/>
        <v>Западно-Таркосалинское.Сеноман..I</v>
      </c>
      <c r="Q36" s="2" t="s">
        <v>206</v>
      </c>
      <c r="R36" s="2" t="str">
        <f t="shared" si="1"/>
        <v>Западно-Таркосалинское.Сеноман.УКПГ</v>
      </c>
      <c r="S36"/>
      <c r="T36" s="2" t="str">
        <f t="shared" si="2"/>
        <v>Западно-Таркосалинское.Сеноман</v>
      </c>
      <c r="U36" s="21" t="s">
        <v>38</v>
      </c>
      <c r="V36" s="22" t="s">
        <v>69</v>
      </c>
      <c r="W36" s="23" t="s">
        <v>70</v>
      </c>
      <c r="X36" s="25" t="s">
        <v>58</v>
      </c>
      <c r="Y36" t="s">
        <v>71</v>
      </c>
      <c r="Z36"/>
      <c r="AA36" t="s">
        <v>71</v>
      </c>
      <c r="AB36"/>
      <c r="AC36"/>
      <c r="AD36"/>
      <c r="AE36"/>
      <c r="AX36" s="12" t="s">
        <v>409</v>
      </c>
    </row>
    <row r="37" spans="2:50" ht="25.5" x14ac:dyDescent="0.2">
      <c r="B37" s="11" t="s">
        <v>492</v>
      </c>
      <c r="C37" s="10"/>
      <c r="D37" s="10"/>
      <c r="K37" s="11" t="s">
        <v>548</v>
      </c>
      <c r="L37" s="11" t="s">
        <v>602</v>
      </c>
      <c r="N37"/>
      <c r="O37" s="11" t="s">
        <v>335</v>
      </c>
      <c r="P37" s="2" t="str">
        <f t="shared" si="0"/>
        <v>Заполярное.Неоком..1</v>
      </c>
      <c r="Q37" s="2" t="s">
        <v>207</v>
      </c>
      <c r="R37" s="2" t="str">
        <f t="shared" si="1"/>
        <v>Заполярное.Неоком.УКПГ-1В</v>
      </c>
      <c r="S37"/>
      <c r="T37" s="2" t="str">
        <f t="shared" si="2"/>
        <v>Заполярное.Неоком</v>
      </c>
      <c r="U37" s="18" t="s">
        <v>39</v>
      </c>
      <c r="V37" s="19" t="s">
        <v>86</v>
      </c>
      <c r="W37" s="20">
        <v>1</v>
      </c>
      <c r="X37" s="25" t="s">
        <v>83</v>
      </c>
      <c r="Y37" t="s">
        <v>170</v>
      </c>
      <c r="Z37"/>
      <c r="AA37" t="s">
        <v>75</v>
      </c>
      <c r="AB37"/>
      <c r="AC37"/>
      <c r="AD37"/>
      <c r="AE37"/>
      <c r="AX37" s="12" t="s">
        <v>410</v>
      </c>
    </row>
    <row r="38" spans="2:50" ht="38.25" x14ac:dyDescent="0.2">
      <c r="B38" s="11" t="s">
        <v>493</v>
      </c>
      <c r="C38" s="10"/>
      <c r="D38" s="10"/>
      <c r="K38" s="12" t="s">
        <v>12</v>
      </c>
      <c r="L38" s="12" t="s">
        <v>555</v>
      </c>
      <c r="N38"/>
      <c r="O38" s="11" t="s">
        <v>336</v>
      </c>
      <c r="P38" s="2" t="str">
        <f t="shared" si="0"/>
        <v>Заполярное.Неоком..1</v>
      </c>
      <c r="Q38" s="2" t="s">
        <v>208</v>
      </c>
      <c r="R38" s="2" t="str">
        <f t="shared" si="1"/>
        <v>Заполярное.Неоком.УКПГ-2В</v>
      </c>
      <c r="S38"/>
      <c r="T38" s="2" t="str">
        <f t="shared" si="2"/>
        <v>Заполярное.Неоком</v>
      </c>
      <c r="U38" s="21" t="s">
        <v>39</v>
      </c>
      <c r="V38" s="22" t="s">
        <v>87</v>
      </c>
      <c r="W38" s="23">
        <v>1</v>
      </c>
      <c r="X38" s="25" t="s">
        <v>83</v>
      </c>
      <c r="Y38" t="s">
        <v>170</v>
      </c>
      <c r="Z38"/>
      <c r="AA38" t="s">
        <v>75</v>
      </c>
      <c r="AB38"/>
      <c r="AC38"/>
      <c r="AD38"/>
      <c r="AE38"/>
      <c r="AX38" s="12" t="s">
        <v>411</v>
      </c>
    </row>
    <row r="39" spans="2:50" ht="25.5" x14ac:dyDescent="0.2">
      <c r="B39" s="11" t="s">
        <v>494</v>
      </c>
      <c r="C39" s="10"/>
      <c r="D39" s="10"/>
      <c r="K39" s="11" t="s">
        <v>9</v>
      </c>
      <c r="L39" s="11" t="s">
        <v>41</v>
      </c>
      <c r="N39"/>
      <c r="O39" s="11" t="s">
        <v>337</v>
      </c>
      <c r="P39" s="2" t="str">
        <f t="shared" si="0"/>
        <v>Заполярное.Неоком..2</v>
      </c>
      <c r="Q39" s="2" t="s">
        <v>209</v>
      </c>
      <c r="R39" s="2" t="str">
        <f t="shared" si="1"/>
        <v>Заполярное.Неоком.УКПГ-1В</v>
      </c>
      <c r="S39"/>
      <c r="T39" s="2" t="str">
        <f t="shared" si="2"/>
        <v>Заполярное.Неоком</v>
      </c>
      <c r="U39" s="18" t="s">
        <v>39</v>
      </c>
      <c r="V39" s="19" t="s">
        <v>86</v>
      </c>
      <c r="W39" s="20">
        <v>2</v>
      </c>
      <c r="X39" s="25" t="s">
        <v>79</v>
      </c>
      <c r="Y39" t="s">
        <v>169</v>
      </c>
      <c r="Z39"/>
      <c r="AA39" t="s">
        <v>75</v>
      </c>
      <c r="AB39"/>
      <c r="AC39"/>
      <c r="AD39"/>
      <c r="AE39"/>
      <c r="AX39" s="12" t="s">
        <v>412</v>
      </c>
    </row>
    <row r="40" spans="2:50" ht="38.25" x14ac:dyDescent="0.2">
      <c r="B40" s="11" t="s">
        <v>495</v>
      </c>
      <c r="C40" s="10"/>
      <c r="D40" s="10"/>
      <c r="K40" s="12" t="s">
        <v>12</v>
      </c>
      <c r="L40" s="12" t="s">
        <v>578</v>
      </c>
      <c r="N40"/>
      <c r="O40" s="11" t="s">
        <v>338</v>
      </c>
      <c r="P40" s="2" t="str">
        <f t="shared" si="0"/>
        <v>Заполярное.Неоком..2</v>
      </c>
      <c r="Q40" s="2" t="s">
        <v>210</v>
      </c>
      <c r="R40" s="2" t="str">
        <f t="shared" si="1"/>
        <v>Заполярное.Неоком.УКПГ-2В</v>
      </c>
      <c r="S40"/>
      <c r="T40" s="2" t="str">
        <f t="shared" si="2"/>
        <v>Заполярное.Неоком</v>
      </c>
      <c r="U40" s="21" t="s">
        <v>39</v>
      </c>
      <c r="V40" s="22" t="s">
        <v>87</v>
      </c>
      <c r="W40" s="23">
        <v>2</v>
      </c>
      <c r="X40" s="25" t="s">
        <v>79</v>
      </c>
      <c r="Y40" t="s">
        <v>169</v>
      </c>
      <c r="Z40"/>
      <c r="AA40" t="s">
        <v>75</v>
      </c>
      <c r="AB40"/>
      <c r="AC40"/>
      <c r="AD40"/>
      <c r="AE40"/>
      <c r="AX40" s="12" t="s">
        <v>413</v>
      </c>
    </row>
    <row r="41" spans="2:50" ht="38.25" x14ac:dyDescent="0.2">
      <c r="B41" s="11" t="s">
        <v>496</v>
      </c>
      <c r="C41" s="10"/>
      <c r="D41" s="10"/>
      <c r="K41" s="12" t="s">
        <v>12</v>
      </c>
      <c r="L41" s="12" t="s">
        <v>556</v>
      </c>
      <c r="N41"/>
      <c r="O41" s="11" t="s">
        <v>339</v>
      </c>
      <c r="P41" s="2" t="str">
        <f t="shared" si="0"/>
        <v>Заполярное.Неоком..2</v>
      </c>
      <c r="Q41" s="2" t="s">
        <v>211</v>
      </c>
      <c r="R41" s="2" t="str">
        <f t="shared" si="1"/>
        <v>Заполярное.Неоком.Участок ОПР нефтяной оторочки пласта БТ100 Газпром нефть</v>
      </c>
      <c r="S41"/>
      <c r="T41" s="2" t="str">
        <f t="shared" si="2"/>
        <v>Заполярное.Неоком</v>
      </c>
      <c r="U41" s="18" t="s">
        <v>39</v>
      </c>
      <c r="V41" s="19" t="s">
        <v>88</v>
      </c>
      <c r="W41" s="20">
        <v>2</v>
      </c>
      <c r="X41" s="25" t="s">
        <v>79</v>
      </c>
      <c r="Y41" t="s">
        <v>169</v>
      </c>
      <c r="Z41"/>
      <c r="AA41" t="s">
        <v>75</v>
      </c>
      <c r="AB41"/>
      <c r="AC41"/>
      <c r="AD41"/>
      <c r="AE41"/>
      <c r="AX41" s="12" t="s">
        <v>414</v>
      </c>
    </row>
    <row r="42" spans="2:50" ht="25.5" x14ac:dyDescent="0.2">
      <c r="B42" s="11" t="s">
        <v>497</v>
      </c>
      <c r="C42" s="10"/>
      <c r="D42" s="10"/>
      <c r="K42" s="11" t="s">
        <v>544</v>
      </c>
      <c r="L42" s="11" t="s">
        <v>611</v>
      </c>
      <c r="N42"/>
      <c r="O42" s="11" t="s">
        <v>340</v>
      </c>
      <c r="P42" s="2" t="str">
        <f t="shared" si="0"/>
        <v>Заполярное.Сеноман..ПК1</v>
      </c>
      <c r="Q42" s="2" t="s">
        <v>212</v>
      </c>
      <c r="R42" s="2" t="str">
        <f t="shared" si="1"/>
        <v>Заполярное.Сеноман.УКПГ-1С</v>
      </c>
      <c r="S42"/>
      <c r="T42" s="2" t="str">
        <f t="shared" si="2"/>
        <v>Заполярное.Сеноман</v>
      </c>
      <c r="U42" s="21" t="s">
        <v>39</v>
      </c>
      <c r="V42" s="22" t="s">
        <v>89</v>
      </c>
      <c r="W42" s="23" t="s">
        <v>57</v>
      </c>
      <c r="X42" t="s">
        <v>58</v>
      </c>
      <c r="Y42" t="s">
        <v>71</v>
      </c>
      <c r="Z42"/>
      <c r="AA42" t="s">
        <v>71</v>
      </c>
      <c r="AB42"/>
      <c r="AC42"/>
      <c r="AD42"/>
      <c r="AE42"/>
      <c r="AX42" s="12" t="s">
        <v>415</v>
      </c>
    </row>
    <row r="43" spans="2:50" ht="38.25" x14ac:dyDescent="0.2">
      <c r="B43" s="11" t="s">
        <v>498</v>
      </c>
      <c r="C43" s="10"/>
      <c r="D43" s="10"/>
      <c r="K43" s="12" t="s">
        <v>12</v>
      </c>
      <c r="L43" s="11" t="s">
        <v>579</v>
      </c>
      <c r="N43"/>
      <c r="O43" s="11" t="s">
        <v>341</v>
      </c>
      <c r="P43" s="2" t="str">
        <f t="shared" si="0"/>
        <v>Заполярное.Сеноман..ПК1</v>
      </c>
      <c r="Q43" s="2" t="s">
        <v>213</v>
      </c>
      <c r="R43" s="2" t="str">
        <f t="shared" si="1"/>
        <v>Заполярное.Сеноман.УКПГ-2С</v>
      </c>
      <c r="S43"/>
      <c r="T43" s="2" t="str">
        <f t="shared" si="2"/>
        <v>Заполярное.Сеноман</v>
      </c>
      <c r="U43" s="18" t="s">
        <v>39</v>
      </c>
      <c r="V43" s="19" t="s">
        <v>90</v>
      </c>
      <c r="W43" s="20" t="s">
        <v>57</v>
      </c>
      <c r="X43" t="s">
        <v>58</v>
      </c>
      <c r="Y43" t="s">
        <v>71</v>
      </c>
      <c r="Z43"/>
      <c r="AA43" t="s">
        <v>71</v>
      </c>
      <c r="AB43"/>
      <c r="AC43"/>
      <c r="AD43"/>
      <c r="AE43"/>
      <c r="AX43" s="12" t="s">
        <v>416</v>
      </c>
    </row>
    <row r="44" spans="2:50" ht="25.5" x14ac:dyDescent="0.2">
      <c r="B44" s="11" t="s">
        <v>499</v>
      </c>
      <c r="C44" s="10"/>
      <c r="D44" s="10"/>
      <c r="K44" s="11" t="s">
        <v>544</v>
      </c>
      <c r="L44" s="11" t="s">
        <v>607</v>
      </c>
      <c r="N44"/>
      <c r="O44" s="11" t="s">
        <v>342</v>
      </c>
      <c r="P44" s="2" t="str">
        <f t="shared" si="0"/>
        <v>Заполярное.Сеноман..ПК1</v>
      </c>
      <c r="Q44" s="2" t="s">
        <v>214</v>
      </c>
      <c r="R44" s="2" t="str">
        <f t="shared" si="1"/>
        <v>Заполярное.Сеноман.УКПГ-3С</v>
      </c>
      <c r="S44"/>
      <c r="T44" s="2" t="str">
        <f t="shared" si="2"/>
        <v>Заполярное.Сеноман</v>
      </c>
      <c r="U44" s="21" t="s">
        <v>39</v>
      </c>
      <c r="V44" s="22" t="s">
        <v>91</v>
      </c>
      <c r="W44" s="23" t="s">
        <v>57</v>
      </c>
      <c r="X44" t="s">
        <v>58</v>
      </c>
      <c r="Y44" t="s">
        <v>71</v>
      </c>
      <c r="Z44"/>
      <c r="AA44" t="s">
        <v>71</v>
      </c>
      <c r="AB44"/>
      <c r="AC44"/>
      <c r="AD44"/>
      <c r="AE44"/>
      <c r="AX44" s="12" t="s">
        <v>417</v>
      </c>
    </row>
    <row r="45" spans="2:50" ht="25.5" x14ac:dyDescent="0.2">
      <c r="B45" s="11" t="s">
        <v>500</v>
      </c>
      <c r="C45" s="10"/>
      <c r="D45" s="10"/>
      <c r="K45" s="11" t="s">
        <v>551</v>
      </c>
      <c r="L45" s="11" t="s">
        <v>594</v>
      </c>
      <c r="N45"/>
      <c r="O45" s="11" t="s">
        <v>343</v>
      </c>
      <c r="P45" s="2" t="str">
        <f t="shared" si="0"/>
        <v>Комсомольское.Сеноман..I</v>
      </c>
      <c r="Q45" s="2" t="s">
        <v>215</v>
      </c>
      <c r="R45" s="2" t="str">
        <f t="shared" si="1"/>
        <v>Комсомольское.Сеноман.УКПГ</v>
      </c>
      <c r="S45"/>
      <c r="T45" s="2" t="str">
        <f t="shared" si="2"/>
        <v>Комсомольское.Сеноман</v>
      </c>
      <c r="U45" s="18" t="s">
        <v>40</v>
      </c>
      <c r="V45" s="19" t="s">
        <v>69</v>
      </c>
      <c r="W45" s="20" t="s">
        <v>70</v>
      </c>
      <c r="X45" t="s">
        <v>58</v>
      </c>
      <c r="Y45" t="s">
        <v>71</v>
      </c>
      <c r="Z45"/>
      <c r="AA45" t="s">
        <v>71</v>
      </c>
      <c r="AB45"/>
      <c r="AC45"/>
      <c r="AD45"/>
      <c r="AE45"/>
      <c r="AX45" s="12" t="s">
        <v>418</v>
      </c>
    </row>
    <row r="46" spans="2:50" ht="25.5" x14ac:dyDescent="0.2">
      <c r="B46" s="11" t="s">
        <v>501</v>
      </c>
      <c r="C46" s="10"/>
      <c r="D46" s="10"/>
      <c r="K46" s="11" t="s">
        <v>10</v>
      </c>
      <c r="L46" s="11" t="s">
        <v>597</v>
      </c>
      <c r="N46"/>
      <c r="O46" s="11" t="s">
        <v>344</v>
      </c>
      <c r="P46" s="2" t="str">
        <f t="shared" si="0"/>
        <v>Комсомольское.Сеноман..I</v>
      </c>
      <c r="Q46" s="2" t="s">
        <v>216</v>
      </c>
      <c r="R46" s="2" t="str">
        <f t="shared" si="1"/>
        <v>Комсомольское.Сеноман.УППГ СК</v>
      </c>
      <c r="S46"/>
      <c r="T46" s="2" t="str">
        <f t="shared" si="2"/>
        <v>Комсомольское.Сеноман</v>
      </c>
      <c r="U46" s="21" t="s">
        <v>40</v>
      </c>
      <c r="V46" s="22" t="s">
        <v>92</v>
      </c>
      <c r="W46" s="23" t="s">
        <v>70</v>
      </c>
      <c r="X46" t="s">
        <v>58</v>
      </c>
      <c r="Y46" t="s">
        <v>71</v>
      </c>
      <c r="Z46"/>
      <c r="AA46" t="s">
        <v>71</v>
      </c>
      <c r="AB46"/>
      <c r="AC46"/>
      <c r="AD46"/>
      <c r="AE46"/>
      <c r="AX46" s="12" t="s">
        <v>419</v>
      </c>
    </row>
    <row r="47" spans="2:50" ht="38.25" x14ac:dyDescent="0.2">
      <c r="B47" s="11" t="s">
        <v>502</v>
      </c>
      <c r="C47" s="10"/>
      <c r="D47" s="10"/>
      <c r="K47" s="12" t="s">
        <v>12</v>
      </c>
      <c r="L47" s="11" t="s">
        <v>589</v>
      </c>
      <c r="N47"/>
      <c r="O47" s="11" t="s">
        <v>345</v>
      </c>
      <c r="P47" s="2" t="str">
        <f t="shared" si="0"/>
        <v>Комсомольское.Сеноман..I</v>
      </c>
      <c r="Q47" s="2" t="s">
        <v>217</v>
      </c>
      <c r="R47" s="2" t="str">
        <f t="shared" si="1"/>
        <v>Комсомольское.Сеноман.УППГ ЗК</v>
      </c>
      <c r="S47"/>
      <c r="T47" s="2" t="str">
        <f t="shared" si="2"/>
        <v>Комсомольское.Сеноман</v>
      </c>
      <c r="U47" s="18" t="s">
        <v>40</v>
      </c>
      <c r="V47" s="19" t="s">
        <v>93</v>
      </c>
      <c r="W47" s="20" t="s">
        <v>70</v>
      </c>
      <c r="X47" t="s">
        <v>58</v>
      </c>
      <c r="Y47" t="s">
        <v>71</v>
      </c>
      <c r="Z47"/>
      <c r="AA47" t="s">
        <v>71</v>
      </c>
      <c r="AB47"/>
      <c r="AC47"/>
      <c r="AD47"/>
      <c r="AE47"/>
      <c r="AX47" s="12" t="s">
        <v>420</v>
      </c>
    </row>
    <row r="48" spans="2:50" ht="38.25" x14ac:dyDescent="0.2">
      <c r="B48" s="11" t="s">
        <v>503</v>
      </c>
      <c r="C48" s="10"/>
      <c r="D48" s="10"/>
      <c r="K48" s="11" t="s">
        <v>11</v>
      </c>
      <c r="L48" s="11" t="s">
        <v>601</v>
      </c>
      <c r="N48"/>
      <c r="O48" s="11" t="s">
        <v>346</v>
      </c>
      <c r="P48" s="2" t="str">
        <f t="shared" si="0"/>
        <v>Комсомольское.Сеноман..I</v>
      </c>
      <c r="Q48" s="2" t="s">
        <v>218</v>
      </c>
      <c r="R48" s="2" t="str">
        <f t="shared" si="1"/>
        <v>Комсомольское.Сеноман.сборный пункт</v>
      </c>
      <c r="S48"/>
      <c r="T48" s="2" t="str">
        <f t="shared" si="2"/>
        <v>Комсомольское.Сеноман</v>
      </c>
      <c r="U48" s="21" t="s">
        <v>40</v>
      </c>
      <c r="V48" s="22" t="s">
        <v>94</v>
      </c>
      <c r="W48" s="23" t="s">
        <v>70</v>
      </c>
      <c r="X48" t="s">
        <v>58</v>
      </c>
      <c r="Y48" t="s">
        <v>71</v>
      </c>
      <c r="Z48"/>
      <c r="AA48" t="s">
        <v>71</v>
      </c>
      <c r="AB48"/>
      <c r="AC48"/>
      <c r="AD48"/>
      <c r="AE48"/>
      <c r="AX48" s="12" t="s">
        <v>421</v>
      </c>
    </row>
    <row r="49" spans="2:50" ht="25.5" x14ac:dyDescent="0.2">
      <c r="B49" s="11" t="s">
        <v>504</v>
      </c>
      <c r="C49" s="10"/>
      <c r="D49" s="10"/>
      <c r="K49" s="11" t="s">
        <v>544</v>
      </c>
      <c r="L49" s="11" t="s">
        <v>608</v>
      </c>
      <c r="N49"/>
      <c r="O49" s="11" t="s">
        <v>347</v>
      </c>
      <c r="P49" s="2" t="str">
        <f t="shared" si="0"/>
        <v>Медвежье.Неоком..1</v>
      </c>
      <c r="Q49" s="2" t="s">
        <v>219</v>
      </c>
      <c r="R49" s="2" t="str">
        <f t="shared" si="1"/>
        <v>Медвежье.Неоком.УКПГ-Н</v>
      </c>
      <c r="S49"/>
      <c r="T49" s="2" t="str">
        <f t="shared" si="2"/>
        <v>Медвежье.Неоком</v>
      </c>
      <c r="U49" s="18" t="s">
        <v>41</v>
      </c>
      <c r="V49" s="19" t="s">
        <v>95</v>
      </c>
      <c r="W49" s="20">
        <v>1</v>
      </c>
      <c r="X49" t="s">
        <v>79</v>
      </c>
      <c r="Y49" t="s">
        <v>169</v>
      </c>
      <c r="Z49"/>
      <c r="AA49" t="s">
        <v>75</v>
      </c>
      <c r="AB49"/>
      <c r="AC49"/>
      <c r="AD49"/>
      <c r="AE49"/>
      <c r="AX49" s="12" t="s">
        <v>422</v>
      </c>
    </row>
    <row r="50" spans="2:50" ht="38.25" x14ac:dyDescent="0.2">
      <c r="B50" s="11" t="s">
        <v>505</v>
      </c>
      <c r="C50" s="10"/>
      <c r="D50" s="10"/>
      <c r="K50" s="12" t="s">
        <v>12</v>
      </c>
      <c r="L50" s="11" t="s">
        <v>588</v>
      </c>
      <c r="N50"/>
      <c r="O50" s="11" t="s">
        <v>348</v>
      </c>
      <c r="P50" s="2" t="str">
        <f t="shared" si="0"/>
        <v>Медвежье.Неоком..1а</v>
      </c>
      <c r="Q50" s="2" t="s">
        <v>220</v>
      </c>
      <c r="R50" s="2" t="str">
        <f t="shared" si="1"/>
        <v>Медвежье.Неоком.УКПГ-Н</v>
      </c>
      <c r="S50"/>
      <c r="T50" s="2" t="str">
        <f t="shared" si="2"/>
        <v>Медвежье.Неоком</v>
      </c>
      <c r="U50" s="21" t="s">
        <v>41</v>
      </c>
      <c r="V50" s="22" t="s">
        <v>95</v>
      </c>
      <c r="W50" s="23" t="s">
        <v>96</v>
      </c>
      <c r="X50" t="s">
        <v>62</v>
      </c>
      <c r="Y50" t="s">
        <v>166</v>
      </c>
      <c r="Z50"/>
      <c r="AA50" t="s">
        <v>75</v>
      </c>
      <c r="AB50"/>
      <c r="AC50"/>
      <c r="AD50"/>
      <c r="AE50"/>
      <c r="AX50" s="12" t="s">
        <v>423</v>
      </c>
    </row>
    <row r="51" spans="2:50" ht="25.5" x14ac:dyDescent="0.2">
      <c r="B51" s="11" t="s">
        <v>506</v>
      </c>
      <c r="C51" s="10"/>
      <c r="D51" s="10"/>
      <c r="K51" s="11" t="s">
        <v>542</v>
      </c>
      <c r="L51" s="11" t="s">
        <v>615</v>
      </c>
      <c r="N51"/>
      <c r="O51" s="11" t="s">
        <v>349</v>
      </c>
      <c r="P51" s="2" t="str">
        <f t="shared" si="0"/>
        <v>Медвежье.Неоком..1б</v>
      </c>
      <c r="Q51" s="2" t="s">
        <v>221</v>
      </c>
      <c r="R51" s="2" t="str">
        <f t="shared" si="1"/>
        <v>Медвежье.Неоком.УКПГ-Н</v>
      </c>
      <c r="S51"/>
      <c r="T51" s="2" t="str">
        <f t="shared" si="2"/>
        <v>Медвежье.Неоком</v>
      </c>
      <c r="U51" s="18" t="s">
        <v>41</v>
      </c>
      <c r="V51" s="19" t="s">
        <v>95</v>
      </c>
      <c r="W51" s="20" t="s">
        <v>97</v>
      </c>
      <c r="X51" t="s">
        <v>62</v>
      </c>
      <c r="Y51" t="s">
        <v>166</v>
      </c>
      <c r="Z51"/>
      <c r="AA51" t="s">
        <v>75</v>
      </c>
      <c r="AB51"/>
      <c r="AC51"/>
      <c r="AD51"/>
      <c r="AE51"/>
      <c r="AX51" s="12" t="s">
        <v>424</v>
      </c>
    </row>
    <row r="52" spans="2:50" ht="38.25" x14ac:dyDescent="0.2">
      <c r="B52" s="11" t="s">
        <v>507</v>
      </c>
      <c r="C52" s="10"/>
      <c r="D52" s="10"/>
      <c r="K52" s="12" t="s">
        <v>12</v>
      </c>
      <c r="L52" s="11" t="s">
        <v>590</v>
      </c>
      <c r="N52"/>
      <c r="O52" s="11" t="s">
        <v>350</v>
      </c>
      <c r="P52" s="2" t="str">
        <f t="shared" si="0"/>
        <v>Медвежье.Неоком..1в</v>
      </c>
      <c r="Q52" s="2" t="s">
        <v>222</v>
      </c>
      <c r="R52" s="2" t="str">
        <f t="shared" si="1"/>
        <v>Медвежье.Неоком.УКПГ-Н</v>
      </c>
      <c r="S52"/>
      <c r="T52" s="2" t="str">
        <f t="shared" si="2"/>
        <v>Медвежье.Неоком</v>
      </c>
      <c r="U52" s="21" t="s">
        <v>41</v>
      </c>
      <c r="V52" s="22" t="s">
        <v>95</v>
      </c>
      <c r="W52" s="23" t="s">
        <v>98</v>
      </c>
      <c r="X52" t="s">
        <v>74</v>
      </c>
      <c r="Y52" t="s">
        <v>168</v>
      </c>
      <c r="Z52"/>
      <c r="AA52" t="s">
        <v>75</v>
      </c>
      <c r="AB52"/>
      <c r="AC52"/>
      <c r="AD52"/>
      <c r="AE52"/>
      <c r="AX52" s="12" t="s">
        <v>425</v>
      </c>
    </row>
    <row r="53" spans="2:50" ht="38.25" x14ac:dyDescent="0.2">
      <c r="B53" s="11" t="s">
        <v>508</v>
      </c>
      <c r="C53" s="10"/>
      <c r="D53" s="10"/>
      <c r="K53" s="12" t="s">
        <v>12</v>
      </c>
      <c r="L53" s="11" t="s">
        <v>586</v>
      </c>
      <c r="N53"/>
      <c r="O53" s="11" t="s">
        <v>351</v>
      </c>
      <c r="P53" s="2" t="str">
        <f t="shared" si="0"/>
        <v>Медвежье.Неоком..1г</v>
      </c>
      <c r="Q53" s="2" t="s">
        <v>223</v>
      </c>
      <c r="R53" s="2" t="str">
        <f t="shared" si="1"/>
        <v>Медвежье.Неоком.УКПГ-Н</v>
      </c>
      <c r="S53"/>
      <c r="T53" s="2" t="str">
        <f t="shared" si="2"/>
        <v>Медвежье.Неоком</v>
      </c>
      <c r="U53" s="18" t="s">
        <v>41</v>
      </c>
      <c r="V53" s="19" t="s">
        <v>95</v>
      </c>
      <c r="W53" s="20" t="s">
        <v>99</v>
      </c>
      <c r="X53" t="s">
        <v>79</v>
      </c>
      <c r="Y53" t="s">
        <v>169</v>
      </c>
      <c r="Z53"/>
      <c r="AA53" t="s">
        <v>75</v>
      </c>
      <c r="AB53"/>
      <c r="AC53"/>
      <c r="AD53"/>
      <c r="AE53"/>
    </row>
    <row r="54" spans="2:50" ht="38.25" x14ac:dyDescent="0.2">
      <c r="B54" s="11" t="s">
        <v>509</v>
      </c>
      <c r="C54" s="10"/>
      <c r="D54" s="10"/>
      <c r="K54" s="12" t="s">
        <v>12</v>
      </c>
      <c r="L54" s="12" t="s">
        <v>560</v>
      </c>
      <c r="N54"/>
      <c r="O54" s="11" t="s">
        <v>352</v>
      </c>
      <c r="P54" s="2" t="str">
        <f t="shared" si="0"/>
        <v>Медвежье.Ачимовский..1д</v>
      </c>
      <c r="Q54" s="2" t="s">
        <v>224</v>
      </c>
      <c r="R54" s="2" t="str">
        <f t="shared" si="1"/>
        <v>Медвежье.Ачимовский.УКПГ-Н</v>
      </c>
      <c r="S54"/>
      <c r="T54" s="2" t="str">
        <f t="shared" si="2"/>
        <v>Медвежье.Ачимовский</v>
      </c>
      <c r="U54" s="21" t="s">
        <v>41</v>
      </c>
      <c r="V54" s="22" t="s">
        <v>95</v>
      </c>
      <c r="W54" s="23" t="s">
        <v>100</v>
      </c>
      <c r="X54" t="s">
        <v>101</v>
      </c>
      <c r="Y54" t="s">
        <v>102</v>
      </c>
      <c r="Z54"/>
      <c r="AA54" t="s">
        <v>102</v>
      </c>
      <c r="AB54"/>
      <c r="AC54"/>
      <c r="AD54"/>
      <c r="AE54"/>
    </row>
    <row r="55" spans="2:50" ht="25.5" x14ac:dyDescent="0.2">
      <c r="B55" s="11" t="s">
        <v>510</v>
      </c>
      <c r="C55" s="10"/>
      <c r="D55" s="10"/>
      <c r="K55" s="11" t="s">
        <v>548</v>
      </c>
      <c r="L55" s="11" t="s">
        <v>603</v>
      </c>
      <c r="N55"/>
      <c r="O55" s="11" t="s">
        <v>353</v>
      </c>
      <c r="P55" s="2" t="str">
        <f t="shared" si="0"/>
        <v>Медвежье.Ачимовский..1н</v>
      </c>
      <c r="Q55" s="2" t="s">
        <v>225</v>
      </c>
      <c r="R55" s="2" t="str">
        <f t="shared" si="1"/>
        <v>Медвежье.Ачимовский.УКПГ-Н</v>
      </c>
      <c r="S55"/>
      <c r="T55" s="2" t="str">
        <f t="shared" si="2"/>
        <v>Медвежье.Ачимовский</v>
      </c>
      <c r="U55" s="18" t="s">
        <v>41</v>
      </c>
      <c r="V55" s="19" t="s">
        <v>95</v>
      </c>
      <c r="W55" s="20" t="s">
        <v>103</v>
      </c>
      <c r="X55" t="s">
        <v>101</v>
      </c>
      <c r="Y55" t="s">
        <v>102</v>
      </c>
      <c r="Z55"/>
      <c r="AA55" t="s">
        <v>102</v>
      </c>
      <c r="AB55"/>
      <c r="AC55"/>
      <c r="AD55"/>
      <c r="AE55"/>
    </row>
    <row r="56" spans="2:50" ht="25.5" x14ac:dyDescent="0.2">
      <c r="B56" s="11" t="s">
        <v>511</v>
      </c>
      <c r="C56" s="10"/>
      <c r="D56" s="10"/>
      <c r="K56" s="11" t="s">
        <v>544</v>
      </c>
      <c r="L56" s="11" t="s">
        <v>612</v>
      </c>
      <c r="N56"/>
      <c r="O56" s="11" t="s">
        <v>354</v>
      </c>
      <c r="P56" s="2" t="str">
        <f t="shared" si="0"/>
        <v>Медвежье.Неоком..2</v>
      </c>
      <c r="Q56" s="2" t="s">
        <v>226</v>
      </c>
      <c r="R56" s="2" t="str">
        <f t="shared" si="1"/>
        <v>Медвежье.Неоком.УКПГ-Н</v>
      </c>
      <c r="S56"/>
      <c r="T56" s="2" t="str">
        <f t="shared" si="2"/>
        <v>Медвежье.Неоком</v>
      </c>
      <c r="U56" s="21" t="s">
        <v>41</v>
      </c>
      <c r="V56" s="22" t="s">
        <v>95</v>
      </c>
      <c r="W56" s="23">
        <v>2</v>
      </c>
      <c r="X56" t="s">
        <v>68</v>
      </c>
      <c r="Y56" t="s">
        <v>167</v>
      </c>
      <c r="Z56"/>
      <c r="AA56" t="s">
        <v>75</v>
      </c>
      <c r="AB56"/>
      <c r="AC56"/>
      <c r="AD56"/>
      <c r="AE56"/>
    </row>
    <row r="57" spans="2:50" ht="38.25" x14ac:dyDescent="0.2">
      <c r="B57" s="11" t="s">
        <v>512</v>
      </c>
      <c r="C57" s="10"/>
      <c r="D57" s="10"/>
      <c r="K57" s="12" t="s">
        <v>12</v>
      </c>
      <c r="L57" s="12" t="s">
        <v>561</v>
      </c>
      <c r="N57"/>
      <c r="O57" s="11" t="s">
        <v>355</v>
      </c>
      <c r="P57" s="2" t="str">
        <f t="shared" si="0"/>
        <v>Медвежье.Неоком..2а</v>
      </c>
      <c r="Q57" s="2" t="s">
        <v>227</v>
      </c>
      <c r="R57" s="2" t="str">
        <f t="shared" si="1"/>
        <v>Медвежье.Неоком.УКПГ-Н</v>
      </c>
      <c r="S57"/>
      <c r="T57" s="2" t="str">
        <f t="shared" si="2"/>
        <v>Медвежье.Неоком</v>
      </c>
      <c r="U57" s="18" t="s">
        <v>41</v>
      </c>
      <c r="V57" s="19" t="s">
        <v>95</v>
      </c>
      <c r="W57" s="20" t="s">
        <v>104</v>
      </c>
      <c r="X57" t="s">
        <v>68</v>
      </c>
      <c r="Y57" t="s">
        <v>167</v>
      </c>
      <c r="Z57"/>
      <c r="AA57" t="s">
        <v>75</v>
      </c>
      <c r="AB57"/>
      <c r="AC57"/>
      <c r="AD57"/>
      <c r="AE57"/>
    </row>
    <row r="58" spans="2:50" ht="38.25" x14ac:dyDescent="0.2">
      <c r="B58" s="11" t="s">
        <v>513</v>
      </c>
      <c r="C58" s="10"/>
      <c r="D58" s="10"/>
      <c r="K58" s="12" t="s">
        <v>12</v>
      </c>
      <c r="L58" s="11" t="s">
        <v>592</v>
      </c>
      <c r="N58"/>
      <c r="O58" s="11" t="s">
        <v>356</v>
      </c>
      <c r="P58" s="2" t="str">
        <f t="shared" si="0"/>
        <v>Медвежье.Неоком..3</v>
      </c>
      <c r="Q58" s="2" t="s">
        <v>228</v>
      </c>
      <c r="R58" s="2" t="str">
        <f t="shared" si="1"/>
        <v>Медвежье.Неоком.УКПГ-Н</v>
      </c>
      <c r="S58"/>
      <c r="T58" s="2" t="str">
        <f t="shared" si="2"/>
        <v>Медвежье.Неоком</v>
      </c>
      <c r="U58" s="21" t="s">
        <v>41</v>
      </c>
      <c r="V58" s="22" t="s">
        <v>95</v>
      </c>
      <c r="W58" s="23">
        <v>3</v>
      </c>
      <c r="X58" t="s">
        <v>68</v>
      </c>
      <c r="Y58" t="s">
        <v>167</v>
      </c>
      <c r="Z58"/>
      <c r="AA58" t="s">
        <v>75</v>
      </c>
      <c r="AB58"/>
      <c r="AC58"/>
      <c r="AD58"/>
      <c r="AE58"/>
    </row>
    <row r="59" spans="2:50" ht="38.25" x14ac:dyDescent="0.2">
      <c r="B59" s="11" t="s">
        <v>514</v>
      </c>
      <c r="C59" s="10"/>
      <c r="D59" s="10"/>
      <c r="K59" s="12" t="s">
        <v>12</v>
      </c>
      <c r="L59" s="12" t="s">
        <v>571</v>
      </c>
      <c r="N59"/>
      <c r="O59" s="11" t="s">
        <v>357</v>
      </c>
      <c r="P59" s="2" t="str">
        <f t="shared" si="0"/>
        <v>Медвежье.Неоком..4</v>
      </c>
      <c r="Q59" s="2" t="s">
        <v>229</v>
      </c>
      <c r="R59" s="2" t="str">
        <f t="shared" si="1"/>
        <v>Медвежье.Неоком.УКПГ-Н</v>
      </c>
      <c r="S59"/>
      <c r="T59" s="2" t="str">
        <f t="shared" si="2"/>
        <v>Медвежье.Неоком</v>
      </c>
      <c r="U59" s="18" t="s">
        <v>41</v>
      </c>
      <c r="V59" s="19" t="s">
        <v>95</v>
      </c>
      <c r="W59" s="20">
        <v>4</v>
      </c>
      <c r="X59" t="s">
        <v>58</v>
      </c>
      <c r="Y59" t="s">
        <v>71</v>
      </c>
      <c r="Z59"/>
      <c r="AA59" t="s">
        <v>75</v>
      </c>
      <c r="AB59"/>
      <c r="AC59"/>
      <c r="AD59"/>
      <c r="AE59"/>
    </row>
    <row r="60" spans="2:50" ht="38.25" x14ac:dyDescent="0.2">
      <c r="B60" s="11" t="s">
        <v>470</v>
      </c>
      <c r="C60" s="10"/>
      <c r="D60" s="10"/>
      <c r="K60" s="12" t="s">
        <v>12</v>
      </c>
      <c r="L60" s="11" t="s">
        <v>580</v>
      </c>
      <c r="N60"/>
      <c r="O60" s="11" t="s">
        <v>358</v>
      </c>
      <c r="P60" s="2" t="str">
        <f t="shared" si="0"/>
        <v>Медвежье.Неоком..6</v>
      </c>
      <c r="Q60" s="2" t="s">
        <v>230</v>
      </c>
      <c r="R60" s="2" t="str">
        <f t="shared" si="1"/>
        <v>Медвежье.Неоком.УКПГ-Н</v>
      </c>
      <c r="S60"/>
      <c r="T60" s="2" t="str">
        <f t="shared" si="2"/>
        <v>Медвежье.Неоком</v>
      </c>
      <c r="U60" s="21" t="s">
        <v>41</v>
      </c>
      <c r="V60" s="22" t="s">
        <v>95</v>
      </c>
      <c r="W60" s="23">
        <v>6</v>
      </c>
      <c r="X60" t="s">
        <v>105</v>
      </c>
      <c r="Y60" t="s">
        <v>171</v>
      </c>
      <c r="Z60"/>
      <c r="AA60" t="s">
        <v>75</v>
      </c>
      <c r="AB60"/>
      <c r="AC60"/>
      <c r="AD60"/>
      <c r="AE60"/>
    </row>
    <row r="61" spans="2:50" ht="25.5" x14ac:dyDescent="0.2">
      <c r="B61" s="11" t="s">
        <v>515</v>
      </c>
      <c r="C61" s="10"/>
      <c r="D61" s="10"/>
      <c r="K61" s="11" t="s">
        <v>544</v>
      </c>
      <c r="L61" s="11" t="s">
        <v>613</v>
      </c>
      <c r="N61"/>
      <c r="O61" s="11" t="s">
        <v>359</v>
      </c>
      <c r="P61" s="2" t="str">
        <f t="shared" si="0"/>
        <v>Медвежье.Неоком..7</v>
      </c>
      <c r="Q61" s="2" t="s">
        <v>231</v>
      </c>
      <c r="R61" s="2" t="str">
        <f t="shared" si="1"/>
        <v>Медвежье.Неоком.УКПГ-Н</v>
      </c>
      <c r="S61"/>
      <c r="T61" s="2" t="str">
        <f t="shared" si="2"/>
        <v>Медвежье.Неоком</v>
      </c>
      <c r="U61" s="18" t="s">
        <v>41</v>
      </c>
      <c r="V61" s="19" t="s">
        <v>95</v>
      </c>
      <c r="W61" s="20">
        <v>7</v>
      </c>
      <c r="X61" t="s">
        <v>83</v>
      </c>
      <c r="Y61" t="s">
        <v>170</v>
      </c>
      <c r="Z61"/>
      <c r="AA61" t="s">
        <v>75</v>
      </c>
      <c r="AB61"/>
      <c r="AC61"/>
      <c r="AD61"/>
      <c r="AE61"/>
    </row>
    <row r="62" spans="2:50" ht="25.5" x14ac:dyDescent="0.2">
      <c r="B62" s="11" t="s">
        <v>516</v>
      </c>
      <c r="C62" s="10"/>
      <c r="D62" s="10"/>
      <c r="K62" s="11" t="s">
        <v>544</v>
      </c>
      <c r="L62" s="11" t="s">
        <v>609</v>
      </c>
      <c r="N62"/>
      <c r="O62" s="11" t="s">
        <v>360</v>
      </c>
      <c r="P62" s="2" t="str">
        <f t="shared" si="0"/>
        <v>Медвежье.Неоком..7</v>
      </c>
      <c r="Q62" s="2" t="s">
        <v>232</v>
      </c>
      <c r="R62" s="2" t="str">
        <f t="shared" si="1"/>
        <v>Медвежье.Неоком.УКПГ-Н</v>
      </c>
      <c r="S62"/>
      <c r="T62" s="2" t="str">
        <f t="shared" si="2"/>
        <v>Медвежье.Неоком</v>
      </c>
      <c r="U62" s="21" t="s">
        <v>41</v>
      </c>
      <c r="V62" s="22" t="s">
        <v>95</v>
      </c>
      <c r="W62" s="23">
        <v>7</v>
      </c>
      <c r="X62" t="s">
        <v>74</v>
      </c>
      <c r="Y62" t="s">
        <v>168</v>
      </c>
      <c r="Z62"/>
      <c r="AA62" t="s">
        <v>75</v>
      </c>
      <c r="AB62"/>
      <c r="AC62"/>
      <c r="AD62"/>
      <c r="AE62"/>
    </row>
    <row r="63" spans="2:50" ht="38.25" x14ac:dyDescent="0.2">
      <c r="B63" s="11" t="s">
        <v>486</v>
      </c>
      <c r="C63" s="10"/>
      <c r="D63" s="10"/>
      <c r="K63" s="12" t="s">
        <v>12</v>
      </c>
      <c r="L63" s="11" t="s">
        <v>581</v>
      </c>
      <c r="N63"/>
      <c r="O63" s="11" t="s">
        <v>361</v>
      </c>
      <c r="P63" s="2" t="str">
        <f t="shared" si="0"/>
        <v>Медвежье.Неоком..8</v>
      </c>
      <c r="Q63" s="2" t="s">
        <v>233</v>
      </c>
      <c r="R63" s="2" t="str">
        <f t="shared" si="1"/>
        <v>Медвежье.Неоком.УКПГ-Н</v>
      </c>
      <c r="S63"/>
      <c r="T63" s="2" t="str">
        <f t="shared" si="2"/>
        <v>Медвежье.Неоком</v>
      </c>
      <c r="U63" s="18" t="s">
        <v>41</v>
      </c>
      <c r="V63" s="19" t="s">
        <v>95</v>
      </c>
      <c r="W63" s="20">
        <v>8</v>
      </c>
      <c r="X63" t="s">
        <v>74</v>
      </c>
      <c r="Y63" t="s">
        <v>168</v>
      </c>
      <c r="Z63"/>
      <c r="AA63" t="s">
        <v>75</v>
      </c>
      <c r="AB63"/>
      <c r="AC63"/>
      <c r="AD63"/>
      <c r="AE63"/>
    </row>
    <row r="64" spans="2:50" ht="25.5" x14ac:dyDescent="0.2">
      <c r="B64" s="11" t="s">
        <v>485</v>
      </c>
      <c r="C64" s="10"/>
      <c r="D64" s="10"/>
      <c r="K64" s="11" t="s">
        <v>10</v>
      </c>
      <c r="L64" s="11" t="s">
        <v>599</v>
      </c>
      <c r="N64"/>
      <c r="O64" s="11" t="s">
        <v>362</v>
      </c>
      <c r="P64" s="2" t="str">
        <f t="shared" si="0"/>
        <v>Медвежье.Неоком..9</v>
      </c>
      <c r="Q64" s="2" t="s">
        <v>234</v>
      </c>
      <c r="R64" s="2" t="str">
        <f t="shared" si="1"/>
        <v>Медвежье.Неоком.УКПГ-Н</v>
      </c>
      <c r="S64"/>
      <c r="T64" s="2" t="str">
        <f t="shared" si="2"/>
        <v>Медвежье.Неоком</v>
      </c>
      <c r="U64" s="21" t="s">
        <v>41</v>
      </c>
      <c r="V64" s="22" t="s">
        <v>95</v>
      </c>
      <c r="W64" s="23">
        <v>9</v>
      </c>
      <c r="X64" t="s">
        <v>74</v>
      </c>
      <c r="Y64" t="s">
        <v>168</v>
      </c>
      <c r="Z64"/>
      <c r="AA64" t="s">
        <v>75</v>
      </c>
      <c r="AB64"/>
      <c r="AC64"/>
      <c r="AD64"/>
      <c r="AE64"/>
    </row>
    <row r="65" spans="2:31" ht="25.5" x14ac:dyDescent="0.2">
      <c r="B65" s="11" t="s">
        <v>517</v>
      </c>
      <c r="C65" s="10"/>
      <c r="D65" s="10"/>
      <c r="K65" s="11" t="s">
        <v>544</v>
      </c>
      <c r="L65" s="11" t="s">
        <v>614</v>
      </c>
      <c r="N65"/>
      <c r="O65" s="11" t="s">
        <v>363</v>
      </c>
      <c r="P65" s="2" t="str">
        <f t="shared" si="0"/>
        <v>Медвежье.Неоком..10</v>
      </c>
      <c r="Q65" s="2" t="s">
        <v>235</v>
      </c>
      <c r="R65" s="2" t="str">
        <f t="shared" si="1"/>
        <v>Медвежье.Неоком.УКПГ-Н</v>
      </c>
      <c r="S65"/>
      <c r="T65" s="2" t="str">
        <f t="shared" si="2"/>
        <v>Медвежье.Неоком</v>
      </c>
      <c r="U65" s="18" t="s">
        <v>41</v>
      </c>
      <c r="V65" s="19" t="s">
        <v>95</v>
      </c>
      <c r="W65" s="20">
        <v>10</v>
      </c>
      <c r="X65" t="s">
        <v>74</v>
      </c>
      <c r="Y65" t="s">
        <v>168</v>
      </c>
      <c r="Z65"/>
      <c r="AA65" t="s">
        <v>75</v>
      </c>
      <c r="AB65"/>
      <c r="AC65"/>
      <c r="AD65"/>
      <c r="AE65"/>
    </row>
    <row r="66" spans="2:31" ht="38.25" x14ac:dyDescent="0.2">
      <c r="B66" s="11" t="s">
        <v>518</v>
      </c>
      <c r="C66" s="10"/>
      <c r="D66" s="10"/>
      <c r="K66" s="12" t="s">
        <v>12</v>
      </c>
      <c r="L66" s="11" t="s">
        <v>582</v>
      </c>
      <c r="N66"/>
      <c r="O66" s="11" t="s">
        <v>364</v>
      </c>
      <c r="P66" s="2" t="str">
        <f t="shared" si="0"/>
        <v>Медвежье.Неоком..11</v>
      </c>
      <c r="Q66" s="2" t="s">
        <v>236</v>
      </c>
      <c r="R66" s="2" t="str">
        <f t="shared" si="1"/>
        <v>Медвежье.Неоком.УКПГ-Н</v>
      </c>
      <c r="S66"/>
      <c r="T66" s="2" t="str">
        <f t="shared" si="2"/>
        <v>Медвежье.Неоком</v>
      </c>
      <c r="U66" s="21" t="s">
        <v>41</v>
      </c>
      <c r="V66" s="22" t="s">
        <v>95</v>
      </c>
      <c r="W66" s="23">
        <v>11</v>
      </c>
      <c r="X66" t="s">
        <v>83</v>
      </c>
      <c r="Y66" t="s">
        <v>170</v>
      </c>
      <c r="Z66"/>
      <c r="AA66" t="s">
        <v>75</v>
      </c>
      <c r="AB66"/>
      <c r="AC66"/>
      <c r="AD66"/>
      <c r="AE66"/>
    </row>
    <row r="67" spans="2:31" ht="25.5" x14ac:dyDescent="0.2">
      <c r="B67" s="11" t="s">
        <v>485</v>
      </c>
      <c r="C67" s="10"/>
      <c r="D67" s="10"/>
      <c r="K67" s="11" t="s">
        <v>542</v>
      </c>
      <c r="L67" s="11" t="s">
        <v>43</v>
      </c>
      <c r="N67"/>
      <c r="O67" s="11" t="s">
        <v>365</v>
      </c>
      <c r="P67" s="2" t="str">
        <f t="shared" si="0"/>
        <v>Медвежье.Неоком..11а</v>
      </c>
      <c r="Q67" s="2" t="s">
        <v>237</v>
      </c>
      <c r="R67" s="2" t="str">
        <f t="shared" si="1"/>
        <v>Медвежье.Неоком.УКПГ-Н</v>
      </c>
      <c r="S67"/>
      <c r="T67" s="2" t="str">
        <f t="shared" si="2"/>
        <v>Медвежье.Неоком</v>
      </c>
      <c r="U67" s="18" t="s">
        <v>41</v>
      </c>
      <c r="V67" s="19" t="s">
        <v>95</v>
      </c>
      <c r="W67" s="20" t="s">
        <v>106</v>
      </c>
      <c r="X67" t="s">
        <v>83</v>
      </c>
      <c r="Y67" t="s">
        <v>170</v>
      </c>
      <c r="Z67"/>
      <c r="AA67" t="s">
        <v>75</v>
      </c>
      <c r="AB67"/>
      <c r="AC67"/>
      <c r="AD67"/>
      <c r="AE67"/>
    </row>
    <row r="68" spans="2:31" ht="38.25" x14ac:dyDescent="0.2">
      <c r="B68" s="11" t="s">
        <v>519</v>
      </c>
      <c r="C68" s="10"/>
      <c r="D68" s="10"/>
      <c r="K68" s="12" t="s">
        <v>12</v>
      </c>
      <c r="L68" s="11" t="s">
        <v>583</v>
      </c>
      <c r="N68"/>
      <c r="O68" s="11" t="s">
        <v>366</v>
      </c>
      <c r="P68" s="2" t="str">
        <f t="shared" si="0"/>
        <v>Медвежье.Неоком..5 (сеноман)</v>
      </c>
      <c r="Q68" s="2" t="s">
        <v>238</v>
      </c>
      <c r="R68" s="2" t="str">
        <f t="shared" si="1"/>
        <v>Медвежье.Неоком.УКПГ-1</v>
      </c>
      <c r="S68"/>
      <c r="T68" s="2" t="str">
        <f t="shared" si="2"/>
        <v>Медвежье.Неоком</v>
      </c>
      <c r="U68" s="21" t="s">
        <v>41</v>
      </c>
      <c r="V68" s="22" t="s">
        <v>63</v>
      </c>
      <c r="W68" s="23" t="s">
        <v>107</v>
      </c>
      <c r="X68" t="s">
        <v>58</v>
      </c>
      <c r="Y68" t="s">
        <v>71</v>
      </c>
      <c r="Z68"/>
      <c r="AA68" t="s">
        <v>75</v>
      </c>
      <c r="AB68"/>
      <c r="AC68"/>
      <c r="AD68"/>
      <c r="AE68"/>
    </row>
    <row r="69" spans="2:31" ht="38.25" x14ac:dyDescent="0.2">
      <c r="B69" s="11" t="s">
        <v>520</v>
      </c>
      <c r="C69" s="10"/>
      <c r="D69" s="10"/>
      <c r="K69" s="12" t="s">
        <v>12</v>
      </c>
      <c r="L69" s="12" t="s">
        <v>570</v>
      </c>
      <c r="N69"/>
      <c r="O69" s="11" t="s">
        <v>367</v>
      </c>
      <c r="P69" s="2" t="str">
        <f t="shared" ref="P69:P132" si="3">CONCATENATE(U69,".",AA69,".",AC69,".",W69)</f>
        <v>Медвежье.Неоком..5 (сеноман)</v>
      </c>
      <c r="Q69" s="2" t="s">
        <v>239</v>
      </c>
      <c r="R69" s="2" t="str">
        <f t="shared" ref="R69:R132" si="4">CONCATENATE(U69,".",AA69,".",V69)</f>
        <v>Медвежье.Неоком.УКПГ-2</v>
      </c>
      <c r="S69"/>
      <c r="T69" s="2" t="str">
        <f t="shared" ref="T69:T132" si="5">CONCATENATE(U69,".",AA69)</f>
        <v>Медвежье.Неоком</v>
      </c>
      <c r="U69" s="18" t="s">
        <v>41</v>
      </c>
      <c r="V69" s="19" t="s">
        <v>56</v>
      </c>
      <c r="W69" s="20" t="s">
        <v>107</v>
      </c>
      <c r="X69" t="s">
        <v>58</v>
      </c>
      <c r="Y69" t="s">
        <v>71</v>
      </c>
      <c r="Z69"/>
      <c r="AA69" t="s">
        <v>75</v>
      </c>
      <c r="AB69"/>
      <c r="AC69"/>
      <c r="AD69"/>
      <c r="AE69"/>
    </row>
    <row r="70" spans="2:31" ht="38.25" x14ac:dyDescent="0.2">
      <c r="B70" s="11" t="s">
        <v>521</v>
      </c>
      <c r="C70" s="10"/>
      <c r="D70" s="10"/>
      <c r="K70" s="12" t="s">
        <v>12</v>
      </c>
      <c r="L70" s="12" t="s">
        <v>569</v>
      </c>
      <c r="N70"/>
      <c r="O70" s="11" t="s">
        <v>368</v>
      </c>
      <c r="P70" s="2" t="str">
        <f t="shared" si="3"/>
        <v>Медвежье.Неоком..5 (сеноман)</v>
      </c>
      <c r="Q70" s="2" t="s">
        <v>240</v>
      </c>
      <c r="R70" s="2" t="str">
        <f t="shared" si="4"/>
        <v>Медвежье.Неоком.УКПГ-3</v>
      </c>
      <c r="S70"/>
      <c r="T70" s="2" t="str">
        <f t="shared" si="5"/>
        <v>Медвежье.Неоком</v>
      </c>
      <c r="U70" s="21" t="s">
        <v>41</v>
      </c>
      <c r="V70" s="22" t="s">
        <v>60</v>
      </c>
      <c r="W70" s="23" t="s">
        <v>107</v>
      </c>
      <c r="X70" t="s">
        <v>58</v>
      </c>
      <c r="Y70" t="s">
        <v>71</v>
      </c>
      <c r="Z70"/>
      <c r="AA70" t="s">
        <v>75</v>
      </c>
      <c r="AB70"/>
      <c r="AC70"/>
      <c r="AD70"/>
      <c r="AE70"/>
    </row>
    <row r="71" spans="2:31" ht="25.5" x14ac:dyDescent="0.2">
      <c r="B71" s="11" t="s">
        <v>522</v>
      </c>
      <c r="C71" s="10"/>
      <c r="D71" s="10"/>
      <c r="K71" s="11" t="s">
        <v>551</v>
      </c>
      <c r="L71" s="11" t="s">
        <v>593</v>
      </c>
      <c r="N71"/>
      <c r="O71" s="11" t="s">
        <v>369</v>
      </c>
      <c r="P71" s="2" t="str">
        <f t="shared" si="3"/>
        <v>Медвежье.Неоком..5 (сеноман)</v>
      </c>
      <c r="Q71" s="2" t="s">
        <v>241</v>
      </c>
      <c r="R71" s="2" t="str">
        <f t="shared" si="4"/>
        <v>Медвежье.Неоком.УКПГ-4</v>
      </c>
      <c r="S71"/>
      <c r="T71" s="2" t="str">
        <f t="shared" si="5"/>
        <v>Медвежье.Неоком</v>
      </c>
      <c r="U71" s="18" t="s">
        <v>41</v>
      </c>
      <c r="V71" s="19" t="s">
        <v>108</v>
      </c>
      <c r="W71" s="20" t="s">
        <v>107</v>
      </c>
      <c r="X71" t="s">
        <v>58</v>
      </c>
      <c r="Y71" t="s">
        <v>71</v>
      </c>
      <c r="Z71"/>
      <c r="AA71" t="s">
        <v>75</v>
      </c>
      <c r="AB71"/>
      <c r="AC71"/>
      <c r="AD71"/>
      <c r="AE71"/>
    </row>
    <row r="72" spans="2:31" ht="25.5" x14ac:dyDescent="0.2">
      <c r="B72" s="11" t="s">
        <v>523</v>
      </c>
      <c r="C72" s="10"/>
      <c r="D72" s="10"/>
      <c r="K72" s="11" t="s">
        <v>545</v>
      </c>
      <c r="L72" s="11" t="s">
        <v>605</v>
      </c>
      <c r="N72"/>
      <c r="O72" s="11" t="s">
        <v>370</v>
      </c>
      <c r="P72" s="2" t="str">
        <f t="shared" si="3"/>
        <v>Медвежье.Неоком..5 (сеноман)</v>
      </c>
      <c r="Q72" s="2" t="s">
        <v>242</v>
      </c>
      <c r="R72" s="2" t="str">
        <f t="shared" si="4"/>
        <v>Медвежье.Неоком.УКПГ-5</v>
      </c>
      <c r="S72"/>
      <c r="T72" s="2" t="str">
        <f t="shared" si="5"/>
        <v>Медвежье.Неоком</v>
      </c>
      <c r="U72" s="21" t="s">
        <v>41</v>
      </c>
      <c r="V72" s="22" t="s">
        <v>109</v>
      </c>
      <c r="W72" s="23" t="s">
        <v>107</v>
      </c>
      <c r="X72" t="s">
        <v>58</v>
      </c>
      <c r="Y72" t="s">
        <v>71</v>
      </c>
      <c r="Z72"/>
      <c r="AA72" t="s">
        <v>75</v>
      </c>
      <c r="AB72"/>
      <c r="AC72"/>
      <c r="AD72"/>
      <c r="AE72"/>
    </row>
    <row r="73" spans="2:31" ht="38.25" x14ac:dyDescent="0.2">
      <c r="B73" s="11" t="s">
        <v>485</v>
      </c>
      <c r="C73" s="10"/>
      <c r="D73" s="10"/>
      <c r="K73" s="12" t="s">
        <v>12</v>
      </c>
      <c r="L73" s="12" t="s">
        <v>568</v>
      </c>
      <c r="N73"/>
      <c r="O73" s="11" t="s">
        <v>371</v>
      </c>
      <c r="P73" s="2" t="str">
        <f t="shared" si="3"/>
        <v>Медвежье.Неоком..5 (сеноман)</v>
      </c>
      <c r="Q73" s="2" t="s">
        <v>243</v>
      </c>
      <c r="R73" s="2" t="str">
        <f t="shared" si="4"/>
        <v>Медвежье.Неоком.УКПГ-6</v>
      </c>
      <c r="S73"/>
      <c r="T73" s="2" t="str">
        <f t="shared" si="5"/>
        <v>Медвежье.Неоком</v>
      </c>
      <c r="U73" s="18" t="s">
        <v>41</v>
      </c>
      <c r="V73" s="19" t="s">
        <v>110</v>
      </c>
      <c r="W73" s="20" t="s">
        <v>107</v>
      </c>
      <c r="X73" t="s">
        <v>58</v>
      </c>
      <c r="Y73" t="s">
        <v>71</v>
      </c>
      <c r="Z73"/>
      <c r="AA73" t="s">
        <v>75</v>
      </c>
      <c r="AB73"/>
      <c r="AC73"/>
      <c r="AD73"/>
      <c r="AE73"/>
    </row>
    <row r="74" spans="2:31" ht="25.5" x14ac:dyDescent="0.2">
      <c r="B74" s="11" t="s">
        <v>524</v>
      </c>
      <c r="C74" s="10"/>
      <c r="D74" s="10"/>
      <c r="K74" s="11" t="s">
        <v>542</v>
      </c>
      <c r="L74" s="11" t="s">
        <v>44</v>
      </c>
      <c r="N74"/>
      <c r="O74" s="11" t="s">
        <v>372</v>
      </c>
      <c r="P74" s="2" t="str">
        <f t="shared" si="3"/>
        <v>Медвежье.Неоком..5 (сеноман)</v>
      </c>
      <c r="Q74" s="2" t="s">
        <v>244</v>
      </c>
      <c r="R74" s="2" t="str">
        <f t="shared" si="4"/>
        <v>Медвежье.Неоком.УКПГ-7</v>
      </c>
      <c r="S74"/>
      <c r="T74" s="2" t="str">
        <f t="shared" si="5"/>
        <v>Медвежье.Неоком</v>
      </c>
      <c r="U74" s="21" t="s">
        <v>41</v>
      </c>
      <c r="V74" s="22" t="s">
        <v>111</v>
      </c>
      <c r="W74" s="23" t="s">
        <v>107</v>
      </c>
      <c r="X74" t="s">
        <v>58</v>
      </c>
      <c r="Y74" t="s">
        <v>71</v>
      </c>
      <c r="Z74"/>
      <c r="AA74" t="s">
        <v>75</v>
      </c>
      <c r="AB74"/>
      <c r="AC74"/>
      <c r="AD74"/>
      <c r="AE74"/>
    </row>
    <row r="75" spans="2:31" ht="25.5" x14ac:dyDescent="0.2">
      <c r="B75" s="11" t="s">
        <v>525</v>
      </c>
      <c r="C75" s="10"/>
      <c r="D75" s="10"/>
      <c r="K75" s="11" t="s">
        <v>9</v>
      </c>
      <c r="L75" s="11" t="s">
        <v>595</v>
      </c>
      <c r="N75"/>
      <c r="O75" s="11" t="s">
        <v>373</v>
      </c>
      <c r="P75" s="2" t="str">
        <f t="shared" si="3"/>
        <v>Медвежье.Неоком..5 (сеноман)</v>
      </c>
      <c r="Q75" s="2" t="s">
        <v>245</v>
      </c>
      <c r="R75" s="2" t="str">
        <f t="shared" si="4"/>
        <v>Медвежье.Неоком.УКПГ-8</v>
      </c>
      <c r="S75"/>
      <c r="T75" s="2" t="str">
        <f t="shared" si="5"/>
        <v>Медвежье.Неоком</v>
      </c>
      <c r="U75" s="18" t="s">
        <v>41</v>
      </c>
      <c r="V75" s="19" t="s">
        <v>112</v>
      </c>
      <c r="W75" s="20" t="s">
        <v>107</v>
      </c>
      <c r="X75" t="s">
        <v>58</v>
      </c>
      <c r="Y75" t="s">
        <v>71</v>
      </c>
      <c r="Z75"/>
      <c r="AA75" t="s">
        <v>75</v>
      </c>
      <c r="AB75"/>
      <c r="AC75"/>
      <c r="AD75"/>
      <c r="AE75"/>
    </row>
    <row r="76" spans="2:31" ht="25.5" x14ac:dyDescent="0.2">
      <c r="B76" s="11" t="s">
        <v>526</v>
      </c>
      <c r="C76" s="10"/>
      <c r="D76" s="10"/>
      <c r="K76" s="11" t="s">
        <v>10</v>
      </c>
      <c r="L76" s="11" t="s">
        <v>596</v>
      </c>
      <c r="N76"/>
      <c r="O76" s="11" t="s">
        <v>374</v>
      </c>
      <c r="P76" s="2" t="str">
        <f t="shared" si="3"/>
        <v>Медвежье.Неоком..5 (сеноман)</v>
      </c>
      <c r="Q76" s="2" t="s">
        <v>246</v>
      </c>
      <c r="R76" s="2" t="str">
        <f t="shared" si="4"/>
        <v>Медвежье.Неоком.УКПГ-9</v>
      </c>
      <c r="S76"/>
      <c r="T76" s="2" t="str">
        <f t="shared" si="5"/>
        <v>Медвежье.Неоком</v>
      </c>
      <c r="U76" s="21" t="s">
        <v>41</v>
      </c>
      <c r="V76" s="22" t="s">
        <v>113</v>
      </c>
      <c r="W76" s="23" t="s">
        <v>107</v>
      </c>
      <c r="X76" t="s">
        <v>58</v>
      </c>
      <c r="Y76" t="s">
        <v>71</v>
      </c>
      <c r="Z76"/>
      <c r="AA76" t="s">
        <v>75</v>
      </c>
      <c r="AB76"/>
      <c r="AC76"/>
      <c r="AD76"/>
      <c r="AE76"/>
    </row>
    <row r="77" spans="2:31" ht="38.25" x14ac:dyDescent="0.2">
      <c r="B77" s="11" t="s">
        <v>527</v>
      </c>
      <c r="C77" s="10"/>
      <c r="D77" s="10"/>
      <c r="K77" s="12" t="s">
        <v>12</v>
      </c>
      <c r="L77" s="12" t="s">
        <v>567</v>
      </c>
      <c r="N77"/>
      <c r="O77" s="11" t="s">
        <v>375</v>
      </c>
      <c r="P77" s="2" t="str">
        <f t="shared" si="3"/>
        <v>Оренбургское НГКМ...Р5-А3</v>
      </c>
      <c r="Q77" s="2" t="s">
        <v>247</v>
      </c>
      <c r="R77" s="2" t="str">
        <f t="shared" si="4"/>
        <v>Оренбургское НГКМ..УКПГ-2</v>
      </c>
      <c r="S77"/>
      <c r="T77" s="2" t="str">
        <f t="shared" si="5"/>
        <v>Оренбургское НГКМ.</v>
      </c>
      <c r="U77" s="18" t="s">
        <v>42</v>
      </c>
      <c r="V77" s="19" t="s">
        <v>56</v>
      </c>
      <c r="W77" s="20" t="s">
        <v>114</v>
      </c>
      <c r="X77"/>
      <c r="Y77" t="e">
        <v>#VALUE!</v>
      </c>
      <c r="Z77"/>
      <c r="AA77"/>
      <c r="AB77"/>
      <c r="AC77"/>
      <c r="AD77"/>
      <c r="AE77"/>
    </row>
    <row r="78" spans="2:31" ht="38.25" x14ac:dyDescent="0.2">
      <c r="B78" s="11" t="s">
        <v>528</v>
      </c>
      <c r="C78" s="10"/>
      <c r="D78" s="10"/>
      <c r="K78" s="12" t="s">
        <v>12</v>
      </c>
      <c r="L78" s="11" t="s">
        <v>584</v>
      </c>
      <c r="N78"/>
      <c r="O78"/>
      <c r="P78" s="2" t="str">
        <f t="shared" si="3"/>
        <v>Оренбургское НГКМ...Р4+5+6</v>
      </c>
      <c r="Q78" s="2" t="s">
        <v>248</v>
      </c>
      <c r="R78" s="2" t="str">
        <f t="shared" si="4"/>
        <v>Оренбургское НГКМ..УКПГ-10</v>
      </c>
      <c r="S78"/>
      <c r="T78" s="2" t="str">
        <f t="shared" si="5"/>
        <v>Оренбургское НГКМ.</v>
      </c>
      <c r="U78" s="21" t="s">
        <v>42</v>
      </c>
      <c r="V78" s="22" t="s">
        <v>115</v>
      </c>
      <c r="W78" s="23" t="s">
        <v>116</v>
      </c>
      <c r="X78"/>
      <c r="Y78" t="e">
        <v>#VALUE!</v>
      </c>
      <c r="Z78"/>
      <c r="AA78"/>
      <c r="AB78"/>
      <c r="AC78"/>
      <c r="AD78"/>
      <c r="AE78"/>
    </row>
    <row r="79" spans="2:31" ht="25.5" x14ac:dyDescent="0.2">
      <c r="B79" s="11" t="s">
        <v>485</v>
      </c>
      <c r="C79" s="10"/>
      <c r="D79" s="10"/>
      <c r="K79" s="11" t="s">
        <v>9</v>
      </c>
      <c r="L79" s="11" t="s">
        <v>45</v>
      </c>
      <c r="N79"/>
      <c r="O79"/>
      <c r="P79" s="2" t="str">
        <f t="shared" si="3"/>
        <v>Оренбургское НГКМ...Р5-А3</v>
      </c>
      <c r="Q79" s="2" t="s">
        <v>249</v>
      </c>
      <c r="R79" s="2" t="str">
        <f t="shared" si="4"/>
        <v>Оренбургское НГКМ..УКПГ-10</v>
      </c>
      <c r="S79"/>
      <c r="T79" s="2" t="str">
        <f t="shared" si="5"/>
        <v>Оренбургское НГКМ.</v>
      </c>
      <c r="U79" s="18" t="s">
        <v>42</v>
      </c>
      <c r="V79" s="19" t="s">
        <v>115</v>
      </c>
      <c r="W79" s="20" t="s">
        <v>114</v>
      </c>
      <c r="X79"/>
      <c r="Y79" t="e">
        <v>#VALUE!</v>
      </c>
      <c r="Z79"/>
      <c r="AA79"/>
      <c r="AB79"/>
      <c r="AC79"/>
      <c r="AD79"/>
      <c r="AE79"/>
    </row>
    <row r="80" spans="2:31" ht="38.25" x14ac:dyDescent="0.2">
      <c r="B80" s="11" t="s">
        <v>529</v>
      </c>
      <c r="C80" s="10"/>
      <c r="D80" s="10"/>
      <c r="K80" s="12" t="s">
        <v>12</v>
      </c>
      <c r="L80" s="12" t="s">
        <v>559</v>
      </c>
      <c r="N80"/>
      <c r="O80"/>
      <c r="P80" s="2" t="str">
        <f t="shared" si="3"/>
        <v>Оренбургское НГКМ...Р5-А3</v>
      </c>
      <c r="Q80" s="2" t="s">
        <v>250</v>
      </c>
      <c r="R80" s="2" t="str">
        <f t="shared" si="4"/>
        <v>Оренбургское НГКМ..УКПГ-1</v>
      </c>
      <c r="S80"/>
      <c r="T80" s="2" t="str">
        <f t="shared" si="5"/>
        <v>Оренбургское НГКМ.</v>
      </c>
      <c r="U80" s="21" t="s">
        <v>42</v>
      </c>
      <c r="V80" s="22" t="s">
        <v>63</v>
      </c>
      <c r="W80" s="23" t="s">
        <v>114</v>
      </c>
      <c r="X80"/>
      <c r="Y80" t="e">
        <v>#VALUE!</v>
      </c>
      <c r="Z80"/>
      <c r="AA80"/>
      <c r="AB80"/>
      <c r="AC80"/>
      <c r="AD80"/>
      <c r="AE80"/>
    </row>
    <row r="81" spans="2:31" ht="38.25" x14ac:dyDescent="0.2">
      <c r="B81" s="11" t="s">
        <v>530</v>
      </c>
      <c r="C81" s="10"/>
      <c r="D81" s="10"/>
      <c r="K81" s="11" t="s">
        <v>550</v>
      </c>
      <c r="L81" s="11" t="s">
        <v>619</v>
      </c>
      <c r="N81"/>
      <c r="O81"/>
      <c r="P81" s="2" t="str">
        <f t="shared" si="3"/>
        <v>Оренбургское НГКМ...Р5-А3</v>
      </c>
      <c r="Q81" s="2" t="s">
        <v>251</v>
      </c>
      <c r="R81" s="2" t="str">
        <f t="shared" si="4"/>
        <v>Оренбургское НГКМ..УКПГ-14</v>
      </c>
      <c r="S81"/>
      <c r="T81" s="2" t="str">
        <f t="shared" si="5"/>
        <v>Оренбургское НГКМ.</v>
      </c>
      <c r="U81" s="18" t="s">
        <v>42</v>
      </c>
      <c r="V81" s="19" t="s">
        <v>117</v>
      </c>
      <c r="W81" s="20" t="s">
        <v>114</v>
      </c>
      <c r="X81"/>
      <c r="Y81" t="e">
        <v>#VALUE!</v>
      </c>
      <c r="Z81"/>
      <c r="AA81"/>
      <c r="AB81"/>
      <c r="AC81"/>
      <c r="AD81"/>
      <c r="AE81"/>
    </row>
    <row r="82" spans="2:31" ht="38.25" x14ac:dyDescent="0.2">
      <c r="B82" s="11" t="s">
        <v>531</v>
      </c>
      <c r="C82" s="10"/>
      <c r="D82" s="10"/>
      <c r="K82" s="12" t="s">
        <v>12</v>
      </c>
      <c r="L82" s="11" t="s">
        <v>585</v>
      </c>
      <c r="N82"/>
      <c r="O82"/>
      <c r="P82" s="2" t="str">
        <f t="shared" si="3"/>
        <v>Оренбургское НГКМ...Р5-А3</v>
      </c>
      <c r="Q82" s="2" t="s">
        <v>252</v>
      </c>
      <c r="R82" s="2" t="str">
        <f t="shared" si="4"/>
        <v>Оренбургское НГКМ..УКПГ-12</v>
      </c>
      <c r="S82"/>
      <c r="T82" s="2" t="str">
        <f t="shared" si="5"/>
        <v>Оренбургское НГКМ.</v>
      </c>
      <c r="U82" s="21" t="s">
        <v>42</v>
      </c>
      <c r="V82" s="22" t="s">
        <v>118</v>
      </c>
      <c r="W82" s="23" t="s">
        <v>114</v>
      </c>
      <c r="X82"/>
      <c r="Y82" t="e">
        <v>#VALUE!</v>
      </c>
      <c r="Z82"/>
      <c r="AA82"/>
      <c r="AB82"/>
      <c r="AC82"/>
      <c r="AD82"/>
      <c r="AE82"/>
    </row>
    <row r="83" spans="2:31" ht="38.25" x14ac:dyDescent="0.2">
      <c r="B83" s="11" t="s">
        <v>532</v>
      </c>
      <c r="C83" s="10"/>
      <c r="D83" s="10"/>
      <c r="K83" s="11" t="s">
        <v>543</v>
      </c>
      <c r="L83" s="11" t="s">
        <v>604</v>
      </c>
      <c r="N83"/>
      <c r="O83"/>
      <c r="P83" s="2" t="str">
        <f t="shared" si="3"/>
        <v>Оренбургское НГКМ...Р3</v>
      </c>
      <c r="Q83" s="2" t="s">
        <v>253</v>
      </c>
      <c r="R83" s="2" t="str">
        <f t="shared" si="4"/>
        <v>Оренбургское НГКМ..УКПГ-12</v>
      </c>
      <c r="S83"/>
      <c r="T83" s="2" t="str">
        <f t="shared" si="5"/>
        <v>Оренбургское НГКМ.</v>
      </c>
      <c r="U83" s="18" t="s">
        <v>42</v>
      </c>
      <c r="V83" s="19" t="s">
        <v>118</v>
      </c>
      <c r="W83" s="20" t="s">
        <v>119</v>
      </c>
      <c r="X83"/>
      <c r="Y83" t="e">
        <v>#VALUE!</v>
      </c>
      <c r="Z83"/>
      <c r="AA83"/>
      <c r="AB83"/>
      <c r="AC83"/>
      <c r="AD83"/>
      <c r="AE83"/>
    </row>
    <row r="84" spans="2:31" ht="25.5" x14ac:dyDescent="0.2">
      <c r="B84" s="11" t="s">
        <v>533</v>
      </c>
      <c r="C84" s="10"/>
      <c r="D84" s="10"/>
      <c r="K84" s="11" t="s">
        <v>8</v>
      </c>
      <c r="L84" s="11" t="s">
        <v>47</v>
      </c>
      <c r="N84"/>
      <c r="O84"/>
      <c r="P84" s="2" t="str">
        <f t="shared" si="3"/>
        <v>Оренбургское НГКМ...Р5-А3</v>
      </c>
      <c r="Q84" s="2" t="s">
        <v>254</v>
      </c>
      <c r="R84" s="2" t="str">
        <f t="shared" si="4"/>
        <v>Оренбургское НГКМ..УКПГ-3</v>
      </c>
      <c r="S84"/>
      <c r="T84" s="2" t="str">
        <f t="shared" si="5"/>
        <v>Оренбургское НГКМ.</v>
      </c>
      <c r="U84" s="21" t="s">
        <v>42</v>
      </c>
      <c r="V84" s="22" t="s">
        <v>60</v>
      </c>
      <c r="W84" s="23" t="s">
        <v>114</v>
      </c>
      <c r="X84"/>
      <c r="Y84" t="e">
        <v>#VALUE!</v>
      </c>
      <c r="Z84"/>
      <c r="AA84"/>
      <c r="AB84"/>
      <c r="AC84"/>
      <c r="AD84"/>
      <c r="AE84"/>
    </row>
    <row r="85" spans="2:31" ht="25.5" x14ac:dyDescent="0.2">
      <c r="B85" s="11" t="s">
        <v>534</v>
      </c>
      <c r="C85" s="10"/>
      <c r="D85" s="10"/>
      <c r="K85" s="11" t="s">
        <v>9</v>
      </c>
      <c r="L85" s="11" t="s">
        <v>48</v>
      </c>
      <c r="N85"/>
      <c r="O85"/>
      <c r="P85" s="2" t="str">
        <f t="shared" si="3"/>
        <v>Оренбургское НГКМ...Р3</v>
      </c>
      <c r="Q85" s="2" t="s">
        <v>255</v>
      </c>
      <c r="R85" s="2" t="str">
        <f t="shared" si="4"/>
        <v>Оренбургское НГКМ..УКПГ-3</v>
      </c>
      <c r="S85"/>
      <c r="T85" s="2" t="str">
        <f t="shared" si="5"/>
        <v>Оренбургское НГКМ.</v>
      </c>
      <c r="U85" s="18" t="s">
        <v>42</v>
      </c>
      <c r="V85" s="19" t="s">
        <v>60</v>
      </c>
      <c r="W85" s="20" t="s">
        <v>119</v>
      </c>
      <c r="X85"/>
      <c r="Y85" t="e">
        <v>#VALUE!</v>
      </c>
      <c r="Z85"/>
      <c r="AA85"/>
      <c r="AB85"/>
      <c r="AC85"/>
      <c r="AD85"/>
      <c r="AE85"/>
    </row>
    <row r="86" spans="2:31" ht="25.5" x14ac:dyDescent="0.2">
      <c r="B86" s="11" t="s">
        <v>535</v>
      </c>
      <c r="C86" s="10"/>
      <c r="D86" s="10"/>
      <c r="N86"/>
      <c r="O86"/>
      <c r="P86" s="2" t="str">
        <f t="shared" si="3"/>
        <v>Оренбургское НГКМ...Р5-А3</v>
      </c>
      <c r="Q86" s="2" t="s">
        <v>256</v>
      </c>
      <c r="R86" s="2" t="str">
        <f t="shared" si="4"/>
        <v>Оренбургское НГКМ..УКПГ-6</v>
      </c>
      <c r="S86"/>
      <c r="T86" s="2" t="str">
        <f t="shared" si="5"/>
        <v>Оренбургское НГКМ.</v>
      </c>
      <c r="U86" s="21" t="s">
        <v>42</v>
      </c>
      <c r="V86" s="22" t="s">
        <v>110</v>
      </c>
      <c r="W86" s="23" t="s">
        <v>114</v>
      </c>
      <c r="X86"/>
      <c r="Y86" t="e">
        <v>#VALUE!</v>
      </c>
      <c r="Z86"/>
      <c r="AA86"/>
      <c r="AB86"/>
      <c r="AC86"/>
      <c r="AD86"/>
      <c r="AE86"/>
    </row>
    <row r="87" spans="2:31" ht="25.5" x14ac:dyDescent="0.2">
      <c r="B87" s="11" t="s">
        <v>485</v>
      </c>
      <c r="C87" s="10"/>
      <c r="D87" s="10"/>
      <c r="N87"/>
      <c r="O87"/>
      <c r="P87" s="2" t="str">
        <f t="shared" si="3"/>
        <v>Оренбургское НГКМ...Р3</v>
      </c>
      <c r="Q87" s="2" t="s">
        <v>257</v>
      </c>
      <c r="R87" s="2" t="str">
        <f t="shared" si="4"/>
        <v>Оренбургское НГКМ..УКПГ-14</v>
      </c>
      <c r="S87"/>
      <c r="T87" s="2" t="str">
        <f t="shared" si="5"/>
        <v>Оренбургское НГКМ.</v>
      </c>
      <c r="U87" s="18" t="s">
        <v>42</v>
      </c>
      <c r="V87" s="19" t="s">
        <v>117</v>
      </c>
      <c r="W87" s="20" t="s">
        <v>119</v>
      </c>
      <c r="X87"/>
      <c r="Y87" t="e">
        <v>#VALUE!</v>
      </c>
      <c r="Z87"/>
      <c r="AA87"/>
      <c r="AB87"/>
      <c r="AC87"/>
      <c r="AD87"/>
      <c r="AE87"/>
    </row>
    <row r="88" spans="2:31" x14ac:dyDescent="0.2">
      <c r="B88" s="11" t="s">
        <v>536</v>
      </c>
      <c r="C88" s="10"/>
      <c r="D88" s="10"/>
      <c r="N88"/>
      <c r="O88"/>
      <c r="P88" s="2" t="str">
        <f t="shared" si="3"/>
        <v>Оренбургское НГКМ...Р5-А3</v>
      </c>
      <c r="Q88" s="2" t="s">
        <v>258</v>
      </c>
      <c r="R88" s="2" t="str">
        <f t="shared" si="4"/>
        <v>Оренбургское НГКМ..УКПГ-15</v>
      </c>
      <c r="S88"/>
      <c r="T88" s="2" t="str">
        <f t="shared" si="5"/>
        <v>Оренбургское НГКМ.</v>
      </c>
      <c r="U88" s="21" t="s">
        <v>42</v>
      </c>
      <c r="V88" s="22" t="s">
        <v>120</v>
      </c>
      <c r="W88" s="23" t="s">
        <v>114</v>
      </c>
      <c r="X88"/>
      <c r="Y88" t="e">
        <v>#VALUE!</v>
      </c>
      <c r="Z88"/>
      <c r="AA88"/>
      <c r="AB88"/>
      <c r="AC88"/>
      <c r="AD88"/>
      <c r="AE88"/>
    </row>
    <row r="89" spans="2:31" ht="25.5" x14ac:dyDescent="0.2">
      <c r="B89" s="11" t="s">
        <v>537</v>
      </c>
      <c r="C89" s="10"/>
      <c r="D89" s="10"/>
      <c r="N89"/>
      <c r="O89"/>
      <c r="P89" s="2" t="str">
        <f t="shared" si="3"/>
        <v>Оренбургское НГКМ...Р3</v>
      </c>
      <c r="Q89" s="2" t="s">
        <v>259</v>
      </c>
      <c r="R89" s="2" t="str">
        <f t="shared" si="4"/>
        <v>Оренбургское НГКМ..УКПГ-15</v>
      </c>
      <c r="S89"/>
      <c r="T89" s="2" t="str">
        <f t="shared" si="5"/>
        <v>Оренбургское НГКМ.</v>
      </c>
      <c r="U89" s="18" t="s">
        <v>42</v>
      </c>
      <c r="V89" s="19" t="s">
        <v>120</v>
      </c>
      <c r="W89" s="20" t="s">
        <v>119</v>
      </c>
      <c r="X89"/>
      <c r="Y89" t="e">
        <v>#VALUE!</v>
      </c>
      <c r="Z89"/>
      <c r="AA89"/>
      <c r="AB89"/>
      <c r="AC89"/>
      <c r="AD89"/>
      <c r="AE89"/>
    </row>
    <row r="90" spans="2:31" x14ac:dyDescent="0.2">
      <c r="B90" s="11" t="s">
        <v>538</v>
      </c>
      <c r="C90" s="10"/>
      <c r="D90" s="10"/>
      <c r="N90"/>
      <c r="O90"/>
      <c r="P90" s="2" t="str">
        <f t="shared" si="3"/>
        <v>Оренбургское НГКМ...Р5-А3</v>
      </c>
      <c r="Q90" s="2" t="s">
        <v>260</v>
      </c>
      <c r="R90" s="2" t="str">
        <f t="shared" si="4"/>
        <v>Оренбургское НГКМ..УКПГ-7</v>
      </c>
      <c r="S90"/>
      <c r="T90" s="2" t="str">
        <f t="shared" si="5"/>
        <v>Оренбургское НГКМ.</v>
      </c>
      <c r="U90" s="21" t="s">
        <v>42</v>
      </c>
      <c r="V90" s="22" t="s">
        <v>111</v>
      </c>
      <c r="W90" s="23" t="s">
        <v>114</v>
      </c>
      <c r="X90"/>
      <c r="Y90" t="e">
        <v>#VALUE!</v>
      </c>
      <c r="Z90"/>
      <c r="AA90"/>
      <c r="AB90"/>
      <c r="AC90"/>
      <c r="AD90"/>
      <c r="AE90"/>
    </row>
    <row r="91" spans="2:31" x14ac:dyDescent="0.2">
      <c r="C91" s="10"/>
      <c r="D91" s="10"/>
      <c r="N91"/>
      <c r="O91"/>
      <c r="P91" s="2" t="str">
        <f t="shared" si="3"/>
        <v>Оренбургское НГКМ...Р5-А3</v>
      </c>
      <c r="Q91" s="2" t="s">
        <v>261</v>
      </c>
      <c r="R91" s="2" t="str">
        <f t="shared" si="4"/>
        <v>Оренбургское НГКМ..УКПГ-8</v>
      </c>
      <c r="S91"/>
      <c r="T91" s="2" t="str">
        <f t="shared" si="5"/>
        <v>Оренбургское НГКМ.</v>
      </c>
      <c r="U91" s="18" t="s">
        <v>42</v>
      </c>
      <c r="V91" s="19" t="s">
        <v>112</v>
      </c>
      <c r="W91" s="20" t="s">
        <v>114</v>
      </c>
      <c r="X91"/>
      <c r="Y91" t="e">
        <v>#VALUE!</v>
      </c>
      <c r="Z91"/>
      <c r="AA91"/>
      <c r="AB91"/>
      <c r="AC91"/>
      <c r="AD91"/>
      <c r="AE91"/>
    </row>
    <row r="92" spans="2:31" x14ac:dyDescent="0.2">
      <c r="C92" s="10"/>
      <c r="D92" s="10"/>
      <c r="N92"/>
      <c r="O92"/>
      <c r="P92" s="2" t="str">
        <f t="shared" si="3"/>
        <v>Оренбургское НГКМ...А1/1-А4/1</v>
      </c>
      <c r="Q92" s="2" t="s">
        <v>262</v>
      </c>
      <c r="R92" s="2" t="str">
        <f t="shared" si="4"/>
        <v>Оренбургское НГКМ..MSK_BSHK</v>
      </c>
      <c r="S92"/>
      <c r="T92" s="2" t="str">
        <f t="shared" si="5"/>
        <v>Оренбургское НГКМ.</v>
      </c>
      <c r="U92" s="21" t="s">
        <v>42</v>
      </c>
      <c r="V92" s="22" t="s">
        <v>121</v>
      </c>
      <c r="W92" s="23" t="s">
        <v>122</v>
      </c>
      <c r="X92"/>
      <c r="Y92" t="e">
        <v>#VALUE!</v>
      </c>
      <c r="Z92"/>
      <c r="AA92"/>
      <c r="AB92"/>
      <c r="AC92"/>
      <c r="AD92"/>
      <c r="AE92"/>
    </row>
    <row r="93" spans="2:31" x14ac:dyDescent="0.2">
      <c r="C93" s="10"/>
      <c r="D93" s="10"/>
      <c r="N93"/>
      <c r="O93"/>
      <c r="P93" s="2" t="str">
        <f t="shared" si="3"/>
        <v>Оренбургское НГКМ...Р5-А3</v>
      </c>
      <c r="Q93" s="2" t="s">
        <v>263</v>
      </c>
      <c r="R93" s="2" t="str">
        <f t="shared" si="4"/>
        <v>Оренбургское НГКМ..УКПГ-9</v>
      </c>
      <c r="S93"/>
      <c r="T93" s="2" t="str">
        <f t="shared" si="5"/>
        <v>Оренбургское НГКМ.</v>
      </c>
      <c r="U93" s="18" t="s">
        <v>42</v>
      </c>
      <c r="V93" s="19" t="s">
        <v>113</v>
      </c>
      <c r="W93" s="20" t="s">
        <v>114</v>
      </c>
      <c r="X93"/>
      <c r="Y93" t="e">
        <v>#VALUE!</v>
      </c>
      <c r="Z93"/>
      <c r="AA93"/>
      <c r="AB93"/>
      <c r="AC93"/>
      <c r="AD93"/>
      <c r="AE93"/>
    </row>
    <row r="94" spans="2:31" x14ac:dyDescent="0.2">
      <c r="C94" s="10"/>
      <c r="D94" s="10"/>
      <c r="N94"/>
      <c r="O94"/>
      <c r="P94" s="2" t="str">
        <f t="shared" si="3"/>
        <v>Оренбургское НГКМ...Р3</v>
      </c>
      <c r="Q94"/>
      <c r="R94" s="2" t="str">
        <f t="shared" si="4"/>
        <v>Оренбургское НГКМ..УКПГ-1</v>
      </c>
      <c r="S94"/>
      <c r="T94" s="2" t="str">
        <f t="shared" si="5"/>
        <v>Оренбургское НГКМ.</v>
      </c>
      <c r="U94" s="21" t="s">
        <v>42</v>
      </c>
      <c r="V94" s="22" t="s">
        <v>63</v>
      </c>
      <c r="W94" s="23" t="s">
        <v>119</v>
      </c>
      <c r="X94"/>
      <c r="Y94" t="e">
        <v>#VALUE!</v>
      </c>
      <c r="Z94"/>
      <c r="AA94"/>
      <c r="AB94"/>
      <c r="AC94"/>
      <c r="AD94"/>
      <c r="AE94"/>
    </row>
    <row r="95" spans="2:31" x14ac:dyDescent="0.2">
      <c r="C95" s="10"/>
      <c r="D95" s="10"/>
      <c r="N95"/>
      <c r="O95"/>
      <c r="P95" s="2" t="str">
        <f t="shared" si="3"/>
        <v>Оренбургское НГКМ...Р3</v>
      </c>
      <c r="Q95"/>
      <c r="R95" s="2" t="str">
        <f t="shared" si="4"/>
        <v>Оренбургское НГКМ..УКПГ-14</v>
      </c>
      <c r="S95"/>
      <c r="T95" s="2" t="str">
        <f t="shared" si="5"/>
        <v>Оренбургское НГКМ.</v>
      </c>
      <c r="U95" s="18" t="s">
        <v>42</v>
      </c>
      <c r="V95" s="19" t="s">
        <v>117</v>
      </c>
      <c r="W95" s="20" t="s">
        <v>119</v>
      </c>
      <c r="X95"/>
      <c r="Y95" t="e">
        <v>#VALUE!</v>
      </c>
      <c r="Z95"/>
      <c r="AA95"/>
      <c r="AB95"/>
      <c r="AC95"/>
      <c r="AD95"/>
      <c r="AE95"/>
    </row>
    <row r="96" spans="2:31" x14ac:dyDescent="0.2">
      <c r="C96" s="10"/>
      <c r="D96" s="10"/>
      <c r="N96"/>
      <c r="O96"/>
      <c r="P96" s="2" t="str">
        <f t="shared" si="3"/>
        <v>Оренбургское НГКМ...Р7</v>
      </c>
      <c r="Q96"/>
      <c r="R96" s="2" t="str">
        <f t="shared" si="4"/>
        <v>Оренбургское НГКМ..УКПГ-10</v>
      </c>
      <c r="S96"/>
      <c r="T96" s="2" t="str">
        <f t="shared" si="5"/>
        <v>Оренбургское НГКМ.</v>
      </c>
      <c r="U96" s="21" t="s">
        <v>42</v>
      </c>
      <c r="V96" s="22" t="s">
        <v>115</v>
      </c>
      <c r="W96" s="23" t="s">
        <v>123</v>
      </c>
      <c r="X96"/>
      <c r="Y96" t="e">
        <v>#VALUE!</v>
      </c>
      <c r="Z96"/>
      <c r="AA96"/>
      <c r="AB96"/>
      <c r="AC96"/>
      <c r="AD96"/>
      <c r="AE96"/>
    </row>
    <row r="97" spans="3:31" x14ac:dyDescent="0.2">
      <c r="C97" s="10"/>
      <c r="D97" s="10"/>
      <c r="N97"/>
      <c r="O97"/>
      <c r="P97" s="2" t="str">
        <f t="shared" si="3"/>
        <v>Оренбургское НГКМ...А0-А2</v>
      </c>
      <c r="Q97"/>
      <c r="R97" s="2" t="str">
        <f t="shared" si="4"/>
        <v>Оренбургское НГКМ..УКПГ-14</v>
      </c>
      <c r="S97"/>
      <c r="T97" s="2" t="str">
        <f t="shared" si="5"/>
        <v>Оренбургское НГКМ.</v>
      </c>
      <c r="U97" s="18" t="s">
        <v>42</v>
      </c>
      <c r="V97" s="19" t="s">
        <v>117</v>
      </c>
      <c r="W97" s="20" t="s">
        <v>124</v>
      </c>
      <c r="X97"/>
      <c r="Y97" t="e">
        <v>#VALUE!</v>
      </c>
      <c r="Z97"/>
      <c r="AA97"/>
      <c r="AB97"/>
      <c r="AC97"/>
      <c r="AD97"/>
      <c r="AE97"/>
    </row>
    <row r="98" spans="3:31" x14ac:dyDescent="0.2">
      <c r="C98" s="10"/>
      <c r="D98" s="10"/>
      <c r="N98"/>
      <c r="O98"/>
      <c r="P98" s="2" t="str">
        <f t="shared" si="3"/>
        <v>Оренбургское НГКМ...А0-А2</v>
      </c>
      <c r="Q98"/>
      <c r="R98" s="2" t="str">
        <f t="shared" si="4"/>
        <v>Оренбургское НГКМ..УКПГ-15</v>
      </c>
      <c r="S98"/>
      <c r="T98" s="2" t="str">
        <f t="shared" si="5"/>
        <v>Оренбургское НГКМ.</v>
      </c>
      <c r="U98" s="21" t="s">
        <v>42</v>
      </c>
      <c r="V98" s="22" t="s">
        <v>120</v>
      </c>
      <c r="W98" s="23" t="s">
        <v>124</v>
      </c>
      <c r="X98"/>
      <c r="Y98" t="e">
        <v>#VALUE!</v>
      </c>
      <c r="Z98"/>
      <c r="AA98"/>
      <c r="AB98"/>
      <c r="AC98"/>
      <c r="AD98"/>
      <c r="AE98"/>
    </row>
    <row r="99" spans="3:31" x14ac:dyDescent="0.2">
      <c r="C99" s="10"/>
      <c r="D99" s="10"/>
      <c r="N99"/>
      <c r="O99"/>
      <c r="P99" s="2" t="str">
        <f t="shared" si="3"/>
        <v>Оренбургское НГКМ...P5-A3</v>
      </c>
      <c r="Q99"/>
      <c r="R99" s="2" t="str">
        <f t="shared" si="4"/>
        <v>Оренбургское НГКМ..УКПГ-14</v>
      </c>
      <c r="S99"/>
      <c r="T99" s="2" t="str">
        <f t="shared" si="5"/>
        <v>Оренбургское НГКМ.</v>
      </c>
      <c r="U99" s="18" t="s">
        <v>42</v>
      </c>
      <c r="V99" s="19" t="s">
        <v>117</v>
      </c>
      <c r="W99" s="20" t="s">
        <v>125</v>
      </c>
      <c r="X99"/>
      <c r="Y99" t="e">
        <v>#VALUE!</v>
      </c>
      <c r="Z99"/>
      <c r="AA99"/>
      <c r="AB99"/>
      <c r="AC99"/>
      <c r="AD99"/>
      <c r="AE99"/>
    </row>
    <row r="100" spans="3:31" x14ac:dyDescent="0.2">
      <c r="C100" s="10"/>
      <c r="D100" s="10"/>
      <c r="N100"/>
      <c r="O100"/>
      <c r="P100" s="2" t="str">
        <f t="shared" si="3"/>
        <v>Оренбургское НГКМ...Р4+5+6</v>
      </c>
      <c r="Q100"/>
      <c r="R100" s="2" t="str">
        <f t="shared" si="4"/>
        <v>Оренбургское НГКМ..УКПГ-10</v>
      </c>
      <c r="S100"/>
      <c r="T100" s="2" t="str">
        <f t="shared" si="5"/>
        <v>Оренбургское НГКМ.</v>
      </c>
      <c r="U100" s="21" t="s">
        <v>42</v>
      </c>
      <c r="V100" s="22" t="s">
        <v>115</v>
      </c>
      <c r="W100" s="23" t="s">
        <v>116</v>
      </c>
      <c r="X100"/>
      <c r="Y100" t="e">
        <v>#VALUE!</v>
      </c>
      <c r="Z100"/>
      <c r="AA100"/>
      <c r="AB100"/>
      <c r="AC100"/>
      <c r="AD100"/>
      <c r="AE100"/>
    </row>
    <row r="101" spans="3:31" x14ac:dyDescent="0.2">
      <c r="C101" s="10"/>
      <c r="D101" s="10"/>
      <c r="N101"/>
      <c r="O101"/>
      <c r="P101" s="2" t="str">
        <f t="shared" si="3"/>
        <v>Оренбургское НГКМ...Р3</v>
      </c>
      <c r="Q101"/>
      <c r="R101" s="2" t="str">
        <f t="shared" si="4"/>
        <v>Оренбургское НГКМ..УКПГ-15</v>
      </c>
      <c r="S101"/>
      <c r="T101" s="2" t="str">
        <f t="shared" si="5"/>
        <v>Оренбургское НГКМ.</v>
      </c>
      <c r="U101" s="18" t="s">
        <v>42</v>
      </c>
      <c r="V101" s="19" t="s">
        <v>120</v>
      </c>
      <c r="W101" s="20" t="s">
        <v>119</v>
      </c>
      <c r="X101"/>
      <c r="Y101" t="e">
        <v>#VALUE!</v>
      </c>
      <c r="Z101"/>
      <c r="AA101"/>
      <c r="AB101"/>
      <c r="AC101"/>
      <c r="AD101"/>
      <c r="AE101"/>
    </row>
    <row r="102" spans="3:31" ht="25.5" x14ac:dyDescent="0.2">
      <c r="C102" s="10"/>
      <c r="D102" s="10"/>
      <c r="N102"/>
      <c r="O102"/>
      <c r="P102" s="2" t="str">
        <f t="shared" si="3"/>
        <v>Северо-Уренгойское.Сеноман..K2s пл. ПК1</v>
      </c>
      <c r="Q102"/>
      <c r="R102" s="2" t="str">
        <f t="shared" si="4"/>
        <v>Северо-Уренгойское.Сеноман.УКПГ-15 ЗАПАДНЫЙ КУПОЛ</v>
      </c>
      <c r="S102"/>
      <c r="T102" s="2" t="str">
        <f t="shared" si="5"/>
        <v>Северо-Уренгойское.Сеноман</v>
      </c>
      <c r="U102" s="21" t="s">
        <v>43</v>
      </c>
      <c r="V102" s="22" t="s">
        <v>126</v>
      </c>
      <c r="W102" s="23" t="s">
        <v>127</v>
      </c>
      <c r="X102" t="s">
        <v>58</v>
      </c>
      <c r="Y102" t="s">
        <v>71</v>
      </c>
      <c r="Z102"/>
      <c r="AA102" t="s">
        <v>71</v>
      </c>
      <c r="AB102"/>
      <c r="AC102"/>
      <c r="AD102"/>
      <c r="AE102"/>
    </row>
    <row r="103" spans="3:31" ht="25.5" x14ac:dyDescent="0.2">
      <c r="C103" s="10"/>
      <c r="D103" s="10"/>
      <c r="N103"/>
      <c r="O103"/>
      <c r="P103" s="2" t="str">
        <f t="shared" si="3"/>
        <v>Северо-Уренгойское.Сеноман..K2s пл. ПК1</v>
      </c>
      <c r="Q103"/>
      <c r="R103" s="2" t="str">
        <f t="shared" si="4"/>
        <v>Северо-Уренгойское.Сеноман.УКПГ-15 ВОСТОЧНЫЙ КУПОЛ</v>
      </c>
      <c r="S103"/>
      <c r="T103" s="2" t="str">
        <f t="shared" si="5"/>
        <v>Северо-Уренгойское.Сеноман</v>
      </c>
      <c r="U103" s="18" t="s">
        <v>43</v>
      </c>
      <c r="V103" s="19" t="s">
        <v>128</v>
      </c>
      <c r="W103" s="20" t="s">
        <v>127</v>
      </c>
      <c r="X103" t="s">
        <v>58</v>
      </c>
      <c r="Y103" t="s">
        <v>71</v>
      </c>
      <c r="Z103"/>
      <c r="AA103" t="s">
        <v>71</v>
      </c>
      <c r="AB103"/>
      <c r="AC103"/>
      <c r="AD103"/>
      <c r="AE103"/>
    </row>
    <row r="104" spans="3:31" ht="25.5" x14ac:dyDescent="0.2">
      <c r="C104" s="10"/>
      <c r="D104" s="10"/>
      <c r="N104"/>
      <c r="O104"/>
      <c r="P104" s="2" t="str">
        <f t="shared" si="3"/>
        <v>Северо-Уренгойское.Сеноман..K2s пл. ПК1</v>
      </c>
      <c r="Q104"/>
      <c r="R104" s="2" t="str">
        <f t="shared" si="4"/>
        <v>Северо-Уренгойское.Сеноман.УКПГ-15 западный КУПОЛ</v>
      </c>
      <c r="S104"/>
      <c r="T104" s="2" t="str">
        <f t="shared" si="5"/>
        <v>Северо-Уренгойское.Сеноман</v>
      </c>
      <c r="U104" s="21" t="s">
        <v>43</v>
      </c>
      <c r="V104" s="22" t="s">
        <v>129</v>
      </c>
      <c r="W104" s="23" t="s">
        <v>127</v>
      </c>
      <c r="X104" t="s">
        <v>58</v>
      </c>
      <c r="Y104" t="s">
        <v>71</v>
      </c>
      <c r="Z104"/>
      <c r="AA104" t="s">
        <v>71</v>
      </c>
      <c r="AB104"/>
      <c r="AC104"/>
      <c r="AD104"/>
      <c r="AE104"/>
    </row>
    <row r="105" spans="3:31" ht="25.5" x14ac:dyDescent="0.2">
      <c r="C105" s="10"/>
      <c r="D105" s="10"/>
      <c r="N105"/>
      <c r="O105"/>
      <c r="P105" s="2" t="str">
        <f t="shared" si="3"/>
        <v>Уренгойское.Ачимовский.Участок 1А.2a+3a</v>
      </c>
      <c r="Q105"/>
      <c r="R105" s="2" t="str">
        <f t="shared" si="4"/>
        <v>Уренгойское.Ачимовский.УКПГ-31</v>
      </c>
      <c r="S105"/>
      <c r="T105" s="2" t="str">
        <f t="shared" si="5"/>
        <v>Уренгойское.Ачимовский</v>
      </c>
      <c r="U105" s="18" t="s">
        <v>44</v>
      </c>
      <c r="V105" s="19" t="s">
        <v>130</v>
      </c>
      <c r="W105" s="20" t="s">
        <v>131</v>
      </c>
      <c r="X105" s="25" t="s">
        <v>79</v>
      </c>
      <c r="Y105" t="s">
        <v>169</v>
      </c>
      <c r="Z105"/>
      <c r="AA105" t="s">
        <v>102</v>
      </c>
      <c r="AB105"/>
      <c r="AC105" t="s">
        <v>132</v>
      </c>
      <c r="AD105"/>
      <c r="AE105"/>
    </row>
    <row r="106" spans="3:31" ht="25.5" x14ac:dyDescent="0.2">
      <c r="C106" s="10"/>
      <c r="D106" s="10"/>
      <c r="N106"/>
      <c r="O106"/>
      <c r="P106" s="2" t="str">
        <f t="shared" si="3"/>
        <v>Уренгойское.Ачимовский.Участок 2А.2a+3a</v>
      </c>
      <c r="Q106"/>
      <c r="R106" s="2" t="str">
        <f t="shared" si="4"/>
        <v>Уренгойское.Ачимовский.УКПГ-22</v>
      </c>
      <c r="S106"/>
      <c r="T106" s="2" t="str">
        <f t="shared" si="5"/>
        <v>Уренгойское.Ачимовский</v>
      </c>
      <c r="U106" s="21" t="s">
        <v>44</v>
      </c>
      <c r="V106" s="22" t="s">
        <v>133</v>
      </c>
      <c r="W106" s="23" t="s">
        <v>131</v>
      </c>
      <c r="X106" s="25" t="s">
        <v>79</v>
      </c>
      <c r="Y106" t="s">
        <v>169</v>
      </c>
      <c r="Z106"/>
      <c r="AA106" t="s">
        <v>102</v>
      </c>
      <c r="AB106"/>
      <c r="AC106" t="s">
        <v>134</v>
      </c>
      <c r="AD106"/>
      <c r="AE106"/>
    </row>
    <row r="107" spans="3:31" ht="25.5" x14ac:dyDescent="0.2">
      <c r="C107" s="10"/>
      <c r="D107" s="10"/>
      <c r="N107"/>
      <c r="O107"/>
      <c r="P107" s="2" t="str">
        <f t="shared" si="3"/>
        <v>Уренгойское.Ачимовский.Участок 2А.2a+3a</v>
      </c>
      <c r="Q107"/>
      <c r="R107" s="2" t="str">
        <f t="shared" si="4"/>
        <v>Уренгойское.Ачимовский.УКПГ-21</v>
      </c>
      <c r="S107"/>
      <c r="T107" s="2" t="str">
        <f t="shared" si="5"/>
        <v>Уренгойское.Ачимовский</v>
      </c>
      <c r="U107" s="18" t="s">
        <v>44</v>
      </c>
      <c r="V107" s="19" t="s">
        <v>135</v>
      </c>
      <c r="W107" s="20" t="s">
        <v>131</v>
      </c>
      <c r="X107" s="25" t="s">
        <v>79</v>
      </c>
      <c r="Y107" t="s">
        <v>169</v>
      </c>
      <c r="Z107"/>
      <c r="AA107" t="s">
        <v>102</v>
      </c>
      <c r="AB107"/>
      <c r="AC107" t="s">
        <v>134</v>
      </c>
      <c r="AD107"/>
      <c r="AE107"/>
    </row>
    <row r="108" spans="3:31" ht="25.5" x14ac:dyDescent="0.2">
      <c r="C108" s="10"/>
      <c r="D108" s="10"/>
      <c r="N108"/>
      <c r="O108"/>
      <c r="P108" s="2" t="str">
        <f t="shared" si="3"/>
        <v>Уренгойское.Ачимовский.Участок 4А.2a+3a</v>
      </c>
      <c r="Q108"/>
      <c r="R108" s="2" t="str">
        <f t="shared" si="4"/>
        <v>Уренгойское.Ачимовский.УКПГ-41</v>
      </c>
      <c r="S108"/>
      <c r="T108" s="2" t="str">
        <f t="shared" si="5"/>
        <v>Уренгойское.Ачимовский</v>
      </c>
      <c r="U108" s="21" t="s">
        <v>44</v>
      </c>
      <c r="V108" s="22" t="s">
        <v>136</v>
      </c>
      <c r="W108" s="23" t="s">
        <v>131</v>
      </c>
      <c r="X108" s="25" t="s">
        <v>79</v>
      </c>
      <c r="Y108" t="s">
        <v>169</v>
      </c>
      <c r="Z108"/>
      <c r="AA108" t="s">
        <v>102</v>
      </c>
      <c r="AB108"/>
      <c r="AC108" t="s">
        <v>137</v>
      </c>
      <c r="AD108"/>
      <c r="AE108"/>
    </row>
    <row r="109" spans="3:31" ht="25.5" x14ac:dyDescent="0.2">
      <c r="C109" s="10"/>
      <c r="D109" s="10"/>
      <c r="N109"/>
      <c r="O109"/>
      <c r="P109" s="2" t="str">
        <f t="shared" si="3"/>
        <v>Уренгойское.Ачимовский.Участок 5А.2a+3a</v>
      </c>
      <c r="Q109"/>
      <c r="R109" s="2" t="str">
        <f t="shared" si="4"/>
        <v>Уренгойское.Ачимовский.УКПГ-51</v>
      </c>
      <c r="S109"/>
      <c r="T109" s="2" t="str">
        <f t="shared" si="5"/>
        <v>Уренгойское.Ачимовский</v>
      </c>
      <c r="U109" s="18" t="s">
        <v>44</v>
      </c>
      <c r="V109" s="19" t="s">
        <v>138</v>
      </c>
      <c r="W109" s="20" t="s">
        <v>131</v>
      </c>
      <c r="X109" s="25" t="s">
        <v>79</v>
      </c>
      <c r="Y109" t="s">
        <v>169</v>
      </c>
      <c r="Z109"/>
      <c r="AA109" t="s">
        <v>102</v>
      </c>
      <c r="AB109"/>
      <c r="AC109" t="s">
        <v>139</v>
      </c>
      <c r="AD109"/>
      <c r="AE109"/>
    </row>
    <row r="110" spans="3:31" ht="25.5" x14ac:dyDescent="0.2">
      <c r="C110" s="10"/>
      <c r="D110" s="10"/>
      <c r="N110"/>
      <c r="O110"/>
      <c r="P110" s="2" t="str">
        <f t="shared" si="3"/>
        <v>Уренгойское.Сеноман.Уренгойская.K2s пл. ПК1</v>
      </c>
      <c r="Q110"/>
      <c r="R110" s="2" t="str">
        <f t="shared" si="4"/>
        <v>Уренгойское.Сеноман.УКПГ-1</v>
      </c>
      <c r="S110"/>
      <c r="T110" s="2" t="str">
        <f t="shared" si="5"/>
        <v>Уренгойское.Сеноман</v>
      </c>
      <c r="U110" s="21" t="s">
        <v>44</v>
      </c>
      <c r="V110" s="22" t="s">
        <v>63</v>
      </c>
      <c r="W110" s="23" t="s">
        <v>127</v>
      </c>
      <c r="X110" s="26" t="s">
        <v>58</v>
      </c>
      <c r="Y110" t="s">
        <v>71</v>
      </c>
      <c r="Z110"/>
      <c r="AA110" t="s">
        <v>71</v>
      </c>
      <c r="AB110"/>
      <c r="AC110" t="s">
        <v>140</v>
      </c>
      <c r="AD110"/>
      <c r="AE110"/>
    </row>
    <row r="111" spans="3:31" ht="25.5" x14ac:dyDescent="0.2">
      <c r="C111" s="10"/>
      <c r="D111" s="10"/>
      <c r="N111"/>
      <c r="O111"/>
      <c r="P111" s="2" t="str">
        <f t="shared" si="3"/>
        <v>Уренгойское.Сеноман.Уренгойская.K2s пл. ПК1</v>
      </c>
      <c r="Q111"/>
      <c r="R111" s="2" t="str">
        <f t="shared" si="4"/>
        <v>Уренгойское.Сеноман.УКПГ-3</v>
      </c>
      <c r="S111"/>
      <c r="T111" s="2" t="str">
        <f t="shared" si="5"/>
        <v>Уренгойское.Сеноман</v>
      </c>
      <c r="U111" s="18" t="s">
        <v>44</v>
      </c>
      <c r="V111" s="19" t="s">
        <v>60</v>
      </c>
      <c r="W111" s="20" t="s">
        <v>127</v>
      </c>
      <c r="X111" s="26" t="s">
        <v>58</v>
      </c>
      <c r="Y111" t="s">
        <v>71</v>
      </c>
      <c r="Z111"/>
      <c r="AA111" t="s">
        <v>71</v>
      </c>
      <c r="AB111"/>
      <c r="AC111" t="s">
        <v>140</v>
      </c>
      <c r="AD111"/>
      <c r="AE111"/>
    </row>
    <row r="112" spans="3:31" ht="25.5" x14ac:dyDescent="0.2">
      <c r="C112" s="10"/>
      <c r="D112" s="10"/>
      <c r="N112"/>
      <c r="O112"/>
      <c r="P112" s="2" t="str">
        <f t="shared" si="3"/>
        <v>Уренгойское.Сеноман.Уренгойская.K2s пл. ПК1</v>
      </c>
      <c r="Q112"/>
      <c r="R112" s="2" t="str">
        <f t="shared" si="4"/>
        <v>Уренгойское.Сеноман.УКПГ-4</v>
      </c>
      <c r="S112"/>
      <c r="T112" s="2" t="str">
        <f t="shared" si="5"/>
        <v>Уренгойское.Сеноман</v>
      </c>
      <c r="U112" s="21" t="s">
        <v>44</v>
      </c>
      <c r="V112" s="22" t="s">
        <v>108</v>
      </c>
      <c r="W112" s="23" t="s">
        <v>127</v>
      </c>
      <c r="X112" s="26" t="s">
        <v>58</v>
      </c>
      <c r="Y112" t="s">
        <v>71</v>
      </c>
      <c r="Z112"/>
      <c r="AA112" t="s">
        <v>71</v>
      </c>
      <c r="AB112"/>
      <c r="AC112" t="s">
        <v>140</v>
      </c>
      <c r="AD112"/>
      <c r="AE112"/>
    </row>
    <row r="113" spans="3:31" ht="25.5" x14ac:dyDescent="0.2">
      <c r="C113" s="10"/>
      <c r="D113" s="10"/>
      <c r="N113"/>
      <c r="O113"/>
      <c r="P113" s="2" t="str">
        <f t="shared" si="3"/>
        <v>Уренгойское.Сеноман.Уренгойская.K2s пл. ПК1</v>
      </c>
      <c r="Q113"/>
      <c r="R113" s="2" t="str">
        <f t="shared" si="4"/>
        <v>Уренгойское.Сеноман.УКПГ-6</v>
      </c>
      <c r="S113"/>
      <c r="T113" s="2" t="str">
        <f t="shared" si="5"/>
        <v>Уренгойское.Сеноман</v>
      </c>
      <c r="U113" s="18" t="s">
        <v>44</v>
      </c>
      <c r="V113" s="19" t="s">
        <v>110</v>
      </c>
      <c r="W113" s="20" t="s">
        <v>127</v>
      </c>
      <c r="X113" s="26" t="s">
        <v>58</v>
      </c>
      <c r="Y113" t="s">
        <v>71</v>
      </c>
      <c r="Z113"/>
      <c r="AA113" t="s">
        <v>71</v>
      </c>
      <c r="AB113"/>
      <c r="AC113" t="s">
        <v>140</v>
      </c>
      <c r="AD113"/>
      <c r="AE113"/>
    </row>
    <row r="114" spans="3:31" ht="25.5" x14ac:dyDescent="0.2">
      <c r="C114" s="10"/>
      <c r="D114" s="10"/>
      <c r="N114"/>
      <c r="O114"/>
      <c r="P114" s="2" t="str">
        <f t="shared" si="3"/>
        <v>Уренгойское.Сеноман.Уренгойская.K2s пл. ПК1</v>
      </c>
      <c r="Q114"/>
      <c r="R114" s="2" t="str">
        <f t="shared" si="4"/>
        <v>Уренгойское.Сеноман.УКПГ-7</v>
      </c>
      <c r="S114"/>
      <c r="T114" s="2" t="str">
        <f t="shared" si="5"/>
        <v>Уренгойское.Сеноман</v>
      </c>
      <c r="U114" s="21" t="s">
        <v>44</v>
      </c>
      <c r="V114" s="22" t="s">
        <v>111</v>
      </c>
      <c r="W114" s="23" t="s">
        <v>127</v>
      </c>
      <c r="X114" s="26" t="s">
        <v>58</v>
      </c>
      <c r="Y114" t="s">
        <v>71</v>
      </c>
      <c r="Z114"/>
      <c r="AA114" t="s">
        <v>71</v>
      </c>
      <c r="AB114"/>
      <c r="AC114" t="s">
        <v>140</v>
      </c>
      <c r="AD114"/>
      <c r="AE114"/>
    </row>
    <row r="115" spans="3:31" ht="25.5" x14ac:dyDescent="0.2">
      <c r="C115" s="10"/>
      <c r="D115" s="10"/>
      <c r="N115"/>
      <c r="O115"/>
      <c r="P115" s="2" t="str">
        <f t="shared" si="3"/>
        <v>Уренгойское.Сеноман.Уренгойская.K2s пл. ПК1</v>
      </c>
      <c r="Q115"/>
      <c r="R115" s="2" t="str">
        <f t="shared" si="4"/>
        <v>Уренгойское.Сеноман.УКПГ-2</v>
      </c>
      <c r="S115"/>
      <c r="T115" s="2" t="str">
        <f t="shared" si="5"/>
        <v>Уренгойское.Сеноман</v>
      </c>
      <c r="U115" s="18" t="s">
        <v>44</v>
      </c>
      <c r="V115" s="19" t="s">
        <v>56</v>
      </c>
      <c r="W115" s="20" t="s">
        <v>127</v>
      </c>
      <c r="X115" s="26" t="s">
        <v>58</v>
      </c>
      <c r="Y115" t="s">
        <v>71</v>
      </c>
      <c r="Z115"/>
      <c r="AA115" t="s">
        <v>71</v>
      </c>
      <c r="AB115"/>
      <c r="AC115" t="s">
        <v>140</v>
      </c>
      <c r="AD115"/>
      <c r="AE115"/>
    </row>
    <row r="116" spans="3:31" ht="25.5" x14ac:dyDescent="0.2">
      <c r="C116" s="10"/>
      <c r="D116" s="10"/>
      <c r="N116"/>
      <c r="O116"/>
      <c r="P116" s="2" t="str">
        <f t="shared" si="3"/>
        <v>Уренгойское.Сеноман.Уренгойская.K2s пл. ПК1</v>
      </c>
      <c r="Q116"/>
      <c r="R116" s="2" t="str">
        <f t="shared" si="4"/>
        <v>Уренгойское.Сеноман.УКПГ-5</v>
      </c>
      <c r="S116"/>
      <c r="T116" s="2" t="str">
        <f t="shared" si="5"/>
        <v>Уренгойское.Сеноман</v>
      </c>
      <c r="U116" s="21" t="s">
        <v>44</v>
      </c>
      <c r="V116" s="22" t="s">
        <v>109</v>
      </c>
      <c r="W116" s="23" t="s">
        <v>127</v>
      </c>
      <c r="X116" s="26" t="s">
        <v>58</v>
      </c>
      <c r="Y116" t="s">
        <v>71</v>
      </c>
      <c r="Z116"/>
      <c r="AA116" t="s">
        <v>71</v>
      </c>
      <c r="AB116"/>
      <c r="AC116" t="s">
        <v>140</v>
      </c>
      <c r="AD116"/>
      <c r="AE116"/>
    </row>
    <row r="117" spans="3:31" ht="25.5" x14ac:dyDescent="0.2">
      <c r="C117" s="10"/>
      <c r="D117" s="10"/>
      <c r="N117"/>
      <c r="O117"/>
      <c r="P117" s="2" t="str">
        <f t="shared" si="3"/>
        <v>Уренгойское.Сеноман.Уренгойская.K2s пл. ПК1</v>
      </c>
      <c r="Q117"/>
      <c r="R117" s="2" t="str">
        <f t="shared" si="4"/>
        <v>Уренгойское.Сеноман.УКПГ-8</v>
      </c>
      <c r="S117"/>
      <c r="T117" s="2" t="str">
        <f t="shared" si="5"/>
        <v>Уренгойское.Сеноман</v>
      </c>
      <c r="U117" s="18" t="s">
        <v>44</v>
      </c>
      <c r="V117" s="19" t="s">
        <v>112</v>
      </c>
      <c r="W117" s="20" t="s">
        <v>127</v>
      </c>
      <c r="X117" s="26" t="s">
        <v>58</v>
      </c>
      <c r="Y117" t="s">
        <v>71</v>
      </c>
      <c r="Z117"/>
      <c r="AA117" t="s">
        <v>71</v>
      </c>
      <c r="AB117"/>
      <c r="AC117" t="s">
        <v>140</v>
      </c>
      <c r="AD117"/>
      <c r="AE117"/>
    </row>
    <row r="118" spans="3:31" ht="25.5" x14ac:dyDescent="0.2">
      <c r="C118" s="10"/>
      <c r="D118" s="10"/>
      <c r="N118"/>
      <c r="O118"/>
      <c r="P118" s="2" t="str">
        <f t="shared" si="3"/>
        <v>Уренгойское.Сеноман.Уренгойская.K2s пл. ПК1</v>
      </c>
      <c r="Q118"/>
      <c r="R118" s="2" t="str">
        <f t="shared" si="4"/>
        <v>Уренгойское.Сеноман.УКПГ-10</v>
      </c>
      <c r="S118"/>
      <c r="T118" s="2" t="str">
        <f t="shared" si="5"/>
        <v>Уренгойское.Сеноман</v>
      </c>
      <c r="U118" s="21" t="s">
        <v>44</v>
      </c>
      <c r="V118" s="22" t="s">
        <v>115</v>
      </c>
      <c r="W118" s="23" t="s">
        <v>127</v>
      </c>
      <c r="X118" s="26" t="s">
        <v>58</v>
      </c>
      <c r="Y118" t="s">
        <v>71</v>
      </c>
      <c r="Z118"/>
      <c r="AA118" t="s">
        <v>71</v>
      </c>
      <c r="AB118"/>
      <c r="AC118" t="s">
        <v>140</v>
      </c>
      <c r="AD118"/>
      <c r="AE118"/>
    </row>
    <row r="119" spans="3:31" ht="25.5" x14ac:dyDescent="0.2">
      <c r="C119" s="10"/>
      <c r="D119" s="10"/>
      <c r="N119"/>
      <c r="O119"/>
      <c r="P119" s="2" t="str">
        <f t="shared" si="3"/>
        <v>Уренгойское.Сеноман.Уренгойская.K2s пл. ПК1</v>
      </c>
      <c r="Q119"/>
      <c r="R119" s="2" t="str">
        <f t="shared" si="4"/>
        <v>Уренгойское.Сеноман.УКПГ-10 ТАБ-ЯХИНСКИЙ УЧАСТОК</v>
      </c>
      <c r="S119"/>
      <c r="T119" s="2" t="str">
        <f t="shared" si="5"/>
        <v>Уренгойское.Сеноман</v>
      </c>
      <c r="U119" s="18" t="s">
        <v>44</v>
      </c>
      <c r="V119" s="19" t="s">
        <v>141</v>
      </c>
      <c r="W119" s="20" t="s">
        <v>127</v>
      </c>
      <c r="X119" s="26" t="s">
        <v>58</v>
      </c>
      <c r="Y119" t="s">
        <v>71</v>
      </c>
      <c r="Z119"/>
      <c r="AA119" t="s">
        <v>71</v>
      </c>
      <c r="AB119"/>
      <c r="AC119" t="s">
        <v>140</v>
      </c>
      <c r="AD119"/>
      <c r="AE119"/>
    </row>
    <row r="120" spans="3:31" ht="25.5" x14ac:dyDescent="0.2">
      <c r="C120" s="10"/>
      <c r="D120" s="10"/>
      <c r="N120"/>
      <c r="O120"/>
      <c r="P120" s="2" t="str">
        <f t="shared" si="3"/>
        <v>Уренгойское.Сеноман.Ен-яхинская.K2s пл. ПК1</v>
      </c>
      <c r="Q120"/>
      <c r="R120" s="2" t="str">
        <f t="shared" si="4"/>
        <v>Уренгойское.Сеноман.УКПГ-11</v>
      </c>
      <c r="S120"/>
      <c r="T120" s="2" t="str">
        <f t="shared" si="5"/>
        <v>Уренгойское.Сеноман</v>
      </c>
      <c r="U120" s="21" t="s">
        <v>44</v>
      </c>
      <c r="V120" s="22" t="s">
        <v>142</v>
      </c>
      <c r="W120" s="23" t="s">
        <v>127</v>
      </c>
      <c r="X120" s="26" t="s">
        <v>58</v>
      </c>
      <c r="Y120" t="s">
        <v>71</v>
      </c>
      <c r="Z120"/>
      <c r="AA120" t="s">
        <v>71</v>
      </c>
      <c r="AB120"/>
      <c r="AC120" t="s">
        <v>143</v>
      </c>
      <c r="AD120"/>
      <c r="AE120"/>
    </row>
    <row r="121" spans="3:31" ht="25.5" x14ac:dyDescent="0.2">
      <c r="C121" s="10"/>
      <c r="D121" s="10"/>
      <c r="N121"/>
      <c r="O121"/>
      <c r="P121" s="2" t="str">
        <f t="shared" si="3"/>
        <v>Уренгойское.Сеноман.Ен-яхинская.K2s пл. ПК1</v>
      </c>
      <c r="Q121"/>
      <c r="R121" s="2" t="str">
        <f t="shared" si="4"/>
        <v>Уренгойское.Сеноман.УКПГ-12</v>
      </c>
      <c r="S121"/>
      <c r="T121" s="2" t="str">
        <f t="shared" si="5"/>
        <v>Уренгойское.Сеноман</v>
      </c>
      <c r="U121" s="18" t="s">
        <v>44</v>
      </c>
      <c r="V121" s="19" t="s">
        <v>118</v>
      </c>
      <c r="W121" s="20" t="s">
        <v>127</v>
      </c>
      <c r="X121" s="26" t="s">
        <v>58</v>
      </c>
      <c r="Y121" t="s">
        <v>71</v>
      </c>
      <c r="Z121"/>
      <c r="AA121" t="s">
        <v>71</v>
      </c>
      <c r="AB121"/>
      <c r="AC121" t="s">
        <v>143</v>
      </c>
      <c r="AD121"/>
      <c r="AE121"/>
    </row>
    <row r="122" spans="3:31" ht="25.5" x14ac:dyDescent="0.2">
      <c r="C122" s="10"/>
      <c r="D122" s="10"/>
      <c r="N122"/>
      <c r="O122"/>
      <c r="P122" s="2" t="str">
        <f t="shared" si="3"/>
        <v>Уренгойское.Сеноман.Ен-яхинская.K2s пл. ПК1</v>
      </c>
      <c r="Q122"/>
      <c r="R122" s="2" t="str">
        <f t="shared" si="4"/>
        <v>Уренгойское.Сеноман.УКПГ-13</v>
      </c>
      <c r="S122"/>
      <c r="T122" s="2" t="str">
        <f t="shared" si="5"/>
        <v>Уренгойское.Сеноман</v>
      </c>
      <c r="U122" s="21" t="s">
        <v>44</v>
      </c>
      <c r="V122" s="22" t="s">
        <v>144</v>
      </c>
      <c r="W122" s="23" t="s">
        <v>127</v>
      </c>
      <c r="X122" s="26" t="s">
        <v>58</v>
      </c>
      <c r="Y122" t="s">
        <v>71</v>
      </c>
      <c r="Z122"/>
      <c r="AA122" t="s">
        <v>71</v>
      </c>
      <c r="AB122"/>
      <c r="AC122" t="s">
        <v>143</v>
      </c>
      <c r="AD122"/>
      <c r="AE122"/>
    </row>
    <row r="123" spans="3:31" ht="25.5" x14ac:dyDescent="0.2">
      <c r="C123" s="10"/>
      <c r="D123" s="10"/>
      <c r="N123"/>
      <c r="O123"/>
      <c r="P123" s="2" t="str">
        <f t="shared" si="3"/>
        <v>Уренгойское.Сеноман.Песцовая.K2s пл. ПК1</v>
      </c>
      <c r="Q123"/>
      <c r="R123" s="2" t="str">
        <f t="shared" si="4"/>
        <v>Уренгойское.Сеноман.УКПГ-16 ПЕСЦОВАЯ ПЛОЩАДЬ</v>
      </c>
      <c r="S123"/>
      <c r="T123" s="2" t="str">
        <f t="shared" si="5"/>
        <v>Уренгойское.Сеноман</v>
      </c>
      <c r="U123" s="18" t="s">
        <v>44</v>
      </c>
      <c r="V123" s="19" t="s">
        <v>145</v>
      </c>
      <c r="W123" s="20" t="s">
        <v>127</v>
      </c>
      <c r="X123" s="26" t="s">
        <v>58</v>
      </c>
      <c r="Y123" t="s">
        <v>71</v>
      </c>
      <c r="Z123"/>
      <c r="AA123" t="s">
        <v>71</v>
      </c>
      <c r="AB123"/>
      <c r="AC123" t="s">
        <v>146</v>
      </c>
      <c r="AD123"/>
      <c r="AE123"/>
    </row>
    <row r="124" spans="3:31" ht="25.5" x14ac:dyDescent="0.2">
      <c r="C124" s="10"/>
      <c r="D124" s="10"/>
      <c r="N124"/>
      <c r="O124"/>
      <c r="P124" s="2" t="str">
        <f t="shared" si="3"/>
        <v>Уренгойское.Сеноман.Уренгойская.K2s пл. ПК1</v>
      </c>
      <c r="Q124"/>
      <c r="R124" s="2" t="str">
        <f t="shared" si="4"/>
        <v>Уренгойское.Сеноман.УКПГ-9</v>
      </c>
      <c r="S124"/>
      <c r="T124" s="2" t="str">
        <f t="shared" si="5"/>
        <v>Уренгойское.Сеноман</v>
      </c>
      <c r="U124" s="21" t="s">
        <v>44</v>
      </c>
      <c r="V124" s="22" t="s">
        <v>113</v>
      </c>
      <c r="W124" s="23" t="s">
        <v>127</v>
      </c>
      <c r="X124" s="26" t="s">
        <v>58</v>
      </c>
      <c r="Y124" t="s">
        <v>71</v>
      </c>
      <c r="Z124"/>
      <c r="AA124" t="s">
        <v>71</v>
      </c>
      <c r="AB124"/>
      <c r="AC124" t="s">
        <v>140</v>
      </c>
      <c r="AD124"/>
      <c r="AE124"/>
    </row>
    <row r="125" spans="3:31" ht="25.5" x14ac:dyDescent="0.2">
      <c r="C125" s="10"/>
      <c r="D125" s="10"/>
      <c r="N125"/>
      <c r="O125"/>
      <c r="P125" s="2" t="str">
        <f t="shared" si="3"/>
        <v>Уренгойское.Сеноман.Уренгойская.K2s пл. ПК1</v>
      </c>
      <c r="Q125"/>
      <c r="R125" s="2" t="str">
        <f t="shared" si="4"/>
        <v>Уренгойское.Сеноман.УКПГ-1АС</v>
      </c>
      <c r="S125"/>
      <c r="T125" s="2" t="str">
        <f t="shared" si="5"/>
        <v>Уренгойское.Сеноман</v>
      </c>
      <c r="U125" s="18" t="s">
        <v>44</v>
      </c>
      <c r="V125" s="19" t="s">
        <v>147</v>
      </c>
      <c r="W125" s="20" t="s">
        <v>127</v>
      </c>
      <c r="X125" s="26" t="s">
        <v>58</v>
      </c>
      <c r="Y125" t="s">
        <v>71</v>
      </c>
      <c r="Z125"/>
      <c r="AA125" t="s">
        <v>71</v>
      </c>
      <c r="AB125"/>
      <c r="AC125" t="s">
        <v>140</v>
      </c>
      <c r="AD125"/>
      <c r="AE125"/>
    </row>
    <row r="126" spans="3:31" ht="25.5" x14ac:dyDescent="0.2">
      <c r="C126" s="10"/>
      <c r="D126" s="10"/>
      <c r="N126"/>
      <c r="O126"/>
      <c r="P126" s="2" t="str">
        <f t="shared" si="3"/>
        <v>Уренгойское.Сеноман.Западно-Песцовая.K2s пл. ПК1</v>
      </c>
      <c r="Q126"/>
      <c r="R126" s="2" t="str">
        <f t="shared" si="4"/>
        <v>Уренгойское.Сеноман.УКПГ-16 ЗАПАДНО-ПЕСЦ. ПЛОЩАДЬ</v>
      </c>
      <c r="S126"/>
      <c r="T126" s="2" t="str">
        <f t="shared" si="5"/>
        <v>Уренгойское.Сеноман</v>
      </c>
      <c r="U126" s="21" t="s">
        <v>44</v>
      </c>
      <c r="V126" s="22" t="s">
        <v>148</v>
      </c>
      <c r="W126" s="23" t="s">
        <v>127</v>
      </c>
      <c r="X126" s="26" t="s">
        <v>58</v>
      </c>
      <c r="Y126" t="s">
        <v>71</v>
      </c>
      <c r="Z126"/>
      <c r="AA126" t="s">
        <v>71</v>
      </c>
      <c r="AB126"/>
      <c r="AC126" t="s">
        <v>149</v>
      </c>
      <c r="AD126"/>
      <c r="AE126"/>
    </row>
    <row r="127" spans="3:31" x14ac:dyDescent="0.2">
      <c r="C127" s="10"/>
      <c r="D127" s="10"/>
      <c r="N127"/>
      <c r="O127"/>
      <c r="P127" s="2" t="str">
        <f t="shared" si="3"/>
        <v>Юбилейное.Неоком..2</v>
      </c>
      <c r="Q127"/>
      <c r="R127" s="2" t="str">
        <f t="shared" si="4"/>
        <v>Юбилейное.Неоком.УКПГ-НТС</v>
      </c>
      <c r="S127"/>
      <c r="T127" s="2" t="str">
        <f t="shared" si="5"/>
        <v>Юбилейное.Неоком</v>
      </c>
      <c r="U127" s="18" t="s">
        <v>45</v>
      </c>
      <c r="V127" s="19" t="s">
        <v>150</v>
      </c>
      <c r="W127" s="20">
        <v>2</v>
      </c>
      <c r="X127" s="24" t="s">
        <v>68</v>
      </c>
      <c r="Y127" t="s">
        <v>167</v>
      </c>
      <c r="Z127"/>
      <c r="AA127" t="s">
        <v>75</v>
      </c>
      <c r="AB127"/>
      <c r="AC127"/>
      <c r="AD127"/>
      <c r="AE127"/>
    </row>
    <row r="128" spans="3:31" x14ac:dyDescent="0.2">
      <c r="C128" s="10"/>
      <c r="D128" s="10"/>
      <c r="N128"/>
      <c r="O128"/>
      <c r="P128" s="2" t="str">
        <f t="shared" si="3"/>
        <v>Юбилейное.Неоком..3</v>
      </c>
      <c r="Q128"/>
      <c r="R128" s="2" t="str">
        <f t="shared" si="4"/>
        <v>Юбилейное.Неоком.УКПГ-НТС</v>
      </c>
      <c r="S128"/>
      <c r="T128" s="2" t="str">
        <f t="shared" si="5"/>
        <v>Юбилейное.Неоком</v>
      </c>
      <c r="U128" s="21" t="s">
        <v>45</v>
      </c>
      <c r="V128" s="22" t="s">
        <v>150</v>
      </c>
      <c r="W128" s="23">
        <v>3</v>
      </c>
      <c r="X128" s="24" t="s">
        <v>83</v>
      </c>
      <c r="Y128" t="s">
        <v>170</v>
      </c>
      <c r="Z128"/>
      <c r="AA128" t="s">
        <v>75</v>
      </c>
      <c r="AB128"/>
      <c r="AC128"/>
      <c r="AD128"/>
      <c r="AE128"/>
    </row>
    <row r="129" spans="3:31" x14ac:dyDescent="0.2">
      <c r="C129" s="10"/>
      <c r="D129" s="10"/>
      <c r="N129"/>
      <c r="O129"/>
      <c r="P129" s="2" t="str">
        <f t="shared" si="3"/>
        <v>Юбилейное.Неоком..3</v>
      </c>
      <c r="Q129"/>
      <c r="R129" s="2" t="str">
        <f t="shared" si="4"/>
        <v>Юбилейное.Неоком.УКПГ-НТС</v>
      </c>
      <c r="S129"/>
      <c r="T129" s="2" t="str">
        <f t="shared" si="5"/>
        <v>Юбилейное.Неоком</v>
      </c>
      <c r="U129" s="18" t="s">
        <v>45</v>
      </c>
      <c r="V129" s="19" t="s">
        <v>150</v>
      </c>
      <c r="W129" s="20">
        <v>3</v>
      </c>
      <c r="X129" s="25" t="s">
        <v>74</v>
      </c>
      <c r="Y129" t="s">
        <v>168</v>
      </c>
      <c r="Z129"/>
      <c r="AA129" t="s">
        <v>75</v>
      </c>
      <c r="AB129"/>
      <c r="AC129"/>
      <c r="AD129"/>
      <c r="AE129"/>
    </row>
    <row r="130" spans="3:31" x14ac:dyDescent="0.2">
      <c r="C130" s="10"/>
      <c r="D130" s="10"/>
      <c r="N130"/>
      <c r="O130"/>
      <c r="P130" s="2" t="str">
        <f t="shared" si="3"/>
        <v>Юбилейное.Сеноман..1</v>
      </c>
      <c r="Q130"/>
      <c r="R130" s="2" t="str">
        <f t="shared" si="4"/>
        <v>Юбилейное.Сеноман.УКПГ</v>
      </c>
      <c r="S130"/>
      <c r="T130" s="2" t="str">
        <f t="shared" si="5"/>
        <v>Юбилейное.Сеноман</v>
      </c>
      <c r="U130" s="21" t="s">
        <v>45</v>
      </c>
      <c r="V130" s="22" t="s">
        <v>69</v>
      </c>
      <c r="W130" s="23">
        <v>1</v>
      </c>
      <c r="X130" s="25" t="s">
        <v>58</v>
      </c>
      <c r="Y130" t="s">
        <v>71</v>
      </c>
      <c r="Z130"/>
      <c r="AA130" t="s">
        <v>71</v>
      </c>
      <c r="AB130"/>
      <c r="AC130"/>
      <c r="AD130"/>
      <c r="AE130"/>
    </row>
    <row r="131" spans="3:31" x14ac:dyDescent="0.2">
      <c r="C131" s="10"/>
      <c r="D131" s="10"/>
      <c r="N131"/>
      <c r="O131"/>
      <c r="P131" s="2" t="str">
        <f t="shared" si="3"/>
        <v>Южно-Русское НГКМ.Турон..1</v>
      </c>
      <c r="Q131"/>
      <c r="R131" s="2" t="str">
        <f t="shared" si="4"/>
        <v>Южно-Русское НГКМ.Турон.УКПГ</v>
      </c>
      <c r="S131"/>
      <c r="T131" s="2" t="str">
        <f t="shared" si="5"/>
        <v>Южно-Русское НГКМ.Турон</v>
      </c>
      <c r="U131" s="18" t="s">
        <v>46</v>
      </c>
      <c r="V131" s="19" t="s">
        <v>69</v>
      </c>
      <c r="W131" s="20">
        <v>1</v>
      </c>
      <c r="X131" s="25" t="s">
        <v>151</v>
      </c>
      <c r="Y131" t="s">
        <v>152</v>
      </c>
      <c r="Z131"/>
      <c r="AA131" t="s">
        <v>152</v>
      </c>
      <c r="AB131"/>
      <c r="AC131"/>
      <c r="AD131"/>
      <c r="AE131"/>
    </row>
    <row r="132" spans="3:31" x14ac:dyDescent="0.2">
      <c r="C132" s="10"/>
      <c r="D132" s="10"/>
      <c r="N132"/>
      <c r="O132"/>
      <c r="P132" s="2" t="str">
        <f t="shared" si="3"/>
        <v>Южно-Русское НГКМ.Сеноман..2</v>
      </c>
      <c r="Q132"/>
      <c r="R132" s="2" t="str">
        <f t="shared" si="4"/>
        <v>Южно-Русское НГКМ.Сеноман.УКПГ</v>
      </c>
      <c r="S132"/>
      <c r="T132" s="2" t="str">
        <f t="shared" si="5"/>
        <v>Южно-Русское НГКМ.Сеноман</v>
      </c>
      <c r="U132" s="21" t="s">
        <v>46</v>
      </c>
      <c r="V132" s="22" t="s">
        <v>69</v>
      </c>
      <c r="W132" s="23">
        <v>2</v>
      </c>
      <c r="X132" s="24" t="s">
        <v>58</v>
      </c>
      <c r="Y132" t="s">
        <v>71</v>
      </c>
      <c r="Z132"/>
      <c r="AA132" t="s">
        <v>71</v>
      </c>
      <c r="AB132"/>
      <c r="AC132"/>
      <c r="AD132"/>
      <c r="AE132"/>
    </row>
    <row r="133" spans="3:31" x14ac:dyDescent="0.2">
      <c r="C133" s="10"/>
      <c r="D133" s="10"/>
      <c r="N133"/>
      <c r="O133"/>
      <c r="P133" s="2" t="str">
        <f t="shared" ref="P133:P159" si="6">CONCATENATE(U133,".",AA133,".",AC133,".",W133)</f>
        <v>Ямбургское.Неоком..I</v>
      </c>
      <c r="Q133"/>
      <c r="R133" s="2" t="str">
        <f t="shared" ref="R133:R159" si="7">CONCATENATE(U133,".",AA133,".",V133)</f>
        <v>Ямбургское.Неоком.УКПГ-1В</v>
      </c>
      <c r="S133"/>
      <c r="T133" s="2" t="str">
        <f t="shared" ref="T133:T159" si="8">CONCATENATE(U133,".",AA133)</f>
        <v>Ямбургское.Неоком</v>
      </c>
      <c r="U133" s="18" t="s">
        <v>47</v>
      </c>
      <c r="V133" s="19" t="s">
        <v>86</v>
      </c>
      <c r="W133" s="20" t="s">
        <v>70</v>
      </c>
      <c r="X133" s="24" t="s">
        <v>74</v>
      </c>
      <c r="Y133" t="s">
        <v>168</v>
      </c>
      <c r="Z133"/>
      <c r="AA133" t="s">
        <v>75</v>
      </c>
      <c r="AB133"/>
      <c r="AC133"/>
      <c r="AD133"/>
      <c r="AE133"/>
    </row>
    <row r="134" spans="3:31" x14ac:dyDescent="0.2">
      <c r="C134" s="10"/>
      <c r="D134" s="10"/>
      <c r="N134"/>
      <c r="O134"/>
      <c r="P134" s="2" t="str">
        <f t="shared" si="6"/>
        <v>Ямбургское.Неоком..I</v>
      </c>
      <c r="Q134"/>
      <c r="R134" s="2" t="str">
        <f t="shared" si="7"/>
        <v>Ямбургское.Неоком.УППГ-3В</v>
      </c>
      <c r="S134"/>
      <c r="T134" s="2" t="str">
        <f t="shared" si="8"/>
        <v>Ямбургское.Неоком</v>
      </c>
      <c r="U134" s="21" t="s">
        <v>47</v>
      </c>
      <c r="V134" s="22" t="s">
        <v>153</v>
      </c>
      <c r="W134" s="23" t="s">
        <v>70</v>
      </c>
      <c r="X134" s="24" t="s">
        <v>74</v>
      </c>
      <c r="Y134" t="s">
        <v>168</v>
      </c>
      <c r="Z134"/>
      <c r="AA134" t="s">
        <v>75</v>
      </c>
      <c r="AB134"/>
      <c r="AC134"/>
      <c r="AD134"/>
      <c r="AE134"/>
    </row>
    <row r="135" spans="3:31" x14ac:dyDescent="0.2">
      <c r="C135" s="10"/>
      <c r="D135" s="10"/>
      <c r="N135"/>
      <c r="O135"/>
      <c r="P135" s="2" t="str">
        <f t="shared" si="6"/>
        <v>Ямбургское.Неоком..II</v>
      </c>
      <c r="Q135"/>
      <c r="R135" s="2" t="str">
        <f t="shared" si="7"/>
        <v>Ямбургское.Неоком.УКПГ-1В</v>
      </c>
      <c r="S135"/>
      <c r="T135" s="2" t="str">
        <f t="shared" si="8"/>
        <v>Ямбургское.Неоком</v>
      </c>
      <c r="U135" s="18" t="s">
        <v>47</v>
      </c>
      <c r="V135" s="19" t="s">
        <v>86</v>
      </c>
      <c r="W135" s="20" t="s">
        <v>82</v>
      </c>
      <c r="X135" s="25" t="s">
        <v>79</v>
      </c>
      <c r="Y135" t="s">
        <v>169</v>
      </c>
      <c r="Z135"/>
      <c r="AA135" t="s">
        <v>75</v>
      </c>
      <c r="AB135"/>
      <c r="AC135"/>
      <c r="AD135"/>
      <c r="AE135"/>
    </row>
    <row r="136" spans="3:31" x14ac:dyDescent="0.2">
      <c r="C136" s="10"/>
      <c r="D136" s="10"/>
      <c r="N136"/>
      <c r="O136"/>
      <c r="P136" s="2" t="str">
        <f t="shared" si="6"/>
        <v>Ямбургское.Неоком..II</v>
      </c>
      <c r="Q136"/>
      <c r="R136" s="2" t="str">
        <f t="shared" si="7"/>
        <v>Ямбургское.Неоком.УКПГ-1В</v>
      </c>
      <c r="S136"/>
      <c r="T136" s="2" t="str">
        <f t="shared" si="8"/>
        <v>Ямбургское.Неоком</v>
      </c>
      <c r="U136" s="21" t="s">
        <v>47</v>
      </c>
      <c r="V136" s="22" t="s">
        <v>86</v>
      </c>
      <c r="W136" s="23" t="s">
        <v>82</v>
      </c>
      <c r="X136" s="24" t="s">
        <v>74</v>
      </c>
      <c r="Y136" t="s">
        <v>168</v>
      </c>
      <c r="Z136"/>
      <c r="AA136" t="s">
        <v>75</v>
      </c>
      <c r="AB136"/>
      <c r="AC136"/>
      <c r="AD136"/>
      <c r="AE136"/>
    </row>
    <row r="137" spans="3:31" x14ac:dyDescent="0.2">
      <c r="C137" s="10"/>
      <c r="D137" s="10"/>
      <c r="N137"/>
      <c r="O137"/>
      <c r="P137" s="2" t="str">
        <f t="shared" si="6"/>
        <v>Ямбургское.Неоком..II</v>
      </c>
      <c r="Q137"/>
      <c r="R137" s="2" t="str">
        <f t="shared" si="7"/>
        <v>Ямбургское.Неоком.УППГ-2В</v>
      </c>
      <c r="S137"/>
      <c r="T137" s="2" t="str">
        <f t="shared" si="8"/>
        <v>Ямбургское.Неоком</v>
      </c>
      <c r="U137" s="18" t="s">
        <v>47</v>
      </c>
      <c r="V137" s="19" t="s">
        <v>154</v>
      </c>
      <c r="W137" s="20" t="s">
        <v>82</v>
      </c>
      <c r="X137" s="25" t="s">
        <v>79</v>
      </c>
      <c r="Y137" t="s">
        <v>169</v>
      </c>
      <c r="Z137"/>
      <c r="AA137" t="s">
        <v>75</v>
      </c>
      <c r="AB137"/>
      <c r="AC137"/>
      <c r="AD137"/>
      <c r="AE137"/>
    </row>
    <row r="138" spans="3:31" x14ac:dyDescent="0.2">
      <c r="C138" s="10"/>
      <c r="D138" s="10"/>
      <c r="N138"/>
      <c r="O138"/>
      <c r="P138" s="2" t="str">
        <f t="shared" si="6"/>
        <v>Ямбургское.Неоком..II</v>
      </c>
      <c r="Q138"/>
      <c r="R138" s="2" t="str">
        <f t="shared" si="7"/>
        <v>Ямбургское.Неоком.УППГ-3В</v>
      </c>
      <c r="S138"/>
      <c r="T138" s="2" t="str">
        <f t="shared" si="8"/>
        <v>Ямбургское.Неоком</v>
      </c>
      <c r="U138" s="21" t="s">
        <v>47</v>
      </c>
      <c r="V138" s="22" t="s">
        <v>153</v>
      </c>
      <c r="W138" s="23" t="s">
        <v>82</v>
      </c>
      <c r="X138" s="25" t="s">
        <v>79</v>
      </c>
      <c r="Y138" t="s">
        <v>169</v>
      </c>
      <c r="Z138"/>
      <c r="AA138" t="s">
        <v>75</v>
      </c>
      <c r="AB138"/>
      <c r="AC138"/>
      <c r="AD138"/>
      <c r="AE138"/>
    </row>
    <row r="139" spans="3:31" x14ac:dyDescent="0.2">
      <c r="C139" s="10"/>
      <c r="D139" s="10"/>
      <c r="N139"/>
      <c r="O139"/>
      <c r="P139" s="2" t="str">
        <f t="shared" si="6"/>
        <v>Ямбургское.Неоком..II</v>
      </c>
      <c r="Q139"/>
      <c r="R139" s="2" t="str">
        <f t="shared" si="7"/>
        <v>Ямбургское.Неоком.УППГ-3В</v>
      </c>
      <c r="S139"/>
      <c r="T139" s="2" t="str">
        <f t="shared" si="8"/>
        <v>Ямбургское.Неоком</v>
      </c>
      <c r="U139" s="18" t="s">
        <v>47</v>
      </c>
      <c r="V139" s="19" t="s">
        <v>153</v>
      </c>
      <c r="W139" s="20" t="s">
        <v>82</v>
      </c>
      <c r="X139" s="24" t="s">
        <v>74</v>
      </c>
      <c r="Y139" t="s">
        <v>168</v>
      </c>
      <c r="Z139"/>
      <c r="AA139" t="s">
        <v>75</v>
      </c>
      <c r="AB139"/>
      <c r="AC139"/>
      <c r="AD139"/>
      <c r="AE139"/>
    </row>
    <row r="140" spans="3:31" ht="25.5" x14ac:dyDescent="0.2">
      <c r="C140" s="10"/>
      <c r="D140" s="10"/>
      <c r="N140"/>
      <c r="O140"/>
      <c r="P140" s="2" t="str">
        <f t="shared" si="6"/>
        <v>Ямбургское.Сеноман.Ямбургская.ПК1</v>
      </c>
      <c r="Q140"/>
      <c r="R140" s="2" t="str">
        <f t="shared" si="7"/>
        <v>Ямбургское.Сеноман.УКПГ-1</v>
      </c>
      <c r="S140"/>
      <c r="T140" s="2" t="str">
        <f t="shared" si="8"/>
        <v>Ямбургское.Сеноман</v>
      </c>
      <c r="U140" s="21" t="s">
        <v>47</v>
      </c>
      <c r="V140" s="22" t="s">
        <v>63</v>
      </c>
      <c r="W140" s="23" t="s">
        <v>57</v>
      </c>
      <c r="X140" s="26" t="s">
        <v>58</v>
      </c>
      <c r="Y140" t="s">
        <v>71</v>
      </c>
      <c r="Z140"/>
      <c r="AA140" t="s">
        <v>71</v>
      </c>
      <c r="AB140"/>
      <c r="AC140" t="s">
        <v>155</v>
      </c>
      <c r="AD140"/>
      <c r="AE140"/>
    </row>
    <row r="141" spans="3:31" ht="25.5" x14ac:dyDescent="0.2">
      <c r="C141" s="10"/>
      <c r="D141" s="10"/>
      <c r="N141"/>
      <c r="O141"/>
      <c r="P141" s="2" t="str">
        <f t="shared" si="6"/>
        <v>Ямбургское.Сеноман.Ямбургская.ПК1</v>
      </c>
      <c r="Q141"/>
      <c r="R141" s="2" t="str">
        <f t="shared" si="7"/>
        <v>Ямбургское.Сеноман.УКПГ-2</v>
      </c>
      <c r="S141"/>
      <c r="T141" s="2" t="str">
        <f t="shared" si="8"/>
        <v>Ямбургское.Сеноман</v>
      </c>
      <c r="U141" s="18" t="s">
        <v>47</v>
      </c>
      <c r="V141" s="19" t="s">
        <v>56</v>
      </c>
      <c r="W141" s="20" t="s">
        <v>57</v>
      </c>
      <c r="X141" s="26" t="s">
        <v>58</v>
      </c>
      <c r="Y141" t="s">
        <v>71</v>
      </c>
      <c r="Z141"/>
      <c r="AA141" t="s">
        <v>71</v>
      </c>
      <c r="AB141"/>
      <c r="AC141" t="s">
        <v>155</v>
      </c>
      <c r="AD141"/>
      <c r="AE141"/>
    </row>
    <row r="142" spans="3:31" ht="25.5" x14ac:dyDescent="0.2">
      <c r="C142" s="10"/>
      <c r="D142" s="10"/>
      <c r="N142"/>
      <c r="O142"/>
      <c r="P142" s="2" t="str">
        <f t="shared" si="6"/>
        <v>Ямбургское.Сеноман.Ямбургская.ПК1</v>
      </c>
      <c r="Q142"/>
      <c r="R142" s="2" t="str">
        <f t="shared" si="7"/>
        <v>Ямбургское.Сеноман.УКПГ-3</v>
      </c>
      <c r="S142"/>
      <c r="T142" s="2" t="str">
        <f t="shared" si="8"/>
        <v>Ямбургское.Сеноман</v>
      </c>
      <c r="U142" s="21" t="s">
        <v>47</v>
      </c>
      <c r="V142" s="22" t="s">
        <v>60</v>
      </c>
      <c r="W142" s="23" t="s">
        <v>57</v>
      </c>
      <c r="X142" s="26" t="s">
        <v>58</v>
      </c>
      <c r="Y142" t="s">
        <v>71</v>
      </c>
      <c r="Z142"/>
      <c r="AA142" t="s">
        <v>71</v>
      </c>
      <c r="AB142"/>
      <c r="AC142" t="s">
        <v>155</v>
      </c>
      <c r="AD142"/>
      <c r="AE142"/>
    </row>
    <row r="143" spans="3:31" ht="25.5" x14ac:dyDescent="0.2">
      <c r="C143" s="10"/>
      <c r="D143" s="10"/>
      <c r="N143"/>
      <c r="O143"/>
      <c r="P143" s="2" t="str">
        <f t="shared" si="6"/>
        <v>Ямбургское.Сеноман.Ямбургская.ПК1</v>
      </c>
      <c r="Q143"/>
      <c r="R143" s="2" t="str">
        <f t="shared" si="7"/>
        <v>Ямбургское.Сеноман.УКПГ-4</v>
      </c>
      <c r="S143"/>
      <c r="T143" s="2" t="str">
        <f t="shared" si="8"/>
        <v>Ямбургское.Сеноман</v>
      </c>
      <c r="U143" s="18" t="s">
        <v>47</v>
      </c>
      <c r="V143" s="19" t="s">
        <v>108</v>
      </c>
      <c r="W143" s="20" t="s">
        <v>57</v>
      </c>
      <c r="X143" s="26" t="s">
        <v>58</v>
      </c>
      <c r="Y143" t="s">
        <v>71</v>
      </c>
      <c r="Z143"/>
      <c r="AA143" t="s">
        <v>71</v>
      </c>
      <c r="AB143"/>
      <c r="AC143" t="s">
        <v>155</v>
      </c>
      <c r="AD143"/>
      <c r="AE143"/>
    </row>
    <row r="144" spans="3:31" ht="25.5" x14ac:dyDescent="0.2">
      <c r="C144" s="10"/>
      <c r="D144" s="10"/>
      <c r="N144"/>
      <c r="O144"/>
      <c r="P144" s="2" t="str">
        <f t="shared" si="6"/>
        <v>Ямбургское.Сеноман.Ямбургская.ПК1</v>
      </c>
      <c r="Q144"/>
      <c r="R144" s="2" t="str">
        <f t="shared" si="7"/>
        <v>Ямбургское.Сеноман.УКПГ-5</v>
      </c>
      <c r="S144"/>
      <c r="T144" s="2" t="str">
        <f t="shared" si="8"/>
        <v>Ямбургское.Сеноман</v>
      </c>
      <c r="U144" s="21" t="s">
        <v>47</v>
      </c>
      <c r="V144" s="22" t="s">
        <v>109</v>
      </c>
      <c r="W144" s="23" t="s">
        <v>57</v>
      </c>
      <c r="X144" s="26" t="s">
        <v>58</v>
      </c>
      <c r="Y144" t="s">
        <v>71</v>
      </c>
      <c r="Z144"/>
      <c r="AA144" t="s">
        <v>71</v>
      </c>
      <c r="AB144"/>
      <c r="AC144" t="s">
        <v>155</v>
      </c>
      <c r="AD144"/>
      <c r="AE144"/>
    </row>
    <row r="145" spans="3:31" ht="25.5" x14ac:dyDescent="0.2">
      <c r="C145" s="10"/>
      <c r="D145" s="10"/>
      <c r="N145"/>
      <c r="O145"/>
      <c r="P145" s="2" t="str">
        <f t="shared" si="6"/>
        <v>Ямбургское.Сеноман.Ямбургская.ПК1</v>
      </c>
      <c r="Q145"/>
      <c r="R145" s="2" t="str">
        <f t="shared" si="7"/>
        <v>Ямбургское.Сеноман.УКПГ-6</v>
      </c>
      <c r="S145"/>
      <c r="T145" s="2" t="str">
        <f t="shared" si="8"/>
        <v>Ямбургское.Сеноман</v>
      </c>
      <c r="U145" s="18" t="s">
        <v>47</v>
      </c>
      <c r="V145" s="19" t="s">
        <v>110</v>
      </c>
      <c r="W145" s="20" t="s">
        <v>57</v>
      </c>
      <c r="X145" s="26" t="s">
        <v>58</v>
      </c>
      <c r="Y145" t="s">
        <v>71</v>
      </c>
      <c r="Z145"/>
      <c r="AA145" t="s">
        <v>71</v>
      </c>
      <c r="AB145"/>
      <c r="AC145" t="s">
        <v>155</v>
      </c>
      <c r="AD145"/>
      <c r="AE145"/>
    </row>
    <row r="146" spans="3:31" ht="25.5" x14ac:dyDescent="0.2">
      <c r="C146" s="10"/>
      <c r="D146" s="10"/>
      <c r="N146"/>
      <c r="O146"/>
      <c r="P146" s="2" t="str">
        <f t="shared" si="6"/>
        <v>Ямбургское.Сеноман.Ямбургская.ПК1</v>
      </c>
      <c r="Q146"/>
      <c r="R146" s="2" t="str">
        <f t="shared" si="7"/>
        <v>Ямбургское.Сеноман.УКПГ-7</v>
      </c>
      <c r="S146"/>
      <c r="T146" s="2" t="str">
        <f t="shared" si="8"/>
        <v>Ямбургское.Сеноман</v>
      </c>
      <c r="U146" s="21" t="s">
        <v>47</v>
      </c>
      <c r="V146" s="22" t="s">
        <v>111</v>
      </c>
      <c r="W146" s="23" t="s">
        <v>57</v>
      </c>
      <c r="X146" s="26" t="s">
        <v>58</v>
      </c>
      <c r="Y146" t="s">
        <v>71</v>
      </c>
      <c r="Z146"/>
      <c r="AA146" t="s">
        <v>71</v>
      </c>
      <c r="AB146"/>
      <c r="AC146" t="s">
        <v>155</v>
      </c>
      <c r="AD146"/>
      <c r="AE146"/>
    </row>
    <row r="147" spans="3:31" ht="25.5" x14ac:dyDescent="0.2">
      <c r="C147" s="10"/>
      <c r="D147" s="10"/>
      <c r="N147"/>
      <c r="O147"/>
      <c r="P147" s="2" t="str">
        <f t="shared" si="6"/>
        <v>Ямбургское.Сеноман.Харвутинская.ПК1</v>
      </c>
      <c r="Q147"/>
      <c r="R147" s="2" t="str">
        <f t="shared" si="7"/>
        <v>Ямбургское.Сеноман.УППГ-8</v>
      </c>
      <c r="S147"/>
      <c r="T147" s="2" t="str">
        <f t="shared" si="8"/>
        <v>Ямбургское.Сеноман</v>
      </c>
      <c r="U147" s="18" t="s">
        <v>47</v>
      </c>
      <c r="V147" s="19" t="s">
        <v>156</v>
      </c>
      <c r="W147" s="20" t="s">
        <v>57</v>
      </c>
      <c r="X147" s="26" t="s">
        <v>58</v>
      </c>
      <c r="Y147" t="s">
        <v>71</v>
      </c>
      <c r="Z147"/>
      <c r="AA147" t="s">
        <v>71</v>
      </c>
      <c r="AB147"/>
      <c r="AC147" t="s">
        <v>157</v>
      </c>
      <c r="AD147"/>
      <c r="AE147"/>
    </row>
    <row r="148" spans="3:31" ht="25.5" x14ac:dyDescent="0.2">
      <c r="C148" s="10"/>
      <c r="D148" s="10"/>
      <c r="N148"/>
      <c r="O148"/>
      <c r="P148" s="2" t="str">
        <f t="shared" si="6"/>
        <v>Ямбургское.Сеноман.Анерьяхинская.ПК1</v>
      </c>
      <c r="Q148"/>
      <c r="R148" s="2" t="str">
        <f t="shared" si="7"/>
        <v>Ямбургское.Сеноман.УППГ-4А</v>
      </c>
      <c r="S148"/>
      <c r="T148" s="2" t="str">
        <f t="shared" si="8"/>
        <v>Ямбургское.Сеноман</v>
      </c>
      <c r="U148" s="21" t="s">
        <v>47</v>
      </c>
      <c r="V148" s="22" t="s">
        <v>158</v>
      </c>
      <c r="W148" s="23" t="s">
        <v>57</v>
      </c>
      <c r="X148" s="26" t="s">
        <v>58</v>
      </c>
      <c r="Y148" t="s">
        <v>71</v>
      </c>
      <c r="Z148"/>
      <c r="AA148" t="s">
        <v>71</v>
      </c>
      <c r="AB148"/>
      <c r="AC148" t="s">
        <v>159</v>
      </c>
      <c r="AD148"/>
      <c r="AE148"/>
    </row>
    <row r="149" spans="3:31" ht="25.5" x14ac:dyDescent="0.2">
      <c r="C149" s="10"/>
      <c r="D149" s="10"/>
      <c r="N149"/>
      <c r="O149"/>
      <c r="P149" s="2" t="str">
        <f t="shared" si="6"/>
        <v>Ямбургское.Сеноман.Харвутинская.ПК1</v>
      </c>
      <c r="Q149"/>
      <c r="R149" s="2" t="str">
        <f t="shared" si="7"/>
        <v>Ямбургское.Сеноман.УКПГ-9 (Уч-11)</v>
      </c>
      <c r="S149"/>
      <c r="T149" s="2" t="str">
        <f t="shared" si="8"/>
        <v>Ямбургское.Сеноман</v>
      </c>
      <c r="U149" s="18" t="s">
        <v>47</v>
      </c>
      <c r="V149" s="19" t="s">
        <v>160</v>
      </c>
      <c r="W149" s="20" t="s">
        <v>57</v>
      </c>
      <c r="X149" s="26" t="s">
        <v>58</v>
      </c>
      <c r="Y149" t="s">
        <v>71</v>
      </c>
      <c r="Z149"/>
      <c r="AA149" t="s">
        <v>71</v>
      </c>
      <c r="AB149"/>
      <c r="AC149" t="s">
        <v>157</v>
      </c>
      <c r="AD149"/>
      <c r="AE149"/>
    </row>
    <row r="150" spans="3:31" ht="25.5" x14ac:dyDescent="0.2">
      <c r="C150" s="10"/>
      <c r="D150" s="10"/>
      <c r="N150"/>
      <c r="O150"/>
      <c r="P150" s="2" t="str">
        <f t="shared" si="6"/>
        <v>Ямбургское.Сеноман.Харвутинская.ПК1</v>
      </c>
      <c r="Q150"/>
      <c r="R150" s="2" t="str">
        <f t="shared" si="7"/>
        <v>Ямбургское.Сеноман.УППГ-10 (Уч-10)</v>
      </c>
      <c r="S150"/>
      <c r="T150" s="2" t="str">
        <f t="shared" si="8"/>
        <v>Ямбургское.Сеноман</v>
      </c>
      <c r="U150" s="21" t="s">
        <v>47</v>
      </c>
      <c r="V150" s="22" t="s">
        <v>161</v>
      </c>
      <c r="W150" s="23" t="s">
        <v>57</v>
      </c>
      <c r="X150" s="26" t="s">
        <v>58</v>
      </c>
      <c r="Y150" t="s">
        <v>71</v>
      </c>
      <c r="Z150"/>
      <c r="AA150" t="s">
        <v>71</v>
      </c>
      <c r="AB150"/>
      <c r="AC150" t="s">
        <v>157</v>
      </c>
      <c r="AD150"/>
      <c r="AE150"/>
    </row>
    <row r="151" spans="3:31" ht="25.5" x14ac:dyDescent="0.2">
      <c r="C151" s="10"/>
      <c r="D151" s="10"/>
      <c r="N151"/>
      <c r="O151"/>
      <c r="P151" s="2" t="str">
        <f t="shared" si="6"/>
        <v>Ямбургское.Сеноман.Харвутинская.ПК1</v>
      </c>
      <c r="Q151"/>
      <c r="R151" s="2" t="str">
        <f t="shared" si="7"/>
        <v>Ямбургское.Сеноман.ТП-9 (Уч-9)</v>
      </c>
      <c r="S151"/>
      <c r="T151" s="2" t="str">
        <f t="shared" si="8"/>
        <v>Ямбургское.Сеноман</v>
      </c>
      <c r="U151" s="18" t="s">
        <v>47</v>
      </c>
      <c r="V151" s="19" t="s">
        <v>162</v>
      </c>
      <c r="W151" s="20" t="s">
        <v>57</v>
      </c>
      <c r="X151" s="26" t="s">
        <v>58</v>
      </c>
      <c r="Y151" t="s">
        <v>71</v>
      </c>
      <c r="Z151"/>
      <c r="AA151" t="s">
        <v>71</v>
      </c>
      <c r="AB151"/>
      <c r="AC151" t="s">
        <v>157</v>
      </c>
      <c r="AD151"/>
      <c r="AE151"/>
    </row>
    <row r="152" spans="3:31" x14ac:dyDescent="0.2">
      <c r="C152" s="10"/>
      <c r="D152" s="10"/>
      <c r="N152"/>
      <c r="O152"/>
      <c r="P152" s="2" t="str">
        <f t="shared" si="6"/>
        <v>Ямсовейское.Сеноман..1</v>
      </c>
      <c r="Q152"/>
      <c r="R152" s="2" t="str">
        <f t="shared" si="7"/>
        <v>Ямсовейское.Сеноман.УКПГ-1</v>
      </c>
      <c r="S152"/>
      <c r="T152" s="2" t="str">
        <f t="shared" si="8"/>
        <v>Ямсовейское.Сеноман</v>
      </c>
      <c r="U152" s="21" t="s">
        <v>48</v>
      </c>
      <c r="V152" s="22" t="s">
        <v>63</v>
      </c>
      <c r="W152" s="23">
        <v>1</v>
      </c>
      <c r="X152" s="25" t="s">
        <v>58</v>
      </c>
      <c r="Y152" t="s">
        <v>71</v>
      </c>
      <c r="Z152"/>
      <c r="AA152" t="s">
        <v>71</v>
      </c>
      <c r="AB152"/>
      <c r="AC152"/>
      <c r="AD152"/>
      <c r="AE152"/>
    </row>
    <row r="153" spans="3:31" x14ac:dyDescent="0.2">
      <c r="C153" s="10"/>
      <c r="D153" s="10"/>
      <c r="N153"/>
      <c r="O153"/>
      <c r="P153" s="2" t="str">
        <f t="shared" si="6"/>
        <v>Заполярное.Турон..Т1</v>
      </c>
      <c r="Q153"/>
      <c r="R153" s="2" t="str">
        <f t="shared" si="7"/>
        <v>Заполярное.Турон.УКПГ-2С</v>
      </c>
      <c r="S153"/>
      <c r="T153" s="2" t="str">
        <f t="shared" si="8"/>
        <v>Заполярное.Турон</v>
      </c>
      <c r="U153" s="18" t="s">
        <v>39</v>
      </c>
      <c r="V153" s="19" t="s">
        <v>90</v>
      </c>
      <c r="W153" s="20" t="s">
        <v>163</v>
      </c>
      <c r="X153" s="25" t="s">
        <v>151</v>
      </c>
      <c r="Y153" t="s">
        <v>152</v>
      </c>
      <c r="Z153"/>
      <c r="AA153" t="s">
        <v>152</v>
      </c>
      <c r="AB153"/>
      <c r="AC153"/>
      <c r="AD153"/>
      <c r="AE153"/>
    </row>
    <row r="154" spans="3:31" x14ac:dyDescent="0.2">
      <c r="C154" s="10"/>
      <c r="D154" s="10"/>
      <c r="N154"/>
      <c r="O154"/>
      <c r="P154" s="2" t="str">
        <f t="shared" si="6"/>
        <v>Уренгойское.Неоком..1</v>
      </c>
      <c r="Q154"/>
      <c r="R154" s="2" t="str">
        <f t="shared" si="7"/>
        <v>Уренгойское.Неоком.ЦДГГКН-1</v>
      </c>
      <c r="S154"/>
      <c r="T154" s="2" t="str">
        <f t="shared" si="8"/>
        <v>Уренгойское.Неоком</v>
      </c>
      <c r="U154" s="21" t="s">
        <v>44</v>
      </c>
      <c r="V154" s="45" t="s">
        <v>623</v>
      </c>
      <c r="W154" s="23">
        <v>1</v>
      </c>
      <c r="X154" s="27" t="s">
        <v>164</v>
      </c>
      <c r="Y154" t="s">
        <v>167</v>
      </c>
      <c r="Z154"/>
      <c r="AA154" t="s">
        <v>75</v>
      </c>
      <c r="AB154"/>
      <c r="AC154"/>
      <c r="AD154"/>
      <c r="AE154"/>
    </row>
    <row r="155" spans="3:31" x14ac:dyDescent="0.2">
      <c r="C155" s="10"/>
      <c r="D155" s="10"/>
      <c r="N155"/>
      <c r="O155"/>
      <c r="P155" s="2" t="str">
        <f t="shared" si="6"/>
        <v>Уренгойское.Неоком..1</v>
      </c>
      <c r="Q155"/>
      <c r="R155" s="2" t="str">
        <f t="shared" si="7"/>
        <v>Уренгойское.Неоком.ЦДГГКН-2</v>
      </c>
      <c r="S155"/>
      <c r="T155" s="2" t="str">
        <f t="shared" si="8"/>
        <v>Уренгойское.Неоком</v>
      </c>
      <c r="U155" s="18" t="s">
        <v>44</v>
      </c>
      <c r="V155" s="45" t="s">
        <v>624</v>
      </c>
      <c r="W155" s="20">
        <v>1</v>
      </c>
      <c r="X155" s="27" t="s">
        <v>165</v>
      </c>
      <c r="Y155" t="s">
        <v>168</v>
      </c>
      <c r="Z155"/>
      <c r="AA155" t="s">
        <v>75</v>
      </c>
      <c r="AB155"/>
      <c r="AC155"/>
      <c r="AD155"/>
      <c r="AE155"/>
    </row>
    <row r="156" spans="3:31" x14ac:dyDescent="0.2">
      <c r="C156" s="10"/>
      <c r="D156" s="10"/>
      <c r="N156"/>
      <c r="O156"/>
      <c r="P156" s="2" t="str">
        <f t="shared" si="6"/>
        <v>Уренгойское.Неоком..2</v>
      </c>
      <c r="Q156"/>
      <c r="R156" s="2" t="str">
        <f t="shared" si="7"/>
        <v>Уренгойское.Неоком.</v>
      </c>
      <c r="S156"/>
      <c r="T156" s="2" t="str">
        <f t="shared" si="8"/>
        <v>Уренгойское.Неоком</v>
      </c>
      <c r="U156" s="21" t="s">
        <v>44</v>
      </c>
      <c r="V156" s="22"/>
      <c r="W156" s="23">
        <v>2</v>
      </c>
      <c r="X156" s="27" t="s">
        <v>165</v>
      </c>
      <c r="Y156" t="s">
        <v>168</v>
      </c>
      <c r="Z156"/>
      <c r="AA156" t="s">
        <v>75</v>
      </c>
      <c r="AB156"/>
      <c r="AC156"/>
      <c r="AD156"/>
      <c r="AE156"/>
    </row>
    <row r="157" spans="3:31" x14ac:dyDescent="0.2">
      <c r="C157" s="10"/>
      <c r="D157" s="10"/>
      <c r="N157"/>
      <c r="O157"/>
      <c r="P157" s="2" t="str">
        <f t="shared" si="6"/>
        <v>Уренгойское.Неоком..3</v>
      </c>
      <c r="Q157"/>
      <c r="R157" s="2" t="str">
        <f t="shared" si="7"/>
        <v>Уренгойское.Неоком.</v>
      </c>
      <c r="S157"/>
      <c r="T157" s="2" t="str">
        <f t="shared" si="8"/>
        <v>Уренгойское.Неоком</v>
      </c>
      <c r="U157" s="18" t="s">
        <v>44</v>
      </c>
      <c r="V157" s="19"/>
      <c r="W157" s="20">
        <v>3</v>
      </c>
      <c r="X157" s="27" t="s">
        <v>165</v>
      </c>
      <c r="Y157" t="s">
        <v>168</v>
      </c>
      <c r="Z157"/>
      <c r="AA157" t="s">
        <v>75</v>
      </c>
      <c r="AB157"/>
      <c r="AC157"/>
      <c r="AD157"/>
      <c r="AE157"/>
    </row>
    <row r="158" spans="3:31" x14ac:dyDescent="0.2">
      <c r="C158" s="10"/>
      <c r="D158" s="10"/>
      <c r="N158"/>
      <c r="O158"/>
      <c r="P158" s="2" t="str">
        <f t="shared" si="6"/>
        <v>Уренгойское.Неоком..4</v>
      </c>
      <c r="Q158"/>
      <c r="R158" s="2" t="str">
        <f t="shared" si="7"/>
        <v>Уренгойское.Неоком.</v>
      </c>
      <c r="S158"/>
      <c r="T158" s="2" t="str">
        <f t="shared" si="8"/>
        <v>Уренгойское.Неоком</v>
      </c>
      <c r="U158" s="21" t="s">
        <v>44</v>
      </c>
      <c r="V158" s="22"/>
      <c r="W158" s="23">
        <v>4</v>
      </c>
      <c r="X158" s="27" t="s">
        <v>165</v>
      </c>
      <c r="Y158" t="s">
        <v>168</v>
      </c>
      <c r="Z158"/>
      <c r="AA158" t="s">
        <v>75</v>
      </c>
      <c r="AB158"/>
      <c r="AC158"/>
      <c r="AD158"/>
      <c r="AE158"/>
    </row>
    <row r="159" spans="3:31" x14ac:dyDescent="0.2">
      <c r="C159" s="10"/>
      <c r="D159" s="10"/>
      <c r="O159"/>
      <c r="P159" s="2" t="str">
        <f t="shared" si="6"/>
        <v>Уренгойское.Неоком..5</v>
      </c>
      <c r="Q159"/>
      <c r="R159" s="2" t="str">
        <f t="shared" si="7"/>
        <v>Уренгойское.Неоком.</v>
      </c>
      <c r="S159"/>
      <c r="T159" s="2" t="str">
        <f t="shared" si="8"/>
        <v>Уренгойское.Неоком</v>
      </c>
      <c r="U159" s="18" t="s">
        <v>44</v>
      </c>
      <c r="V159" s="19"/>
      <c r="W159" s="20">
        <v>5</v>
      </c>
      <c r="X159" s="27" t="s">
        <v>165</v>
      </c>
      <c r="Y159" t="s">
        <v>168</v>
      </c>
      <c r="Z159"/>
      <c r="AA159" t="s">
        <v>75</v>
      </c>
      <c r="AB159"/>
      <c r="AC159"/>
      <c r="AD159"/>
      <c r="AE159"/>
    </row>
    <row r="160" spans="3:31" x14ac:dyDescent="0.2">
      <c r="C160" s="10"/>
      <c r="D160" s="10"/>
      <c r="O160"/>
      <c r="Q160"/>
      <c r="S160"/>
      <c r="Z160"/>
      <c r="AB160"/>
      <c r="AD160"/>
      <c r="AE160"/>
    </row>
    <row r="161" spans="3:31" x14ac:dyDescent="0.2">
      <c r="C161" s="10"/>
      <c r="D161" s="10"/>
      <c r="O161"/>
      <c r="Q161"/>
      <c r="S161"/>
      <c r="Z161"/>
      <c r="AB161"/>
      <c r="AD161"/>
      <c r="AE161"/>
    </row>
    <row r="162" spans="3:31" x14ac:dyDescent="0.2">
      <c r="C162" s="10"/>
      <c r="D162" s="10"/>
      <c r="O162"/>
      <c r="Q162"/>
      <c r="S162"/>
      <c r="Z162"/>
      <c r="AB162"/>
      <c r="AD162"/>
      <c r="AE162"/>
    </row>
    <row r="163" spans="3:31" x14ac:dyDescent="0.2">
      <c r="C163" s="10"/>
      <c r="D163" s="10"/>
      <c r="O163"/>
      <c r="Q163"/>
      <c r="S163"/>
      <c r="Z163"/>
      <c r="AB163"/>
      <c r="AD163"/>
      <c r="AE163"/>
    </row>
    <row r="164" spans="3:31" x14ac:dyDescent="0.2">
      <c r="C164" s="10"/>
      <c r="D164" s="10"/>
      <c r="O164"/>
      <c r="Q164"/>
      <c r="S164"/>
      <c r="Z164"/>
      <c r="AB164"/>
      <c r="AD164"/>
      <c r="AE164"/>
    </row>
    <row r="165" spans="3:31" x14ac:dyDescent="0.2">
      <c r="C165" s="10"/>
      <c r="D165" s="10"/>
      <c r="O165"/>
      <c r="Q165"/>
      <c r="S165"/>
      <c r="Z165"/>
      <c r="AB165"/>
      <c r="AD165"/>
      <c r="AE165"/>
    </row>
    <row r="166" spans="3:31" x14ac:dyDescent="0.2">
      <c r="C166" s="10"/>
      <c r="D166" s="10"/>
      <c r="O166"/>
      <c r="Q166"/>
      <c r="S166"/>
      <c r="Z166"/>
      <c r="AB166"/>
      <c r="AD166"/>
      <c r="AE166"/>
    </row>
    <row r="167" spans="3:31" x14ac:dyDescent="0.2">
      <c r="C167" s="10"/>
      <c r="D167" s="10"/>
      <c r="O167"/>
      <c r="Q167"/>
      <c r="S167"/>
      <c r="Z167"/>
      <c r="AB167"/>
      <c r="AD167"/>
      <c r="AE167"/>
    </row>
    <row r="168" spans="3:31" x14ac:dyDescent="0.2">
      <c r="C168" s="10"/>
      <c r="D168" s="10"/>
      <c r="O168"/>
      <c r="Q168"/>
      <c r="S168"/>
      <c r="Z168"/>
      <c r="AB168"/>
      <c r="AD168"/>
      <c r="AE168"/>
    </row>
    <row r="169" spans="3:31" x14ac:dyDescent="0.2">
      <c r="C169" s="10"/>
      <c r="D169" s="10"/>
      <c r="O169"/>
      <c r="Q169"/>
      <c r="S169"/>
      <c r="Z169"/>
      <c r="AB169"/>
      <c r="AD169"/>
      <c r="AE169"/>
    </row>
    <row r="170" spans="3:31" x14ac:dyDescent="0.2">
      <c r="C170" s="10"/>
      <c r="D170" s="10"/>
      <c r="O170"/>
      <c r="Q170"/>
      <c r="S170"/>
      <c r="Z170"/>
      <c r="AB170"/>
      <c r="AD170"/>
      <c r="AE170"/>
    </row>
    <row r="171" spans="3:31" x14ac:dyDescent="0.2">
      <c r="C171" s="10"/>
      <c r="D171" s="10"/>
      <c r="O171"/>
      <c r="Q171"/>
      <c r="S171"/>
      <c r="Z171"/>
      <c r="AB171"/>
      <c r="AD171"/>
      <c r="AE171"/>
    </row>
    <row r="172" spans="3:31" x14ac:dyDescent="0.2">
      <c r="C172" s="10"/>
      <c r="D172" s="10"/>
      <c r="O172"/>
      <c r="Q172"/>
      <c r="S172"/>
      <c r="Z172"/>
      <c r="AB172"/>
      <c r="AD172"/>
      <c r="AE172"/>
    </row>
    <row r="173" spans="3:31" x14ac:dyDescent="0.2">
      <c r="C173" s="10"/>
      <c r="D173" s="10"/>
      <c r="O173"/>
      <c r="Q173"/>
      <c r="S173"/>
      <c r="Z173"/>
      <c r="AB173"/>
      <c r="AD173"/>
      <c r="AE173"/>
    </row>
    <row r="174" spans="3:31" x14ac:dyDescent="0.2">
      <c r="C174" s="10"/>
      <c r="D174" s="10"/>
      <c r="O174"/>
      <c r="Q174"/>
      <c r="S174"/>
      <c r="Z174"/>
      <c r="AB174"/>
      <c r="AD174"/>
      <c r="AE174"/>
    </row>
    <row r="175" spans="3:31" x14ac:dyDescent="0.2">
      <c r="C175" s="10"/>
      <c r="D175" s="10"/>
      <c r="O175"/>
      <c r="Q175"/>
      <c r="S175"/>
      <c r="Z175"/>
      <c r="AB175"/>
      <c r="AD175"/>
      <c r="AE175"/>
    </row>
    <row r="176" spans="3:31" x14ac:dyDescent="0.2">
      <c r="C176" s="10"/>
      <c r="D176" s="10"/>
      <c r="O176"/>
      <c r="Q176"/>
      <c r="S176"/>
      <c r="Z176"/>
      <c r="AB176"/>
      <c r="AD176"/>
      <c r="AE176"/>
    </row>
    <row r="177" spans="3:31" x14ac:dyDescent="0.2">
      <c r="C177" s="10"/>
      <c r="D177" s="10"/>
      <c r="O177"/>
      <c r="Q177"/>
      <c r="S177"/>
      <c r="Z177"/>
      <c r="AB177"/>
      <c r="AD177"/>
      <c r="AE177"/>
    </row>
    <row r="178" spans="3:31" x14ac:dyDescent="0.2">
      <c r="C178" s="10"/>
      <c r="D178" s="10"/>
      <c r="O178"/>
      <c r="Q178"/>
      <c r="S178"/>
      <c r="Z178"/>
      <c r="AB178"/>
      <c r="AD178"/>
      <c r="AE178"/>
    </row>
    <row r="179" spans="3:31" x14ac:dyDescent="0.2">
      <c r="C179" s="10"/>
      <c r="D179" s="10"/>
      <c r="O179"/>
      <c r="Q179"/>
      <c r="S179"/>
      <c r="Z179"/>
      <c r="AB179"/>
      <c r="AD179"/>
      <c r="AE179"/>
    </row>
    <row r="180" spans="3:31" x14ac:dyDescent="0.2">
      <c r="C180" s="10"/>
      <c r="D180" s="10"/>
      <c r="O180"/>
      <c r="Q180"/>
      <c r="S180"/>
      <c r="Z180"/>
      <c r="AB180"/>
      <c r="AD180"/>
      <c r="AE180"/>
    </row>
    <row r="181" spans="3:31" x14ac:dyDescent="0.2">
      <c r="C181" s="10"/>
      <c r="D181" s="10"/>
      <c r="O181"/>
      <c r="Q181"/>
      <c r="S181"/>
      <c r="Z181"/>
      <c r="AB181"/>
      <c r="AD181"/>
      <c r="AE181"/>
    </row>
    <row r="182" spans="3:31" x14ac:dyDescent="0.2">
      <c r="C182" s="10"/>
      <c r="D182" s="10"/>
      <c r="O182"/>
      <c r="Q182"/>
      <c r="S182"/>
      <c r="Z182"/>
      <c r="AB182"/>
      <c r="AD182"/>
      <c r="AE182"/>
    </row>
    <row r="183" spans="3:31" x14ac:dyDescent="0.2">
      <c r="C183" s="10"/>
      <c r="D183" s="10"/>
      <c r="O183"/>
      <c r="Q183"/>
      <c r="S183"/>
      <c r="Z183"/>
      <c r="AB183"/>
      <c r="AD183"/>
      <c r="AE183"/>
    </row>
    <row r="184" spans="3:31" x14ac:dyDescent="0.2">
      <c r="C184" s="10"/>
      <c r="D184" s="10"/>
      <c r="O184"/>
      <c r="Q184"/>
      <c r="S184"/>
      <c r="Z184"/>
      <c r="AB184"/>
      <c r="AD184"/>
      <c r="AE184"/>
    </row>
    <row r="185" spans="3:31" x14ac:dyDescent="0.2">
      <c r="C185" s="10"/>
      <c r="D185" s="10"/>
      <c r="O185"/>
      <c r="Q185"/>
      <c r="S185"/>
      <c r="Z185"/>
      <c r="AB185"/>
      <c r="AD185"/>
      <c r="AE185"/>
    </row>
    <row r="186" spans="3:31" x14ac:dyDescent="0.2">
      <c r="C186" s="10"/>
      <c r="D186" s="10"/>
      <c r="O186"/>
      <c r="Q186"/>
      <c r="S186"/>
      <c r="Z186"/>
      <c r="AB186"/>
      <c r="AD186"/>
      <c r="AE186"/>
    </row>
    <row r="187" spans="3:31" x14ac:dyDescent="0.2">
      <c r="C187" s="10"/>
      <c r="D187" s="10"/>
      <c r="O187"/>
      <c r="Q187"/>
      <c r="S187"/>
      <c r="Z187"/>
      <c r="AB187"/>
      <c r="AD187"/>
      <c r="AE187"/>
    </row>
    <row r="188" spans="3:31" x14ac:dyDescent="0.2">
      <c r="C188" s="10"/>
      <c r="D188" s="10"/>
      <c r="O188"/>
      <c r="Q188"/>
      <c r="S188"/>
      <c r="Z188"/>
      <c r="AB188"/>
      <c r="AD188"/>
      <c r="AE188"/>
    </row>
    <row r="189" spans="3:31" x14ac:dyDescent="0.2">
      <c r="C189" s="10"/>
      <c r="D189" s="10"/>
      <c r="O189"/>
      <c r="Q189"/>
      <c r="S189"/>
      <c r="Z189"/>
      <c r="AB189"/>
      <c r="AD189"/>
      <c r="AE189"/>
    </row>
    <row r="190" spans="3:31" x14ac:dyDescent="0.2">
      <c r="C190" s="10"/>
      <c r="D190" s="10"/>
      <c r="O190"/>
      <c r="Q190"/>
      <c r="S190"/>
      <c r="Z190"/>
      <c r="AB190"/>
      <c r="AD190"/>
      <c r="AE190"/>
    </row>
    <row r="191" spans="3:31" x14ac:dyDescent="0.2">
      <c r="C191" s="10"/>
      <c r="D191" s="10"/>
      <c r="O191"/>
      <c r="Q191"/>
      <c r="S191"/>
      <c r="Z191"/>
      <c r="AB191"/>
      <c r="AD191"/>
      <c r="AE191"/>
    </row>
    <row r="192" spans="3:31" x14ac:dyDescent="0.2">
      <c r="C192" s="10"/>
      <c r="D192" s="10"/>
      <c r="O192"/>
      <c r="Q192"/>
      <c r="S192"/>
      <c r="Z192"/>
      <c r="AB192"/>
      <c r="AD192"/>
      <c r="AE192"/>
    </row>
    <row r="193" spans="3:31" x14ac:dyDescent="0.2">
      <c r="C193" s="10"/>
      <c r="D193" s="10"/>
      <c r="O193"/>
      <c r="Q193"/>
      <c r="S193"/>
      <c r="Z193"/>
      <c r="AB193"/>
      <c r="AD193"/>
      <c r="AE193"/>
    </row>
    <row r="194" spans="3:31" x14ac:dyDescent="0.2">
      <c r="C194" s="10"/>
      <c r="D194" s="10"/>
      <c r="O194"/>
      <c r="Q194"/>
      <c r="S194"/>
      <c r="Z194"/>
      <c r="AB194"/>
      <c r="AD194"/>
      <c r="AE194"/>
    </row>
    <row r="195" spans="3:31" x14ac:dyDescent="0.2">
      <c r="C195" s="10"/>
      <c r="D195" s="10"/>
      <c r="O195"/>
      <c r="Q195"/>
      <c r="S195"/>
      <c r="Z195"/>
      <c r="AB195"/>
      <c r="AD195"/>
      <c r="AE195"/>
    </row>
    <row r="196" spans="3:31" x14ac:dyDescent="0.2">
      <c r="C196" s="10"/>
      <c r="D196" s="10"/>
      <c r="O196"/>
      <c r="Q196"/>
      <c r="S196"/>
      <c r="Z196"/>
      <c r="AB196"/>
      <c r="AD196"/>
      <c r="AE196"/>
    </row>
    <row r="197" spans="3:31" x14ac:dyDescent="0.2">
      <c r="C197" s="10"/>
      <c r="D197" s="10"/>
      <c r="O197"/>
      <c r="Q197"/>
      <c r="S197"/>
      <c r="Z197"/>
      <c r="AB197"/>
      <c r="AD197"/>
      <c r="AE197"/>
    </row>
    <row r="198" spans="3:31" x14ac:dyDescent="0.2">
      <c r="C198" s="10"/>
      <c r="D198" s="10"/>
      <c r="O198"/>
      <c r="Q198"/>
      <c r="S198"/>
      <c r="Z198"/>
      <c r="AB198"/>
      <c r="AD198"/>
      <c r="AE198"/>
    </row>
    <row r="199" spans="3:31" x14ac:dyDescent="0.2">
      <c r="C199" s="10"/>
      <c r="D199" s="10"/>
      <c r="O199"/>
      <c r="Q199"/>
      <c r="S199"/>
      <c r="Z199"/>
      <c r="AB199"/>
      <c r="AD199"/>
      <c r="AE199"/>
    </row>
    <row r="200" spans="3:31" x14ac:dyDescent="0.2">
      <c r="C200" s="10"/>
      <c r="D200" s="10"/>
      <c r="O200"/>
      <c r="Q200"/>
      <c r="S200"/>
      <c r="Z200"/>
      <c r="AB200"/>
      <c r="AD200"/>
      <c r="AE200"/>
    </row>
    <row r="201" spans="3:31" x14ac:dyDescent="0.2">
      <c r="C201" s="10"/>
      <c r="D201" s="10"/>
      <c r="O201"/>
      <c r="Q201"/>
      <c r="S201"/>
      <c r="Z201"/>
      <c r="AB201"/>
      <c r="AD201"/>
      <c r="AE201"/>
    </row>
    <row r="202" spans="3:31" x14ac:dyDescent="0.2">
      <c r="C202" s="10"/>
      <c r="D202" s="10"/>
      <c r="O202"/>
      <c r="Q202"/>
      <c r="S202"/>
      <c r="Z202"/>
      <c r="AB202"/>
      <c r="AD202"/>
      <c r="AE202"/>
    </row>
    <row r="203" spans="3:31" x14ac:dyDescent="0.2">
      <c r="C203" s="10"/>
      <c r="D203" s="10"/>
      <c r="O203"/>
      <c r="Q203"/>
      <c r="S203"/>
      <c r="Z203"/>
      <c r="AB203"/>
      <c r="AD203"/>
      <c r="AE203"/>
    </row>
    <row r="204" spans="3:31" x14ac:dyDescent="0.2">
      <c r="C204" s="10"/>
      <c r="D204" s="10"/>
      <c r="O204"/>
      <c r="Q204"/>
      <c r="S204"/>
      <c r="Z204"/>
      <c r="AB204"/>
      <c r="AD204"/>
      <c r="AE204"/>
    </row>
    <row r="205" spans="3:31" x14ac:dyDescent="0.2">
      <c r="C205" s="10"/>
      <c r="D205" s="10"/>
      <c r="O205"/>
      <c r="Q205"/>
      <c r="S205"/>
      <c r="Z205"/>
      <c r="AB205"/>
      <c r="AD205"/>
      <c r="AE205"/>
    </row>
    <row r="206" spans="3:31" x14ac:dyDescent="0.2">
      <c r="C206" s="10"/>
      <c r="D206" s="10"/>
      <c r="O206"/>
      <c r="Q206"/>
      <c r="S206"/>
      <c r="Z206"/>
      <c r="AB206"/>
      <c r="AD206"/>
      <c r="AE206"/>
    </row>
    <row r="207" spans="3:31" x14ac:dyDescent="0.2">
      <c r="C207" s="10"/>
      <c r="D207" s="10"/>
      <c r="O207"/>
      <c r="Q207"/>
      <c r="S207"/>
      <c r="Z207"/>
      <c r="AB207"/>
      <c r="AD207"/>
      <c r="AE207"/>
    </row>
    <row r="208" spans="3:31" x14ac:dyDescent="0.2">
      <c r="C208" s="10"/>
      <c r="D208" s="10"/>
      <c r="O208"/>
      <c r="Q208"/>
      <c r="S208"/>
      <c r="Z208"/>
      <c r="AB208"/>
      <c r="AD208"/>
      <c r="AE208"/>
    </row>
    <row r="209" spans="3:31" x14ac:dyDescent="0.2">
      <c r="C209" s="10"/>
      <c r="D209" s="10"/>
      <c r="O209"/>
      <c r="Q209"/>
      <c r="S209"/>
      <c r="Z209"/>
      <c r="AB209"/>
      <c r="AD209"/>
      <c r="AE209"/>
    </row>
    <row r="210" spans="3:31" x14ac:dyDescent="0.2">
      <c r="C210" s="10"/>
      <c r="D210" s="10"/>
      <c r="O210"/>
      <c r="Q210"/>
      <c r="S210"/>
      <c r="Z210"/>
      <c r="AB210"/>
      <c r="AD210"/>
      <c r="AE210"/>
    </row>
    <row r="211" spans="3:31" x14ac:dyDescent="0.2">
      <c r="C211" s="10"/>
      <c r="D211" s="10"/>
      <c r="O211"/>
      <c r="Q211"/>
      <c r="S211"/>
      <c r="Z211"/>
      <c r="AB211"/>
      <c r="AD211"/>
      <c r="AE211"/>
    </row>
    <row r="212" spans="3:31" x14ac:dyDescent="0.2">
      <c r="C212" s="10"/>
      <c r="D212" s="10"/>
      <c r="O212"/>
      <c r="Q212"/>
      <c r="S212"/>
      <c r="Z212"/>
      <c r="AB212"/>
      <c r="AD212"/>
      <c r="AE212"/>
    </row>
    <row r="213" spans="3:31" x14ac:dyDescent="0.2">
      <c r="C213" s="10"/>
      <c r="D213" s="10"/>
      <c r="O213"/>
      <c r="Q213"/>
      <c r="S213"/>
      <c r="Z213"/>
      <c r="AB213"/>
      <c r="AD213"/>
      <c r="AE213"/>
    </row>
    <row r="214" spans="3:31" x14ac:dyDescent="0.2">
      <c r="C214" s="10"/>
      <c r="D214" s="10"/>
      <c r="O214"/>
      <c r="Q214"/>
      <c r="S214"/>
      <c r="Z214"/>
      <c r="AB214"/>
      <c r="AD214"/>
      <c r="AE214"/>
    </row>
    <row r="215" spans="3:31" x14ac:dyDescent="0.2">
      <c r="C215" s="10"/>
      <c r="D215" s="10"/>
      <c r="O215"/>
      <c r="Q215"/>
      <c r="S215"/>
      <c r="Z215"/>
      <c r="AB215"/>
      <c r="AD215"/>
      <c r="AE215"/>
    </row>
    <row r="216" spans="3:31" x14ac:dyDescent="0.2">
      <c r="C216" s="10"/>
      <c r="D216" s="10"/>
      <c r="O216"/>
      <c r="Q216"/>
      <c r="S216"/>
      <c r="Z216"/>
      <c r="AB216"/>
      <c r="AD216"/>
      <c r="AE216"/>
    </row>
    <row r="217" spans="3:31" x14ac:dyDescent="0.2">
      <c r="C217" s="10"/>
      <c r="D217" s="10"/>
      <c r="O217"/>
      <c r="Q217"/>
      <c r="S217"/>
      <c r="Z217"/>
      <c r="AB217"/>
      <c r="AD217"/>
      <c r="AE217"/>
    </row>
    <row r="218" spans="3:31" x14ac:dyDescent="0.2">
      <c r="C218" s="10"/>
      <c r="D218" s="10"/>
      <c r="O218"/>
      <c r="Q218"/>
      <c r="S218"/>
      <c r="Z218"/>
      <c r="AB218"/>
      <c r="AD218"/>
      <c r="AE218"/>
    </row>
    <row r="219" spans="3:31" x14ac:dyDescent="0.2">
      <c r="C219" s="10"/>
      <c r="D219" s="10"/>
      <c r="O219"/>
      <c r="Q219"/>
      <c r="S219"/>
      <c r="Z219"/>
      <c r="AB219"/>
      <c r="AD219"/>
      <c r="AE219"/>
    </row>
    <row r="220" spans="3:31" x14ac:dyDescent="0.2">
      <c r="C220" s="10"/>
      <c r="D220" s="10"/>
      <c r="O220"/>
      <c r="Q220"/>
      <c r="S220"/>
      <c r="Z220"/>
      <c r="AB220"/>
      <c r="AD220"/>
      <c r="AE220"/>
    </row>
    <row r="221" spans="3:31" x14ac:dyDescent="0.2">
      <c r="C221" s="10"/>
      <c r="D221" s="10"/>
      <c r="O221"/>
      <c r="Q221"/>
      <c r="S221"/>
      <c r="Z221"/>
      <c r="AB221"/>
      <c r="AD221"/>
      <c r="AE221"/>
    </row>
    <row r="222" spans="3:31" x14ac:dyDescent="0.2">
      <c r="C222" s="10"/>
      <c r="D222" s="10"/>
      <c r="O222"/>
      <c r="Q222"/>
      <c r="S222"/>
      <c r="Z222"/>
      <c r="AB222"/>
      <c r="AD222"/>
      <c r="AE222"/>
    </row>
    <row r="223" spans="3:31" x14ac:dyDescent="0.2">
      <c r="C223" s="10"/>
      <c r="D223" s="10"/>
      <c r="O223"/>
      <c r="Q223"/>
      <c r="S223"/>
      <c r="Z223"/>
      <c r="AB223"/>
      <c r="AD223"/>
      <c r="AE223"/>
    </row>
    <row r="224" spans="3:31" x14ac:dyDescent="0.2">
      <c r="C224" s="10"/>
      <c r="D224" s="10"/>
      <c r="O224"/>
      <c r="Q224"/>
      <c r="S224"/>
      <c r="Z224"/>
      <c r="AB224"/>
      <c r="AD224"/>
      <c r="AE224"/>
    </row>
    <row r="225" spans="3:31" x14ac:dyDescent="0.2">
      <c r="C225" s="10"/>
      <c r="D225" s="10"/>
      <c r="O225"/>
      <c r="Q225"/>
      <c r="S225"/>
      <c r="Z225"/>
      <c r="AB225"/>
      <c r="AD225"/>
      <c r="AE225"/>
    </row>
    <row r="226" spans="3:31" x14ac:dyDescent="0.2">
      <c r="C226" s="10"/>
      <c r="D226" s="10"/>
      <c r="O226"/>
      <c r="Q226"/>
      <c r="S226"/>
      <c r="Z226"/>
      <c r="AB226"/>
      <c r="AD226"/>
      <c r="AE226"/>
    </row>
    <row r="227" spans="3:31" x14ac:dyDescent="0.2">
      <c r="C227" s="10"/>
      <c r="D227" s="10"/>
      <c r="O227"/>
      <c r="Q227"/>
      <c r="S227"/>
      <c r="Z227"/>
      <c r="AB227"/>
      <c r="AD227"/>
      <c r="AE227"/>
    </row>
    <row r="228" spans="3:31" x14ac:dyDescent="0.2">
      <c r="C228" s="10"/>
      <c r="D228" s="10"/>
      <c r="O228"/>
      <c r="Q228"/>
      <c r="S228"/>
      <c r="Z228"/>
      <c r="AB228"/>
      <c r="AD228"/>
      <c r="AE228"/>
    </row>
    <row r="229" spans="3:31" x14ac:dyDescent="0.2">
      <c r="C229" s="10"/>
      <c r="D229" s="10"/>
      <c r="O229"/>
      <c r="Q229"/>
      <c r="S229"/>
      <c r="Z229"/>
      <c r="AB229"/>
      <c r="AD229"/>
      <c r="AE229"/>
    </row>
    <row r="230" spans="3:31" x14ac:dyDescent="0.2">
      <c r="C230" s="10"/>
      <c r="D230" s="10"/>
      <c r="O230"/>
      <c r="Q230"/>
      <c r="S230"/>
      <c r="Z230"/>
      <c r="AB230"/>
      <c r="AD230"/>
      <c r="AE230"/>
    </row>
    <row r="231" spans="3:31" x14ac:dyDescent="0.2">
      <c r="C231" s="10"/>
      <c r="D231" s="10"/>
      <c r="O231"/>
      <c r="Q231"/>
      <c r="S231"/>
      <c r="Z231"/>
      <c r="AB231"/>
      <c r="AD231"/>
      <c r="AE231"/>
    </row>
    <row r="232" spans="3:31" x14ac:dyDescent="0.2">
      <c r="C232" s="10"/>
      <c r="D232" s="10"/>
      <c r="O232"/>
      <c r="Q232"/>
      <c r="S232"/>
      <c r="Z232"/>
      <c r="AB232"/>
      <c r="AD232"/>
      <c r="AE232"/>
    </row>
    <row r="233" spans="3:31" x14ac:dyDescent="0.2">
      <c r="C233" s="10"/>
      <c r="D233" s="10"/>
      <c r="O233"/>
      <c r="Q233"/>
      <c r="S233"/>
      <c r="Z233"/>
      <c r="AB233"/>
      <c r="AD233"/>
      <c r="AE233"/>
    </row>
    <row r="234" spans="3:31" x14ac:dyDescent="0.2">
      <c r="C234" s="10"/>
      <c r="D234" s="10"/>
      <c r="O234"/>
      <c r="Q234"/>
      <c r="S234"/>
      <c r="Z234"/>
      <c r="AB234"/>
      <c r="AD234"/>
      <c r="AE234"/>
    </row>
    <row r="235" spans="3:31" x14ac:dyDescent="0.2">
      <c r="C235" s="10"/>
      <c r="D235" s="10"/>
      <c r="O235"/>
      <c r="Q235"/>
      <c r="S235"/>
      <c r="Z235"/>
      <c r="AB235"/>
      <c r="AD235"/>
      <c r="AE235"/>
    </row>
    <row r="236" spans="3:31" x14ac:dyDescent="0.2">
      <c r="C236" s="10"/>
      <c r="D236" s="10"/>
      <c r="O236"/>
      <c r="Q236"/>
      <c r="S236"/>
      <c r="Z236"/>
      <c r="AB236"/>
      <c r="AD236"/>
      <c r="AE236"/>
    </row>
    <row r="237" spans="3:31" x14ac:dyDescent="0.2">
      <c r="C237" s="10"/>
      <c r="D237" s="10"/>
      <c r="O237"/>
      <c r="Q237"/>
      <c r="S237"/>
      <c r="Z237"/>
      <c r="AB237"/>
      <c r="AD237"/>
      <c r="AE237"/>
    </row>
    <row r="238" spans="3:31" x14ac:dyDescent="0.2">
      <c r="C238" s="10"/>
      <c r="D238" s="10"/>
      <c r="O238"/>
      <c r="Q238"/>
      <c r="S238"/>
      <c r="Z238"/>
      <c r="AB238"/>
      <c r="AD238"/>
      <c r="AE238"/>
    </row>
    <row r="239" spans="3:31" x14ac:dyDescent="0.2">
      <c r="C239" s="10"/>
      <c r="D239" s="10"/>
      <c r="O239"/>
      <c r="Q239"/>
      <c r="S239"/>
      <c r="Z239"/>
      <c r="AB239"/>
      <c r="AD239"/>
      <c r="AE239"/>
    </row>
    <row r="240" spans="3:31" x14ac:dyDescent="0.2">
      <c r="C240" s="10"/>
      <c r="D240" s="10"/>
      <c r="O240"/>
      <c r="Q240"/>
      <c r="S240"/>
      <c r="Z240"/>
      <c r="AB240"/>
      <c r="AD240"/>
      <c r="AE240"/>
    </row>
    <row r="241" spans="3:31" x14ac:dyDescent="0.2">
      <c r="C241" s="10"/>
      <c r="D241" s="10"/>
      <c r="O241"/>
      <c r="Q241"/>
      <c r="S241"/>
      <c r="Z241"/>
      <c r="AB241"/>
      <c r="AD241"/>
      <c r="AE241"/>
    </row>
    <row r="242" spans="3:31" x14ac:dyDescent="0.2">
      <c r="C242" s="10"/>
      <c r="D242" s="10"/>
      <c r="O242"/>
      <c r="Q242"/>
      <c r="S242"/>
      <c r="Z242"/>
      <c r="AB242"/>
      <c r="AD242"/>
      <c r="AE242"/>
    </row>
    <row r="243" spans="3:31" x14ac:dyDescent="0.2">
      <c r="C243" s="10"/>
      <c r="D243" s="10"/>
      <c r="O243"/>
      <c r="Q243"/>
      <c r="S243"/>
      <c r="Z243"/>
      <c r="AB243"/>
      <c r="AD243"/>
      <c r="AE243"/>
    </row>
    <row r="244" spans="3:31" x14ac:dyDescent="0.2">
      <c r="C244" s="10"/>
      <c r="D244" s="10"/>
      <c r="O244"/>
      <c r="Q244"/>
      <c r="S244"/>
      <c r="Z244"/>
      <c r="AB244"/>
      <c r="AD244"/>
      <c r="AE244"/>
    </row>
    <row r="245" spans="3:31" x14ac:dyDescent="0.2">
      <c r="C245" s="10"/>
      <c r="D245" s="10"/>
      <c r="O245"/>
      <c r="Q245"/>
      <c r="S245"/>
      <c r="Z245"/>
      <c r="AB245"/>
      <c r="AD245"/>
      <c r="AE245"/>
    </row>
    <row r="246" spans="3:31" x14ac:dyDescent="0.2">
      <c r="C246" s="10"/>
      <c r="D246" s="10"/>
      <c r="O246"/>
      <c r="Q246"/>
      <c r="S246"/>
      <c r="Z246"/>
      <c r="AB246"/>
      <c r="AD246"/>
      <c r="AE246"/>
    </row>
    <row r="247" spans="3:31" x14ac:dyDescent="0.2">
      <c r="C247" s="10"/>
      <c r="D247" s="10"/>
      <c r="O247"/>
      <c r="Q247"/>
      <c r="S247"/>
      <c r="Z247"/>
      <c r="AB247"/>
      <c r="AD247"/>
      <c r="AE247"/>
    </row>
    <row r="248" spans="3:31" x14ac:dyDescent="0.2">
      <c r="C248" s="10"/>
      <c r="D248" s="10"/>
      <c r="O248"/>
      <c r="Q248"/>
      <c r="S248"/>
      <c r="Z248"/>
      <c r="AB248"/>
      <c r="AD248"/>
      <c r="AE248"/>
    </row>
    <row r="249" spans="3:31" x14ac:dyDescent="0.2">
      <c r="C249" s="10"/>
      <c r="D249" s="10"/>
      <c r="O249"/>
      <c r="Q249"/>
      <c r="S249"/>
      <c r="Z249"/>
      <c r="AB249"/>
      <c r="AD249"/>
      <c r="AE249"/>
    </row>
    <row r="250" spans="3:31" x14ac:dyDescent="0.2">
      <c r="C250" s="10"/>
      <c r="D250" s="10"/>
      <c r="O250"/>
      <c r="Q250"/>
      <c r="S250"/>
      <c r="Z250"/>
      <c r="AB250"/>
      <c r="AD250"/>
      <c r="AE250"/>
    </row>
    <row r="251" spans="3:31" x14ac:dyDescent="0.2">
      <c r="C251" s="10"/>
      <c r="D251" s="10"/>
      <c r="O251"/>
      <c r="Q251"/>
      <c r="S251"/>
      <c r="Z251"/>
      <c r="AB251"/>
      <c r="AD251"/>
      <c r="AE251"/>
    </row>
    <row r="252" spans="3:31" x14ac:dyDescent="0.2">
      <c r="C252" s="10"/>
      <c r="D252" s="10"/>
      <c r="O252"/>
      <c r="Q252"/>
      <c r="S252"/>
      <c r="Z252"/>
      <c r="AB252"/>
      <c r="AD252"/>
      <c r="AE252"/>
    </row>
    <row r="253" spans="3:31" x14ac:dyDescent="0.2">
      <c r="C253" s="10"/>
      <c r="D253" s="10"/>
      <c r="O253"/>
      <c r="Q253"/>
      <c r="S253"/>
      <c r="Z253"/>
      <c r="AB253"/>
      <c r="AD253"/>
      <c r="AE253"/>
    </row>
    <row r="254" spans="3:31" x14ac:dyDescent="0.2">
      <c r="C254" s="10"/>
      <c r="D254" s="10"/>
      <c r="O254"/>
      <c r="Q254"/>
      <c r="S254"/>
      <c r="Z254"/>
      <c r="AB254"/>
      <c r="AD254"/>
      <c r="AE254"/>
    </row>
    <row r="255" spans="3:31" x14ac:dyDescent="0.2">
      <c r="C255" s="10"/>
      <c r="D255" s="10"/>
      <c r="O255"/>
      <c r="Q255"/>
      <c r="S255"/>
      <c r="Z255"/>
      <c r="AB255"/>
      <c r="AD255"/>
      <c r="AE255"/>
    </row>
    <row r="256" spans="3:31" x14ac:dyDescent="0.2">
      <c r="C256" s="10"/>
      <c r="D256" s="10"/>
      <c r="O256"/>
      <c r="Q256"/>
      <c r="S256"/>
      <c r="Z256"/>
      <c r="AB256"/>
      <c r="AD256"/>
      <c r="AE256"/>
    </row>
    <row r="257" spans="3:31" x14ac:dyDescent="0.2">
      <c r="C257" s="10"/>
      <c r="D257" s="10"/>
      <c r="O257"/>
      <c r="Q257"/>
      <c r="S257"/>
      <c r="Z257"/>
      <c r="AB257"/>
      <c r="AD257"/>
      <c r="AE257"/>
    </row>
    <row r="258" spans="3:31" x14ac:dyDescent="0.2">
      <c r="C258" s="10"/>
      <c r="D258" s="10"/>
      <c r="O258"/>
      <c r="Q258"/>
      <c r="S258"/>
      <c r="Z258"/>
      <c r="AB258"/>
      <c r="AD258"/>
      <c r="AE258"/>
    </row>
    <row r="259" spans="3:31" x14ac:dyDescent="0.2">
      <c r="C259" s="10"/>
      <c r="D259" s="10"/>
      <c r="O259"/>
      <c r="Q259"/>
      <c r="S259"/>
      <c r="Z259"/>
      <c r="AB259"/>
      <c r="AD259"/>
      <c r="AE259"/>
    </row>
    <row r="260" spans="3:31" x14ac:dyDescent="0.2">
      <c r="C260" s="10"/>
      <c r="D260" s="10"/>
      <c r="O260"/>
      <c r="Q260"/>
      <c r="S260"/>
      <c r="Z260"/>
      <c r="AB260"/>
      <c r="AD260"/>
      <c r="AE260"/>
    </row>
    <row r="261" spans="3:31" x14ac:dyDescent="0.2">
      <c r="C261" s="10"/>
      <c r="D261" s="10"/>
      <c r="O261"/>
      <c r="Q261"/>
      <c r="S261"/>
      <c r="Z261"/>
      <c r="AB261"/>
      <c r="AD261"/>
      <c r="AE261"/>
    </row>
    <row r="262" spans="3:31" x14ac:dyDescent="0.2">
      <c r="C262" s="10"/>
      <c r="D262" s="10"/>
      <c r="O262"/>
      <c r="Q262"/>
      <c r="S262"/>
      <c r="Z262"/>
      <c r="AB262"/>
      <c r="AD262"/>
      <c r="AE262"/>
    </row>
    <row r="263" spans="3:31" x14ac:dyDescent="0.2">
      <c r="C263" s="10"/>
      <c r="D263" s="10"/>
      <c r="O263"/>
      <c r="Q263"/>
      <c r="S263"/>
      <c r="Z263"/>
      <c r="AB263"/>
      <c r="AD263"/>
      <c r="AE263"/>
    </row>
    <row r="264" spans="3:31" x14ac:dyDescent="0.2">
      <c r="C264" s="10"/>
      <c r="D264" s="10"/>
      <c r="O264"/>
      <c r="Q264"/>
      <c r="S264"/>
      <c r="Z264"/>
      <c r="AB264"/>
      <c r="AD264"/>
      <c r="AE264"/>
    </row>
    <row r="265" spans="3:31" x14ac:dyDescent="0.2">
      <c r="C265" s="10"/>
      <c r="D265" s="10"/>
      <c r="O265"/>
      <c r="Q265"/>
      <c r="S265"/>
      <c r="Z265"/>
      <c r="AB265"/>
      <c r="AD265"/>
      <c r="AE265"/>
    </row>
    <row r="266" spans="3:31" x14ac:dyDescent="0.2">
      <c r="C266" s="10"/>
      <c r="D266" s="10"/>
      <c r="O266"/>
      <c r="Q266"/>
      <c r="S266"/>
      <c r="Z266"/>
      <c r="AB266"/>
      <c r="AD266"/>
      <c r="AE266"/>
    </row>
    <row r="267" spans="3:31" x14ac:dyDescent="0.2">
      <c r="C267" s="10"/>
      <c r="D267" s="10"/>
      <c r="O267"/>
      <c r="Q267"/>
      <c r="S267"/>
      <c r="Z267"/>
      <c r="AB267"/>
      <c r="AD267"/>
      <c r="AE267"/>
    </row>
    <row r="268" spans="3:31" x14ac:dyDescent="0.2">
      <c r="C268" s="10"/>
      <c r="D268" s="10"/>
      <c r="O268"/>
      <c r="Q268"/>
      <c r="S268"/>
      <c r="Z268"/>
      <c r="AB268"/>
      <c r="AD268"/>
      <c r="AE268"/>
    </row>
    <row r="269" spans="3:31" x14ac:dyDescent="0.2">
      <c r="C269" s="10"/>
      <c r="D269" s="10"/>
      <c r="O269"/>
      <c r="Q269"/>
      <c r="S269"/>
      <c r="Z269"/>
      <c r="AB269"/>
      <c r="AD269"/>
      <c r="AE269"/>
    </row>
    <row r="270" spans="3:31" x14ac:dyDescent="0.2">
      <c r="C270" s="10"/>
      <c r="D270" s="10"/>
      <c r="O270"/>
      <c r="Q270"/>
      <c r="S270"/>
      <c r="Z270"/>
      <c r="AB270"/>
      <c r="AD270"/>
      <c r="AE270"/>
    </row>
    <row r="271" spans="3:31" x14ac:dyDescent="0.2">
      <c r="C271" s="10"/>
      <c r="D271" s="10"/>
      <c r="O271"/>
      <c r="Q271"/>
      <c r="S271"/>
      <c r="Z271"/>
      <c r="AB271"/>
      <c r="AD271"/>
      <c r="AE271"/>
    </row>
    <row r="272" spans="3:31" x14ac:dyDescent="0.2">
      <c r="C272" s="10"/>
      <c r="D272" s="10"/>
      <c r="O272"/>
      <c r="Q272"/>
      <c r="S272"/>
      <c r="Z272"/>
      <c r="AB272"/>
      <c r="AD272"/>
      <c r="AE272"/>
    </row>
    <row r="273" spans="3:31" x14ac:dyDescent="0.2">
      <c r="C273" s="10"/>
      <c r="D273" s="10"/>
      <c r="O273"/>
      <c r="Q273"/>
      <c r="S273"/>
      <c r="Z273"/>
      <c r="AB273"/>
      <c r="AD273"/>
      <c r="AE273"/>
    </row>
    <row r="274" spans="3:31" x14ac:dyDescent="0.2">
      <c r="C274" s="10"/>
      <c r="D274" s="10"/>
      <c r="O274"/>
      <c r="Q274"/>
      <c r="S274"/>
      <c r="Z274"/>
      <c r="AB274"/>
      <c r="AD274"/>
      <c r="AE274"/>
    </row>
    <row r="275" spans="3:31" x14ac:dyDescent="0.2">
      <c r="C275" s="10"/>
      <c r="D275" s="10"/>
      <c r="O275"/>
      <c r="Q275"/>
      <c r="S275"/>
      <c r="Z275"/>
      <c r="AB275"/>
      <c r="AD275"/>
      <c r="AE275"/>
    </row>
    <row r="276" spans="3:31" x14ac:dyDescent="0.2">
      <c r="C276" s="10"/>
      <c r="D276" s="10"/>
      <c r="O276"/>
      <c r="Q276"/>
      <c r="S276"/>
      <c r="Z276"/>
      <c r="AB276"/>
      <c r="AD276"/>
      <c r="AE276"/>
    </row>
    <row r="277" spans="3:31" x14ac:dyDescent="0.2">
      <c r="C277" s="10"/>
      <c r="D277" s="10"/>
      <c r="O277"/>
      <c r="Q277"/>
      <c r="S277"/>
      <c r="Z277"/>
      <c r="AB277"/>
      <c r="AD277"/>
      <c r="AE277"/>
    </row>
    <row r="278" spans="3:31" x14ac:dyDescent="0.2">
      <c r="C278" s="10"/>
      <c r="D278" s="10"/>
      <c r="O278"/>
      <c r="Q278"/>
      <c r="S278"/>
      <c r="Z278"/>
      <c r="AB278"/>
      <c r="AD278"/>
      <c r="AE278"/>
    </row>
    <row r="279" spans="3:31" x14ac:dyDescent="0.2">
      <c r="C279" s="10"/>
      <c r="D279" s="10"/>
      <c r="O279"/>
      <c r="Q279"/>
      <c r="S279"/>
      <c r="Z279"/>
      <c r="AB279"/>
      <c r="AD279"/>
      <c r="AE279"/>
    </row>
    <row r="280" spans="3:31" x14ac:dyDescent="0.2">
      <c r="C280" s="10"/>
      <c r="D280" s="10"/>
      <c r="O280"/>
      <c r="Q280"/>
      <c r="S280"/>
      <c r="Z280"/>
      <c r="AB280"/>
      <c r="AD280"/>
      <c r="AE280"/>
    </row>
    <row r="281" spans="3:31" x14ac:dyDescent="0.2">
      <c r="C281" s="10"/>
      <c r="D281" s="10"/>
      <c r="O281"/>
      <c r="Q281"/>
      <c r="S281"/>
      <c r="Z281"/>
      <c r="AB281"/>
      <c r="AD281"/>
      <c r="AE281"/>
    </row>
    <row r="282" spans="3:31" x14ac:dyDescent="0.2">
      <c r="C282" s="10"/>
      <c r="D282" s="10"/>
      <c r="O282"/>
      <c r="Q282"/>
      <c r="S282"/>
      <c r="Z282"/>
      <c r="AB282"/>
      <c r="AD282"/>
      <c r="AE282"/>
    </row>
    <row r="283" spans="3:31" x14ac:dyDescent="0.2">
      <c r="C283" s="10"/>
      <c r="D283" s="10"/>
      <c r="O283"/>
      <c r="Q283"/>
      <c r="S283"/>
      <c r="Z283"/>
      <c r="AB283"/>
      <c r="AD283"/>
      <c r="AE283"/>
    </row>
    <row r="284" spans="3:31" x14ac:dyDescent="0.2">
      <c r="C284" s="10"/>
      <c r="D284" s="10"/>
      <c r="O284"/>
      <c r="Q284"/>
      <c r="S284"/>
      <c r="Z284"/>
      <c r="AB284"/>
      <c r="AD284"/>
      <c r="AE284"/>
    </row>
    <row r="285" spans="3:31" x14ac:dyDescent="0.2">
      <c r="C285" s="10"/>
      <c r="D285" s="10"/>
      <c r="O285"/>
      <c r="Q285"/>
      <c r="S285"/>
      <c r="Z285"/>
      <c r="AB285"/>
      <c r="AD285"/>
      <c r="AE285"/>
    </row>
    <row r="286" spans="3:31" x14ac:dyDescent="0.2">
      <c r="C286" s="10"/>
      <c r="D286" s="10"/>
      <c r="O286"/>
      <c r="Q286"/>
      <c r="S286"/>
      <c r="Z286"/>
      <c r="AB286"/>
      <c r="AD286"/>
      <c r="AE286"/>
    </row>
    <row r="287" spans="3:31" x14ac:dyDescent="0.2">
      <c r="C287" s="10"/>
      <c r="D287" s="10"/>
      <c r="O287"/>
      <c r="Q287"/>
      <c r="S287"/>
      <c r="Z287"/>
      <c r="AB287"/>
      <c r="AD287"/>
      <c r="AE287"/>
    </row>
    <row r="288" spans="3:31" x14ac:dyDescent="0.2">
      <c r="C288" s="10"/>
      <c r="D288" s="10"/>
      <c r="O288"/>
      <c r="Q288"/>
      <c r="S288"/>
      <c r="Z288"/>
      <c r="AB288"/>
      <c r="AD288"/>
      <c r="AE288"/>
    </row>
    <row r="289" spans="3:31" x14ac:dyDescent="0.2">
      <c r="C289" s="10"/>
      <c r="D289" s="10"/>
      <c r="O289"/>
      <c r="Q289"/>
      <c r="S289"/>
      <c r="Z289"/>
      <c r="AB289"/>
      <c r="AD289"/>
      <c r="AE289"/>
    </row>
    <row r="290" spans="3:31" x14ac:dyDescent="0.2">
      <c r="C290" s="10"/>
      <c r="D290" s="10"/>
      <c r="O290"/>
      <c r="Q290"/>
      <c r="S290"/>
      <c r="Z290"/>
      <c r="AB290"/>
      <c r="AD290"/>
      <c r="AE290"/>
    </row>
    <row r="291" spans="3:31" x14ac:dyDescent="0.2">
      <c r="C291" s="10"/>
      <c r="D291" s="10"/>
      <c r="O291"/>
      <c r="Q291"/>
      <c r="S291"/>
      <c r="Z291"/>
      <c r="AB291"/>
      <c r="AD291"/>
      <c r="AE291"/>
    </row>
    <row r="292" spans="3:31" x14ac:dyDescent="0.2">
      <c r="C292" s="10"/>
      <c r="D292" s="10"/>
      <c r="O292"/>
      <c r="Q292"/>
      <c r="S292"/>
      <c r="Z292"/>
      <c r="AB292"/>
      <c r="AD292"/>
      <c r="AE292"/>
    </row>
    <row r="293" spans="3:31" x14ac:dyDescent="0.2">
      <c r="C293" s="10"/>
      <c r="D293" s="10"/>
      <c r="O293"/>
      <c r="Q293"/>
      <c r="S293"/>
      <c r="Z293"/>
      <c r="AB293"/>
      <c r="AD293"/>
      <c r="AE293"/>
    </row>
    <row r="294" spans="3:31" x14ac:dyDescent="0.2">
      <c r="C294" s="10"/>
      <c r="D294" s="10"/>
      <c r="O294"/>
      <c r="Q294"/>
      <c r="S294"/>
      <c r="Z294"/>
      <c r="AB294"/>
      <c r="AD294"/>
      <c r="AE294"/>
    </row>
    <row r="295" spans="3:31" x14ac:dyDescent="0.2">
      <c r="C295" s="10"/>
      <c r="D295" s="10"/>
      <c r="O295"/>
      <c r="Q295"/>
      <c r="S295"/>
      <c r="Z295"/>
      <c r="AB295"/>
      <c r="AD295"/>
      <c r="AE295"/>
    </row>
    <row r="296" spans="3:31" x14ac:dyDescent="0.2">
      <c r="C296" s="10"/>
      <c r="D296" s="10"/>
      <c r="O296"/>
      <c r="Q296"/>
      <c r="S296"/>
      <c r="Z296"/>
      <c r="AB296"/>
      <c r="AD296"/>
      <c r="AE296"/>
    </row>
    <row r="297" spans="3:31" x14ac:dyDescent="0.2">
      <c r="C297" s="10"/>
      <c r="D297" s="10"/>
      <c r="O297"/>
      <c r="Q297"/>
      <c r="S297"/>
      <c r="Z297"/>
      <c r="AB297"/>
      <c r="AD297"/>
      <c r="AE297"/>
    </row>
    <row r="298" spans="3:31" x14ac:dyDescent="0.2">
      <c r="C298" s="10"/>
      <c r="D298" s="10"/>
      <c r="O298"/>
      <c r="Q298"/>
      <c r="S298"/>
      <c r="Z298"/>
      <c r="AB298"/>
      <c r="AD298"/>
      <c r="AE298"/>
    </row>
    <row r="299" spans="3:31" x14ac:dyDescent="0.2">
      <c r="C299" s="10"/>
      <c r="D299" s="10"/>
      <c r="O299"/>
      <c r="Q299"/>
      <c r="S299"/>
      <c r="Z299"/>
      <c r="AB299"/>
      <c r="AD299"/>
      <c r="AE299"/>
    </row>
    <row r="300" spans="3:31" x14ac:dyDescent="0.2">
      <c r="C300" s="10"/>
      <c r="D300" s="10"/>
      <c r="O300"/>
      <c r="Q300"/>
      <c r="S300"/>
      <c r="Z300"/>
      <c r="AB300"/>
      <c r="AD300"/>
      <c r="AE300"/>
    </row>
    <row r="301" spans="3:31" x14ac:dyDescent="0.2">
      <c r="C301" s="10"/>
      <c r="D301" s="10"/>
      <c r="O301"/>
      <c r="Q301"/>
      <c r="S301"/>
      <c r="Z301"/>
      <c r="AB301"/>
      <c r="AD301"/>
      <c r="AE301"/>
    </row>
    <row r="302" spans="3:31" x14ac:dyDescent="0.2">
      <c r="C302" s="10"/>
      <c r="D302" s="10"/>
      <c r="O302"/>
      <c r="Q302"/>
      <c r="S302"/>
      <c r="Z302"/>
      <c r="AB302"/>
      <c r="AD302"/>
      <c r="AE302"/>
    </row>
    <row r="303" spans="3:31" x14ac:dyDescent="0.2">
      <c r="C303" s="10"/>
      <c r="D303" s="10"/>
      <c r="O303"/>
      <c r="Q303"/>
      <c r="S303"/>
      <c r="Z303"/>
      <c r="AB303"/>
      <c r="AD303"/>
      <c r="AE303"/>
    </row>
    <row r="304" spans="3:31" x14ac:dyDescent="0.2">
      <c r="C304" s="10"/>
      <c r="D304" s="10"/>
      <c r="O304"/>
      <c r="Q304"/>
      <c r="S304"/>
      <c r="Z304"/>
      <c r="AB304"/>
      <c r="AD304"/>
      <c r="AE304"/>
    </row>
    <row r="305" spans="3:31" x14ac:dyDescent="0.2">
      <c r="C305" s="10"/>
      <c r="D305" s="10"/>
      <c r="O305"/>
      <c r="Q305"/>
      <c r="S305"/>
      <c r="Z305"/>
      <c r="AB305"/>
      <c r="AD305"/>
      <c r="AE305"/>
    </row>
    <row r="306" spans="3:31" x14ac:dyDescent="0.2">
      <c r="C306" s="10"/>
      <c r="D306" s="10"/>
      <c r="O306"/>
      <c r="Q306"/>
      <c r="S306"/>
      <c r="Z306"/>
      <c r="AB306"/>
      <c r="AD306"/>
      <c r="AE306"/>
    </row>
    <row r="307" spans="3:31" x14ac:dyDescent="0.2">
      <c r="C307" s="10"/>
      <c r="D307" s="10"/>
      <c r="O307"/>
      <c r="Q307"/>
      <c r="S307"/>
      <c r="Z307"/>
      <c r="AB307"/>
      <c r="AD307"/>
      <c r="AE307"/>
    </row>
    <row r="308" spans="3:31" x14ac:dyDescent="0.2">
      <c r="C308" s="10"/>
      <c r="D308" s="10"/>
      <c r="O308"/>
      <c r="Q308"/>
      <c r="S308"/>
      <c r="Z308"/>
      <c r="AB308"/>
      <c r="AD308"/>
      <c r="AE308"/>
    </row>
    <row r="309" spans="3:31" x14ac:dyDescent="0.2">
      <c r="C309" s="10"/>
      <c r="D309" s="10"/>
      <c r="O309"/>
      <c r="Q309"/>
      <c r="S309"/>
      <c r="Z309"/>
      <c r="AB309"/>
      <c r="AD309"/>
      <c r="AE309"/>
    </row>
    <row r="310" spans="3:31" x14ac:dyDescent="0.2">
      <c r="C310" s="10"/>
      <c r="D310" s="10"/>
      <c r="O310"/>
      <c r="Q310"/>
      <c r="S310"/>
      <c r="Z310"/>
      <c r="AB310"/>
      <c r="AD310"/>
      <c r="AE310"/>
    </row>
    <row r="311" spans="3:31" x14ac:dyDescent="0.2">
      <c r="C311" s="10"/>
      <c r="D311" s="10"/>
      <c r="O311"/>
      <c r="Q311"/>
      <c r="S311"/>
      <c r="Z311"/>
      <c r="AB311"/>
      <c r="AD311"/>
      <c r="AE311"/>
    </row>
    <row r="312" spans="3:31" x14ac:dyDescent="0.2">
      <c r="C312" s="10"/>
      <c r="D312" s="10"/>
      <c r="O312"/>
      <c r="Q312"/>
      <c r="S312"/>
      <c r="Z312"/>
      <c r="AB312"/>
      <c r="AD312"/>
      <c r="AE312"/>
    </row>
    <row r="313" spans="3:31" x14ac:dyDescent="0.2">
      <c r="C313" s="10"/>
      <c r="D313" s="10"/>
      <c r="O313"/>
      <c r="Q313"/>
      <c r="S313"/>
      <c r="Z313"/>
      <c r="AB313"/>
      <c r="AD313"/>
      <c r="AE313"/>
    </row>
    <row r="314" spans="3:31" x14ac:dyDescent="0.2">
      <c r="C314" s="10"/>
      <c r="D314" s="10"/>
      <c r="O314"/>
      <c r="Q314"/>
      <c r="S314"/>
      <c r="Z314"/>
      <c r="AB314"/>
      <c r="AD314"/>
      <c r="AE314"/>
    </row>
    <row r="315" spans="3:31" x14ac:dyDescent="0.2">
      <c r="C315" s="10"/>
      <c r="D315" s="10"/>
      <c r="O315"/>
      <c r="Q315"/>
      <c r="S315"/>
      <c r="Z315"/>
      <c r="AB315"/>
      <c r="AD315"/>
      <c r="AE315"/>
    </row>
    <row r="316" spans="3:31" x14ac:dyDescent="0.2">
      <c r="C316" s="10"/>
      <c r="D316" s="10"/>
      <c r="O316"/>
      <c r="Q316"/>
      <c r="S316"/>
      <c r="Z316"/>
      <c r="AB316"/>
      <c r="AD316"/>
      <c r="AE316"/>
    </row>
    <row r="317" spans="3:31" x14ac:dyDescent="0.2">
      <c r="C317" s="10"/>
      <c r="D317" s="10"/>
      <c r="O317"/>
      <c r="Q317"/>
      <c r="S317"/>
      <c r="Z317"/>
      <c r="AB317"/>
      <c r="AD317"/>
      <c r="AE317"/>
    </row>
    <row r="318" spans="3:31" x14ac:dyDescent="0.2">
      <c r="C318" s="10"/>
      <c r="D318" s="10"/>
      <c r="O318"/>
      <c r="Q318"/>
      <c r="S318"/>
      <c r="Z318"/>
      <c r="AB318"/>
      <c r="AD318"/>
      <c r="AE318"/>
    </row>
    <row r="319" spans="3:31" x14ac:dyDescent="0.2">
      <c r="C319" s="10"/>
      <c r="D319" s="10"/>
      <c r="O319"/>
      <c r="Q319"/>
      <c r="S319"/>
      <c r="Z319"/>
      <c r="AB319"/>
      <c r="AD319"/>
      <c r="AE319"/>
    </row>
    <row r="320" spans="3:31" x14ac:dyDescent="0.2">
      <c r="C320" s="10"/>
      <c r="D320" s="10"/>
      <c r="O320"/>
      <c r="Q320"/>
      <c r="S320"/>
      <c r="Z320"/>
      <c r="AB320"/>
      <c r="AD320"/>
      <c r="AE320"/>
    </row>
    <row r="321" spans="3:31" x14ac:dyDescent="0.2">
      <c r="C321" s="10"/>
      <c r="D321" s="10"/>
      <c r="O321"/>
      <c r="Q321"/>
      <c r="S321"/>
      <c r="Z321"/>
      <c r="AB321"/>
      <c r="AD321"/>
      <c r="AE321"/>
    </row>
    <row r="322" spans="3:31" x14ac:dyDescent="0.2">
      <c r="C322" s="10"/>
      <c r="D322" s="10"/>
      <c r="O322"/>
      <c r="Q322"/>
      <c r="S322"/>
      <c r="Z322"/>
      <c r="AB322"/>
      <c r="AD322"/>
      <c r="AE322"/>
    </row>
    <row r="323" spans="3:31" x14ac:dyDescent="0.2">
      <c r="C323" s="10"/>
      <c r="D323" s="10"/>
      <c r="O323"/>
      <c r="Q323"/>
      <c r="S323"/>
      <c r="Z323"/>
      <c r="AB323"/>
      <c r="AD323"/>
      <c r="AE323"/>
    </row>
    <row r="324" spans="3:31" x14ac:dyDescent="0.2">
      <c r="C324" s="10"/>
      <c r="D324" s="10"/>
      <c r="O324"/>
      <c r="Q324"/>
      <c r="S324"/>
      <c r="Z324"/>
      <c r="AB324"/>
      <c r="AD324"/>
      <c r="AE324"/>
    </row>
    <row r="325" spans="3:31" x14ac:dyDescent="0.2">
      <c r="C325" s="10"/>
      <c r="D325" s="10"/>
      <c r="O325"/>
      <c r="Q325"/>
      <c r="S325"/>
      <c r="Z325"/>
      <c r="AB325"/>
      <c r="AD325"/>
      <c r="AE325"/>
    </row>
    <row r="326" spans="3:31" x14ac:dyDescent="0.2">
      <c r="C326" s="10"/>
      <c r="D326" s="10"/>
      <c r="O326"/>
      <c r="Q326"/>
      <c r="S326"/>
      <c r="Z326"/>
      <c r="AB326"/>
      <c r="AD326"/>
      <c r="AE326"/>
    </row>
    <row r="327" spans="3:31" x14ac:dyDescent="0.2">
      <c r="C327" s="10"/>
      <c r="D327" s="10"/>
      <c r="O327"/>
      <c r="Q327"/>
      <c r="S327"/>
      <c r="Z327"/>
      <c r="AB327"/>
      <c r="AD327"/>
      <c r="AE327"/>
    </row>
    <row r="328" spans="3:31" x14ac:dyDescent="0.2">
      <c r="C328" s="10"/>
      <c r="D328" s="10"/>
      <c r="O328"/>
      <c r="Q328"/>
      <c r="S328"/>
      <c r="Z328"/>
      <c r="AB328"/>
      <c r="AD328"/>
      <c r="AE328"/>
    </row>
    <row r="329" spans="3:31" x14ac:dyDescent="0.2">
      <c r="C329" s="10"/>
      <c r="D329" s="10"/>
      <c r="O329"/>
      <c r="Q329"/>
      <c r="S329"/>
      <c r="Z329"/>
      <c r="AB329"/>
      <c r="AD329"/>
      <c r="AE329"/>
    </row>
    <row r="330" spans="3:31" x14ac:dyDescent="0.2">
      <c r="C330" s="10"/>
      <c r="D330" s="10"/>
      <c r="O330"/>
      <c r="Q330"/>
      <c r="S330"/>
      <c r="Z330"/>
      <c r="AB330"/>
      <c r="AD330"/>
      <c r="AE330"/>
    </row>
    <row r="331" spans="3:31" x14ac:dyDescent="0.2">
      <c r="C331" s="10"/>
      <c r="D331" s="10"/>
      <c r="O331"/>
      <c r="Q331"/>
      <c r="S331"/>
      <c r="Z331"/>
      <c r="AB331"/>
      <c r="AD331"/>
      <c r="AE331"/>
    </row>
    <row r="332" spans="3:31" x14ac:dyDescent="0.2">
      <c r="C332" s="10"/>
      <c r="D332" s="10"/>
      <c r="O332"/>
      <c r="Q332"/>
      <c r="S332"/>
      <c r="Z332"/>
      <c r="AB332"/>
      <c r="AD332"/>
      <c r="AE332"/>
    </row>
    <row r="333" spans="3:31" x14ac:dyDescent="0.2">
      <c r="C333" s="10"/>
      <c r="D333" s="10"/>
      <c r="O333"/>
      <c r="Q333"/>
      <c r="S333"/>
      <c r="Z333"/>
      <c r="AB333"/>
      <c r="AD333"/>
      <c r="AE333"/>
    </row>
    <row r="334" spans="3:31" x14ac:dyDescent="0.2">
      <c r="C334" s="10"/>
      <c r="D334" s="10"/>
      <c r="O334"/>
      <c r="Q334"/>
      <c r="S334"/>
      <c r="Z334"/>
      <c r="AB334"/>
      <c r="AD334"/>
      <c r="AE334"/>
    </row>
    <row r="335" spans="3:31" x14ac:dyDescent="0.2">
      <c r="C335" s="10"/>
      <c r="D335" s="10"/>
      <c r="O335"/>
      <c r="Q335"/>
      <c r="S335"/>
      <c r="Z335"/>
      <c r="AB335"/>
      <c r="AD335"/>
      <c r="AE335"/>
    </row>
    <row r="336" spans="3:31" x14ac:dyDescent="0.2">
      <c r="C336" s="10"/>
      <c r="D336" s="10"/>
      <c r="O336"/>
      <c r="Q336"/>
      <c r="S336"/>
      <c r="Z336"/>
      <c r="AB336"/>
      <c r="AD336"/>
      <c r="AE336"/>
    </row>
    <row r="337" spans="3:31" x14ac:dyDescent="0.2">
      <c r="C337" s="10"/>
      <c r="D337" s="10"/>
      <c r="O337"/>
      <c r="Q337"/>
      <c r="S337"/>
      <c r="Z337"/>
      <c r="AB337"/>
      <c r="AD337"/>
      <c r="AE337"/>
    </row>
    <row r="338" spans="3:31" x14ac:dyDescent="0.2">
      <c r="C338" s="10"/>
      <c r="D338" s="10"/>
      <c r="O338"/>
      <c r="Q338"/>
      <c r="S338"/>
      <c r="Z338"/>
      <c r="AB338"/>
      <c r="AD338"/>
      <c r="AE338"/>
    </row>
    <row r="339" spans="3:31" x14ac:dyDescent="0.2">
      <c r="C339" s="10"/>
      <c r="D339" s="10"/>
      <c r="O339"/>
      <c r="Q339"/>
      <c r="S339"/>
      <c r="Z339"/>
      <c r="AB339"/>
      <c r="AD339"/>
      <c r="AE339"/>
    </row>
    <row r="340" spans="3:31" x14ac:dyDescent="0.2">
      <c r="C340" s="10"/>
      <c r="D340" s="10"/>
      <c r="O340"/>
      <c r="Q340"/>
      <c r="S340"/>
      <c r="Z340"/>
      <c r="AB340"/>
      <c r="AD340"/>
      <c r="AE340"/>
    </row>
    <row r="341" spans="3:31" x14ac:dyDescent="0.2">
      <c r="C341" s="10"/>
      <c r="D341" s="10"/>
      <c r="O341"/>
      <c r="Q341"/>
      <c r="S341"/>
      <c r="Z341"/>
      <c r="AB341"/>
      <c r="AD341"/>
      <c r="AE341"/>
    </row>
    <row r="342" spans="3:31" x14ac:dyDescent="0.2">
      <c r="C342" s="10"/>
      <c r="D342" s="10"/>
      <c r="O342"/>
      <c r="Q342"/>
      <c r="S342"/>
      <c r="Z342"/>
      <c r="AB342"/>
      <c r="AD342"/>
      <c r="AE342"/>
    </row>
    <row r="343" spans="3:31" x14ac:dyDescent="0.2">
      <c r="C343" s="10"/>
      <c r="D343" s="10"/>
      <c r="O343"/>
      <c r="Q343"/>
      <c r="S343"/>
      <c r="Z343"/>
      <c r="AB343"/>
      <c r="AD343"/>
      <c r="AE343"/>
    </row>
    <row r="344" spans="3:31" x14ac:dyDescent="0.2">
      <c r="C344" s="10"/>
      <c r="D344" s="10"/>
      <c r="O344"/>
      <c r="Q344"/>
      <c r="S344"/>
      <c r="Z344"/>
      <c r="AB344"/>
      <c r="AD344"/>
      <c r="AE344"/>
    </row>
    <row r="345" spans="3:31" x14ac:dyDescent="0.2">
      <c r="C345" s="10"/>
      <c r="D345" s="10"/>
      <c r="O345"/>
      <c r="Q345"/>
      <c r="S345"/>
      <c r="Z345"/>
      <c r="AB345"/>
      <c r="AD345"/>
      <c r="AE345"/>
    </row>
    <row r="346" spans="3:31" x14ac:dyDescent="0.2">
      <c r="C346" s="10"/>
      <c r="D346" s="10"/>
      <c r="O346"/>
      <c r="Q346"/>
      <c r="S346"/>
      <c r="Z346"/>
      <c r="AB346"/>
      <c r="AD346"/>
      <c r="AE346"/>
    </row>
    <row r="347" spans="3:31" x14ac:dyDescent="0.2">
      <c r="C347" s="10"/>
      <c r="D347" s="10"/>
      <c r="O347"/>
      <c r="Q347"/>
      <c r="S347"/>
      <c r="Z347"/>
      <c r="AB347"/>
      <c r="AD347"/>
      <c r="AE347"/>
    </row>
    <row r="348" spans="3:31" x14ac:dyDescent="0.2">
      <c r="C348" s="10"/>
      <c r="D348" s="10"/>
      <c r="O348"/>
      <c r="Q348"/>
      <c r="S348"/>
      <c r="Z348"/>
      <c r="AB348"/>
      <c r="AD348"/>
      <c r="AE348"/>
    </row>
    <row r="349" spans="3:31" x14ac:dyDescent="0.2">
      <c r="C349" s="10"/>
      <c r="D349" s="10"/>
      <c r="O349"/>
      <c r="Q349"/>
      <c r="S349"/>
      <c r="Z349"/>
      <c r="AB349"/>
      <c r="AD349"/>
      <c r="AE349"/>
    </row>
    <row r="350" spans="3:31" x14ac:dyDescent="0.2">
      <c r="C350" s="10"/>
      <c r="D350" s="10"/>
      <c r="O350"/>
      <c r="Q350"/>
      <c r="S350"/>
      <c r="Z350"/>
      <c r="AB350"/>
      <c r="AD350"/>
      <c r="AE350"/>
    </row>
    <row r="351" spans="3:31" x14ac:dyDescent="0.2">
      <c r="C351" s="10"/>
      <c r="D351" s="10"/>
      <c r="O351"/>
      <c r="Q351"/>
      <c r="S351"/>
      <c r="Z351"/>
      <c r="AB351"/>
      <c r="AD351"/>
      <c r="AE351"/>
    </row>
    <row r="352" spans="3:31" x14ac:dyDescent="0.2">
      <c r="C352" s="10"/>
      <c r="D352" s="10"/>
      <c r="O352"/>
      <c r="Q352"/>
      <c r="S352"/>
      <c r="Z352"/>
      <c r="AB352"/>
      <c r="AD352"/>
      <c r="AE352"/>
    </row>
    <row r="353" spans="3:31" x14ac:dyDescent="0.2">
      <c r="C353" s="10"/>
      <c r="D353" s="10"/>
      <c r="O353"/>
      <c r="Q353"/>
      <c r="S353"/>
      <c r="Z353"/>
      <c r="AB353"/>
      <c r="AD353"/>
      <c r="AE353"/>
    </row>
    <row r="354" spans="3:31" x14ac:dyDescent="0.2">
      <c r="C354" s="10"/>
      <c r="D354" s="10"/>
      <c r="O354"/>
      <c r="Q354"/>
      <c r="S354"/>
      <c r="Z354"/>
      <c r="AB354"/>
      <c r="AD354"/>
      <c r="AE354"/>
    </row>
    <row r="355" spans="3:31" x14ac:dyDescent="0.2">
      <c r="C355" s="10"/>
      <c r="D355" s="10"/>
      <c r="O355"/>
      <c r="Q355"/>
      <c r="S355"/>
      <c r="Z355"/>
      <c r="AB355"/>
      <c r="AD355"/>
      <c r="AE355"/>
    </row>
    <row r="356" spans="3:31" x14ac:dyDescent="0.2">
      <c r="C356" s="10"/>
      <c r="D356" s="10"/>
      <c r="O356"/>
      <c r="Q356"/>
      <c r="S356"/>
      <c r="Z356"/>
      <c r="AB356"/>
      <c r="AD356"/>
      <c r="AE356"/>
    </row>
    <row r="357" spans="3:31" x14ac:dyDescent="0.2">
      <c r="C357" s="10"/>
      <c r="D357" s="10"/>
      <c r="O357"/>
      <c r="Q357"/>
      <c r="S357"/>
      <c r="Z357"/>
      <c r="AB357"/>
      <c r="AD357"/>
      <c r="AE357"/>
    </row>
    <row r="358" spans="3:31" x14ac:dyDescent="0.2">
      <c r="C358" s="10"/>
      <c r="D358" s="10"/>
      <c r="O358"/>
      <c r="Q358"/>
      <c r="S358"/>
      <c r="Z358"/>
      <c r="AB358"/>
      <c r="AD358"/>
      <c r="AE358"/>
    </row>
    <row r="359" spans="3:31" x14ac:dyDescent="0.2">
      <c r="C359" s="10"/>
      <c r="D359" s="10"/>
      <c r="O359"/>
      <c r="Q359"/>
      <c r="S359"/>
      <c r="Z359"/>
      <c r="AB359"/>
      <c r="AD359"/>
      <c r="AE359"/>
    </row>
    <row r="360" spans="3:31" x14ac:dyDescent="0.2">
      <c r="C360" s="10"/>
      <c r="D360" s="10"/>
      <c r="O360"/>
      <c r="Q360"/>
      <c r="S360"/>
      <c r="Z360"/>
      <c r="AB360"/>
      <c r="AD360"/>
      <c r="AE360"/>
    </row>
    <row r="361" spans="3:31" x14ac:dyDescent="0.2">
      <c r="C361" s="10"/>
      <c r="D361" s="10"/>
      <c r="O361"/>
      <c r="Q361"/>
      <c r="S361"/>
      <c r="Z361"/>
      <c r="AB361"/>
      <c r="AD361"/>
      <c r="AE361"/>
    </row>
    <row r="362" spans="3:31" x14ac:dyDescent="0.2">
      <c r="C362" s="10"/>
      <c r="D362" s="10"/>
      <c r="O362"/>
      <c r="Q362"/>
      <c r="S362"/>
      <c r="Z362"/>
      <c r="AB362"/>
      <c r="AD362"/>
      <c r="AE362"/>
    </row>
    <row r="363" spans="3:31" x14ac:dyDescent="0.2">
      <c r="C363" s="10"/>
      <c r="D363" s="10"/>
      <c r="O363"/>
      <c r="Q363"/>
      <c r="S363"/>
      <c r="Z363"/>
      <c r="AB363"/>
      <c r="AD363"/>
      <c r="AE363"/>
    </row>
    <row r="364" spans="3:31" x14ac:dyDescent="0.2">
      <c r="C364" s="10"/>
      <c r="D364" s="10"/>
      <c r="O364"/>
      <c r="Q364"/>
      <c r="S364"/>
      <c r="Z364"/>
      <c r="AB364"/>
      <c r="AD364"/>
      <c r="AE364"/>
    </row>
    <row r="365" spans="3:31" x14ac:dyDescent="0.2">
      <c r="C365" s="10"/>
      <c r="D365" s="10"/>
      <c r="O365"/>
      <c r="Q365"/>
      <c r="S365"/>
      <c r="Z365"/>
      <c r="AB365"/>
      <c r="AD365"/>
      <c r="AE365"/>
    </row>
    <row r="366" spans="3:31" x14ac:dyDescent="0.2">
      <c r="C366" s="10"/>
      <c r="D366" s="10"/>
      <c r="O366"/>
      <c r="Q366"/>
      <c r="S366"/>
      <c r="Z366"/>
      <c r="AB366"/>
      <c r="AD366"/>
      <c r="AE366"/>
    </row>
    <row r="367" spans="3:31" x14ac:dyDescent="0.2">
      <c r="C367" s="10"/>
      <c r="D367" s="10"/>
      <c r="O367"/>
      <c r="Q367"/>
      <c r="S367"/>
      <c r="Z367"/>
      <c r="AB367"/>
      <c r="AD367"/>
      <c r="AE367"/>
    </row>
    <row r="368" spans="3:31" x14ac:dyDescent="0.2">
      <c r="C368" s="10"/>
      <c r="D368" s="10"/>
      <c r="O368"/>
      <c r="Q368"/>
      <c r="S368"/>
      <c r="Z368"/>
      <c r="AB368"/>
      <c r="AD368"/>
      <c r="AE368"/>
    </row>
    <row r="369" spans="3:31" x14ac:dyDescent="0.2">
      <c r="C369" s="10"/>
      <c r="D369" s="10"/>
      <c r="O369"/>
      <c r="Q369"/>
      <c r="S369"/>
      <c r="Z369"/>
      <c r="AB369"/>
      <c r="AD369"/>
      <c r="AE369"/>
    </row>
    <row r="370" spans="3:31" x14ac:dyDescent="0.2">
      <c r="C370" s="10"/>
      <c r="D370" s="10"/>
      <c r="O370"/>
      <c r="Q370"/>
      <c r="S370"/>
      <c r="Z370"/>
      <c r="AB370"/>
      <c r="AD370"/>
      <c r="AE370"/>
    </row>
    <row r="371" spans="3:31" x14ac:dyDescent="0.2">
      <c r="C371" s="10"/>
      <c r="D371" s="10"/>
      <c r="O371"/>
      <c r="Q371"/>
      <c r="S371"/>
      <c r="Z371"/>
      <c r="AB371"/>
      <c r="AD371"/>
      <c r="AE371"/>
    </row>
    <row r="372" spans="3:31" x14ac:dyDescent="0.2">
      <c r="C372" s="10"/>
      <c r="D372" s="10"/>
      <c r="O372"/>
      <c r="Q372"/>
      <c r="S372"/>
      <c r="Z372"/>
      <c r="AB372"/>
      <c r="AD372"/>
      <c r="AE372"/>
    </row>
    <row r="373" spans="3:31" x14ac:dyDescent="0.2">
      <c r="C373" s="10"/>
      <c r="D373" s="10"/>
      <c r="O373"/>
      <c r="Q373"/>
      <c r="S373"/>
      <c r="Z373"/>
      <c r="AB373"/>
      <c r="AD373"/>
      <c r="AE373"/>
    </row>
    <row r="374" spans="3:31" x14ac:dyDescent="0.2">
      <c r="C374" s="10"/>
      <c r="D374" s="10"/>
      <c r="O374"/>
      <c r="Q374"/>
      <c r="S374"/>
      <c r="Z374"/>
      <c r="AB374"/>
      <c r="AD374"/>
      <c r="AE374"/>
    </row>
    <row r="375" spans="3:31" x14ac:dyDescent="0.2">
      <c r="C375" s="10"/>
      <c r="D375" s="10"/>
      <c r="O375"/>
      <c r="Q375"/>
      <c r="S375"/>
      <c r="Z375"/>
      <c r="AB375"/>
      <c r="AD375"/>
      <c r="AE375"/>
    </row>
    <row r="376" spans="3:31" x14ac:dyDescent="0.2">
      <c r="C376" s="10"/>
      <c r="D376" s="10"/>
      <c r="O376"/>
      <c r="Q376"/>
      <c r="S376"/>
      <c r="Z376"/>
      <c r="AB376"/>
      <c r="AD376"/>
      <c r="AE376"/>
    </row>
    <row r="377" spans="3:31" x14ac:dyDescent="0.2">
      <c r="C377" s="10"/>
      <c r="D377" s="10"/>
      <c r="O377"/>
      <c r="Q377"/>
      <c r="S377"/>
      <c r="Z377"/>
      <c r="AB377"/>
      <c r="AD377"/>
      <c r="AE377"/>
    </row>
    <row r="378" spans="3:31" x14ac:dyDescent="0.2">
      <c r="C378" s="10"/>
      <c r="D378" s="10"/>
      <c r="O378"/>
      <c r="Q378"/>
      <c r="S378"/>
      <c r="Z378"/>
      <c r="AB378"/>
      <c r="AD378"/>
      <c r="AE378"/>
    </row>
    <row r="379" spans="3:31" x14ac:dyDescent="0.2">
      <c r="C379" s="10"/>
      <c r="D379" s="10"/>
      <c r="O379"/>
      <c r="Q379"/>
      <c r="S379"/>
      <c r="Z379"/>
      <c r="AB379"/>
      <c r="AD379"/>
      <c r="AE379"/>
    </row>
    <row r="380" spans="3:31" x14ac:dyDescent="0.2">
      <c r="C380" s="10"/>
      <c r="D380" s="10"/>
      <c r="O380"/>
      <c r="Q380"/>
      <c r="S380"/>
      <c r="Z380"/>
      <c r="AB380"/>
      <c r="AD380"/>
      <c r="AE380"/>
    </row>
    <row r="381" spans="3:31" x14ac:dyDescent="0.2">
      <c r="C381" s="10"/>
      <c r="D381" s="10"/>
      <c r="O381"/>
      <c r="Q381"/>
      <c r="S381"/>
      <c r="Z381"/>
      <c r="AB381"/>
      <c r="AD381"/>
      <c r="AE381"/>
    </row>
    <row r="382" spans="3:31" x14ac:dyDescent="0.2">
      <c r="C382" s="10"/>
      <c r="D382" s="10"/>
      <c r="O382"/>
      <c r="Q382"/>
      <c r="S382"/>
      <c r="Z382"/>
      <c r="AB382"/>
      <c r="AD382"/>
      <c r="AE382"/>
    </row>
    <row r="383" spans="3:31" x14ac:dyDescent="0.2">
      <c r="C383" s="10"/>
      <c r="D383" s="10"/>
      <c r="O383"/>
      <c r="Q383"/>
      <c r="S383"/>
      <c r="Z383"/>
      <c r="AB383"/>
      <c r="AD383"/>
      <c r="AE383"/>
    </row>
    <row r="384" spans="3:31" x14ac:dyDescent="0.2">
      <c r="C384" s="10"/>
      <c r="D384" s="10"/>
      <c r="O384"/>
      <c r="Q384"/>
      <c r="S384"/>
      <c r="Z384"/>
      <c r="AB384"/>
      <c r="AD384"/>
      <c r="AE384"/>
    </row>
    <row r="385" spans="3:31" x14ac:dyDescent="0.2">
      <c r="C385" s="10"/>
      <c r="D385" s="10"/>
      <c r="O385"/>
      <c r="Q385"/>
      <c r="S385"/>
      <c r="Z385"/>
      <c r="AB385"/>
      <c r="AD385"/>
      <c r="AE385"/>
    </row>
    <row r="386" spans="3:31" x14ac:dyDescent="0.2">
      <c r="C386" s="10"/>
      <c r="D386" s="10"/>
      <c r="O386"/>
      <c r="Q386"/>
      <c r="S386"/>
      <c r="Z386"/>
      <c r="AB386"/>
      <c r="AD386"/>
      <c r="AE386"/>
    </row>
    <row r="387" spans="3:31" x14ac:dyDescent="0.2">
      <c r="C387" s="10"/>
      <c r="D387" s="10"/>
      <c r="O387"/>
      <c r="Q387"/>
      <c r="S387"/>
      <c r="Z387"/>
      <c r="AB387"/>
      <c r="AD387"/>
      <c r="AE387"/>
    </row>
    <row r="388" spans="3:31" x14ac:dyDescent="0.2">
      <c r="C388" s="10"/>
      <c r="D388" s="10"/>
      <c r="O388"/>
      <c r="Q388"/>
      <c r="S388"/>
      <c r="Z388"/>
      <c r="AB388"/>
      <c r="AD388"/>
      <c r="AE388"/>
    </row>
    <row r="389" spans="3:31" x14ac:dyDescent="0.2">
      <c r="C389" s="10"/>
      <c r="D389" s="10"/>
      <c r="O389"/>
      <c r="Q389"/>
      <c r="S389"/>
      <c r="Z389"/>
      <c r="AB389"/>
      <c r="AD389"/>
      <c r="AE389"/>
    </row>
    <row r="390" spans="3:31" x14ac:dyDescent="0.2">
      <c r="C390" s="10"/>
      <c r="D390" s="10"/>
      <c r="O390"/>
      <c r="Q390"/>
      <c r="S390"/>
      <c r="Z390"/>
      <c r="AB390"/>
      <c r="AD390"/>
      <c r="AE390"/>
    </row>
    <row r="391" spans="3:31" x14ac:dyDescent="0.2">
      <c r="C391" s="10"/>
      <c r="D391" s="10"/>
      <c r="O391"/>
      <c r="Q391"/>
      <c r="S391"/>
      <c r="Z391"/>
      <c r="AB391"/>
      <c r="AD391"/>
      <c r="AE391"/>
    </row>
    <row r="392" spans="3:31" x14ac:dyDescent="0.2">
      <c r="C392" s="10"/>
      <c r="D392" s="10"/>
      <c r="O392"/>
      <c r="Q392"/>
      <c r="S392"/>
      <c r="Z392"/>
      <c r="AB392"/>
      <c r="AD392"/>
      <c r="AE392"/>
    </row>
    <row r="393" spans="3:31" x14ac:dyDescent="0.2">
      <c r="C393" s="10"/>
      <c r="D393" s="10"/>
      <c r="O393"/>
      <c r="Q393"/>
      <c r="S393"/>
      <c r="Z393"/>
      <c r="AB393"/>
      <c r="AD393"/>
      <c r="AE393"/>
    </row>
    <row r="394" spans="3:31" x14ac:dyDescent="0.2">
      <c r="C394" s="10"/>
      <c r="D394" s="10"/>
      <c r="O394"/>
      <c r="Q394"/>
      <c r="S394"/>
      <c r="Z394"/>
      <c r="AB394"/>
      <c r="AD394"/>
      <c r="AE394"/>
    </row>
    <row r="395" spans="3:31" x14ac:dyDescent="0.2">
      <c r="C395" s="10"/>
      <c r="D395" s="10"/>
      <c r="O395"/>
      <c r="Q395"/>
      <c r="S395"/>
      <c r="Z395"/>
      <c r="AB395"/>
      <c r="AD395"/>
      <c r="AE395"/>
    </row>
    <row r="396" spans="3:31" x14ac:dyDescent="0.2">
      <c r="C396" s="10"/>
      <c r="D396" s="10"/>
      <c r="O396"/>
      <c r="Q396"/>
      <c r="S396"/>
      <c r="Z396"/>
      <c r="AB396"/>
      <c r="AD396"/>
      <c r="AE396"/>
    </row>
    <row r="397" spans="3:31" x14ac:dyDescent="0.2">
      <c r="C397" s="10"/>
      <c r="D397" s="10"/>
      <c r="O397"/>
      <c r="Q397"/>
      <c r="S397"/>
      <c r="Z397"/>
      <c r="AB397"/>
      <c r="AD397"/>
      <c r="AE397"/>
    </row>
    <row r="398" spans="3:31" x14ac:dyDescent="0.2">
      <c r="C398" s="10"/>
      <c r="D398" s="10"/>
      <c r="O398"/>
      <c r="Q398"/>
      <c r="S398"/>
      <c r="Z398"/>
      <c r="AB398"/>
      <c r="AD398"/>
      <c r="AE398"/>
    </row>
    <row r="399" spans="3:31" x14ac:dyDescent="0.2">
      <c r="C399" s="10"/>
      <c r="D399" s="10"/>
      <c r="O399"/>
      <c r="Q399"/>
      <c r="S399"/>
      <c r="Z399"/>
      <c r="AB399"/>
      <c r="AD399"/>
      <c r="AE399"/>
    </row>
    <row r="400" spans="3:31" x14ac:dyDescent="0.2">
      <c r="C400" s="10"/>
      <c r="D400" s="10"/>
      <c r="O400"/>
      <c r="Q400"/>
      <c r="S400"/>
      <c r="Z400"/>
      <c r="AB400"/>
      <c r="AD400"/>
      <c r="AE400"/>
    </row>
    <row r="401" spans="3:31" x14ac:dyDescent="0.2">
      <c r="C401" s="10"/>
      <c r="D401" s="10"/>
      <c r="O401"/>
      <c r="Q401"/>
      <c r="S401"/>
      <c r="Z401"/>
      <c r="AB401"/>
      <c r="AD401"/>
      <c r="AE401"/>
    </row>
    <row r="402" spans="3:31" x14ac:dyDescent="0.2">
      <c r="C402" s="10"/>
      <c r="D402" s="10"/>
      <c r="O402"/>
      <c r="Q402"/>
      <c r="S402"/>
      <c r="Z402"/>
      <c r="AB402"/>
      <c r="AD402"/>
      <c r="AE402"/>
    </row>
    <row r="403" spans="3:31" x14ac:dyDescent="0.2">
      <c r="C403" s="10"/>
      <c r="D403" s="10"/>
      <c r="O403"/>
      <c r="Q403"/>
      <c r="S403"/>
      <c r="Z403"/>
      <c r="AB403"/>
      <c r="AD403"/>
      <c r="AE403"/>
    </row>
    <row r="404" spans="3:31" x14ac:dyDescent="0.2">
      <c r="C404" s="10"/>
      <c r="D404" s="10"/>
      <c r="O404"/>
      <c r="Q404"/>
      <c r="S404"/>
      <c r="Z404"/>
      <c r="AB404"/>
      <c r="AD404"/>
      <c r="AE404"/>
    </row>
    <row r="405" spans="3:31" x14ac:dyDescent="0.2">
      <c r="C405" s="10"/>
      <c r="D405" s="10"/>
      <c r="O405"/>
      <c r="Q405"/>
      <c r="S405"/>
      <c r="Z405"/>
      <c r="AB405"/>
      <c r="AD405"/>
      <c r="AE405"/>
    </row>
    <row r="406" spans="3:31" x14ac:dyDescent="0.2">
      <c r="C406" s="10"/>
      <c r="D406" s="10"/>
      <c r="O406"/>
      <c r="Q406"/>
      <c r="S406"/>
      <c r="Z406"/>
      <c r="AB406"/>
      <c r="AD406"/>
      <c r="AE406"/>
    </row>
    <row r="407" spans="3:31" x14ac:dyDescent="0.2">
      <c r="C407" s="10"/>
      <c r="D407" s="10"/>
      <c r="O407"/>
      <c r="Q407"/>
      <c r="S407"/>
      <c r="Z407"/>
      <c r="AB407"/>
      <c r="AD407"/>
      <c r="AE407"/>
    </row>
    <row r="408" spans="3:31" x14ac:dyDescent="0.2">
      <c r="C408" s="10"/>
      <c r="D408" s="10"/>
      <c r="O408"/>
      <c r="Q408"/>
      <c r="S408"/>
      <c r="Z408"/>
      <c r="AB408"/>
      <c r="AD408"/>
      <c r="AE408"/>
    </row>
    <row r="409" spans="3:31" x14ac:dyDescent="0.2">
      <c r="C409" s="10"/>
      <c r="D409" s="10"/>
      <c r="O409"/>
      <c r="Q409"/>
      <c r="S409"/>
      <c r="Z409"/>
      <c r="AB409"/>
      <c r="AD409"/>
      <c r="AE409"/>
    </row>
    <row r="410" spans="3:31" x14ac:dyDescent="0.2">
      <c r="C410" s="10"/>
      <c r="D410" s="10"/>
      <c r="O410"/>
      <c r="Q410"/>
      <c r="S410"/>
      <c r="Z410"/>
      <c r="AB410"/>
      <c r="AD410"/>
      <c r="AE410"/>
    </row>
    <row r="411" spans="3:31" x14ac:dyDescent="0.2">
      <c r="C411" s="10"/>
      <c r="D411" s="10"/>
      <c r="O411"/>
      <c r="Q411"/>
      <c r="S411"/>
      <c r="Z411"/>
      <c r="AB411"/>
      <c r="AD411"/>
      <c r="AE411"/>
    </row>
    <row r="412" spans="3:31" x14ac:dyDescent="0.2">
      <c r="C412" s="10"/>
      <c r="D412" s="10"/>
      <c r="O412"/>
      <c r="Q412"/>
      <c r="S412"/>
      <c r="Z412"/>
      <c r="AB412"/>
      <c r="AD412"/>
      <c r="AE412"/>
    </row>
    <row r="413" spans="3:31" x14ac:dyDescent="0.2">
      <c r="C413" s="10"/>
      <c r="D413" s="10"/>
      <c r="O413"/>
      <c r="Q413"/>
      <c r="S413"/>
      <c r="Z413"/>
      <c r="AB413"/>
      <c r="AD413"/>
      <c r="AE413"/>
    </row>
    <row r="414" spans="3:31" x14ac:dyDescent="0.2">
      <c r="C414" s="10"/>
      <c r="D414" s="10"/>
      <c r="O414"/>
      <c r="Q414"/>
      <c r="S414"/>
      <c r="Z414"/>
      <c r="AB414"/>
      <c r="AD414"/>
      <c r="AE414"/>
    </row>
    <row r="415" spans="3:31" x14ac:dyDescent="0.2">
      <c r="C415" s="10"/>
      <c r="D415" s="10"/>
      <c r="O415"/>
      <c r="Q415"/>
      <c r="S415"/>
      <c r="Z415"/>
      <c r="AB415"/>
      <c r="AD415"/>
      <c r="AE415"/>
    </row>
    <row r="416" spans="3:31" x14ac:dyDescent="0.2">
      <c r="C416" s="10"/>
      <c r="D416" s="10"/>
      <c r="O416"/>
      <c r="Q416"/>
      <c r="S416"/>
      <c r="Z416"/>
      <c r="AB416"/>
      <c r="AD416"/>
      <c r="AE416"/>
    </row>
    <row r="417" spans="3:31" x14ac:dyDescent="0.2">
      <c r="C417" s="10"/>
      <c r="D417" s="10"/>
      <c r="O417"/>
      <c r="Q417"/>
      <c r="S417"/>
      <c r="Z417"/>
      <c r="AB417"/>
      <c r="AD417"/>
      <c r="AE417"/>
    </row>
    <row r="418" spans="3:31" x14ac:dyDescent="0.2">
      <c r="C418" s="10"/>
      <c r="D418" s="10"/>
      <c r="O418"/>
      <c r="Q418"/>
      <c r="S418"/>
      <c r="Z418"/>
      <c r="AB418"/>
      <c r="AD418"/>
      <c r="AE418"/>
    </row>
    <row r="419" spans="3:31" x14ac:dyDescent="0.2">
      <c r="C419" s="10"/>
      <c r="D419" s="10"/>
      <c r="O419"/>
      <c r="Q419"/>
      <c r="S419"/>
      <c r="Z419"/>
      <c r="AB419"/>
      <c r="AD419"/>
      <c r="AE419"/>
    </row>
    <row r="420" spans="3:31" x14ac:dyDescent="0.2">
      <c r="C420" s="10"/>
      <c r="D420" s="10"/>
      <c r="O420"/>
      <c r="Q420"/>
      <c r="S420"/>
      <c r="Z420"/>
      <c r="AB420"/>
      <c r="AD420"/>
      <c r="AE420"/>
    </row>
    <row r="421" spans="3:31" x14ac:dyDescent="0.2">
      <c r="C421" s="10"/>
      <c r="D421" s="10"/>
      <c r="O421"/>
      <c r="Q421"/>
      <c r="S421"/>
      <c r="Z421"/>
      <c r="AB421"/>
      <c r="AD421"/>
      <c r="AE421"/>
    </row>
    <row r="422" spans="3:31" x14ac:dyDescent="0.2">
      <c r="C422" s="10"/>
      <c r="D422" s="10"/>
      <c r="O422"/>
      <c r="Q422"/>
      <c r="S422"/>
      <c r="Z422"/>
      <c r="AB422"/>
      <c r="AD422"/>
      <c r="AE422"/>
    </row>
    <row r="423" spans="3:31" x14ac:dyDescent="0.2">
      <c r="C423" s="10"/>
      <c r="D423" s="10"/>
      <c r="O423"/>
      <c r="Q423"/>
      <c r="S423"/>
      <c r="Z423"/>
      <c r="AB423"/>
      <c r="AD423"/>
      <c r="AE423"/>
    </row>
    <row r="424" spans="3:31" x14ac:dyDescent="0.2">
      <c r="C424" s="10"/>
      <c r="D424" s="10"/>
      <c r="O424"/>
      <c r="Q424"/>
      <c r="S424"/>
      <c r="Z424"/>
      <c r="AB424"/>
      <c r="AD424"/>
      <c r="AE424"/>
    </row>
    <row r="425" spans="3:31" x14ac:dyDescent="0.2">
      <c r="C425" s="10"/>
      <c r="D425" s="10"/>
      <c r="O425"/>
      <c r="Q425"/>
      <c r="S425"/>
      <c r="Z425"/>
      <c r="AB425"/>
      <c r="AD425"/>
      <c r="AE425"/>
    </row>
    <row r="426" spans="3:31" x14ac:dyDescent="0.2">
      <c r="C426" s="10"/>
      <c r="D426" s="10"/>
      <c r="O426"/>
      <c r="Q426"/>
      <c r="S426"/>
      <c r="Z426"/>
      <c r="AB426"/>
      <c r="AD426"/>
      <c r="AE426"/>
    </row>
    <row r="427" spans="3:31" x14ac:dyDescent="0.2">
      <c r="C427" s="10"/>
      <c r="D427" s="10"/>
      <c r="O427"/>
      <c r="Q427"/>
      <c r="S427"/>
      <c r="Z427"/>
      <c r="AB427"/>
      <c r="AD427"/>
      <c r="AE427"/>
    </row>
    <row r="428" spans="3:31" x14ac:dyDescent="0.2">
      <c r="C428" s="10"/>
      <c r="D428" s="10"/>
      <c r="O428"/>
      <c r="Q428"/>
      <c r="S428"/>
      <c r="Z428"/>
      <c r="AB428"/>
      <c r="AD428"/>
      <c r="AE428"/>
    </row>
    <row r="429" spans="3:31" x14ac:dyDescent="0.2">
      <c r="C429" s="10"/>
      <c r="D429" s="10"/>
      <c r="O429"/>
      <c r="Q429"/>
      <c r="S429"/>
      <c r="Z429"/>
      <c r="AB429"/>
      <c r="AD429"/>
      <c r="AE429"/>
    </row>
    <row r="430" spans="3:31" x14ac:dyDescent="0.2">
      <c r="C430" s="10"/>
      <c r="D430" s="10"/>
      <c r="O430"/>
      <c r="Q430"/>
      <c r="S430"/>
      <c r="Z430"/>
      <c r="AB430"/>
      <c r="AD430"/>
      <c r="AE430"/>
    </row>
    <row r="431" spans="3:31" x14ac:dyDescent="0.2">
      <c r="C431" s="10"/>
      <c r="D431" s="10"/>
      <c r="O431"/>
      <c r="Q431"/>
      <c r="S431"/>
      <c r="Z431"/>
      <c r="AB431"/>
      <c r="AD431"/>
      <c r="AE431"/>
    </row>
    <row r="432" spans="3:31" x14ac:dyDescent="0.2">
      <c r="C432" s="10"/>
      <c r="D432" s="10"/>
      <c r="O432"/>
      <c r="Q432"/>
      <c r="S432"/>
      <c r="Z432"/>
      <c r="AB432"/>
      <c r="AD432"/>
      <c r="AE432"/>
    </row>
    <row r="433" spans="3:31" x14ac:dyDescent="0.2">
      <c r="C433" s="10"/>
      <c r="D433" s="10"/>
      <c r="O433"/>
      <c r="Q433"/>
      <c r="S433"/>
      <c r="Z433"/>
      <c r="AB433"/>
      <c r="AD433"/>
      <c r="AE433"/>
    </row>
    <row r="434" spans="3:31" x14ac:dyDescent="0.2">
      <c r="C434" s="10"/>
      <c r="D434" s="10"/>
      <c r="O434"/>
      <c r="Q434"/>
      <c r="S434"/>
      <c r="Z434"/>
      <c r="AB434"/>
      <c r="AD434"/>
      <c r="AE434"/>
    </row>
    <row r="435" spans="3:31" x14ac:dyDescent="0.2">
      <c r="C435" s="10"/>
      <c r="D435" s="10"/>
      <c r="O435"/>
      <c r="Q435"/>
      <c r="S435"/>
      <c r="Z435"/>
      <c r="AB435"/>
      <c r="AD435"/>
      <c r="AE435"/>
    </row>
    <row r="436" spans="3:31" x14ac:dyDescent="0.2">
      <c r="C436" s="10"/>
      <c r="D436" s="10"/>
      <c r="O436"/>
      <c r="Q436"/>
      <c r="S436"/>
      <c r="Z436"/>
      <c r="AB436"/>
      <c r="AD436"/>
      <c r="AE436"/>
    </row>
    <row r="437" spans="3:31" x14ac:dyDescent="0.2">
      <c r="C437" s="10"/>
      <c r="D437" s="10"/>
      <c r="O437"/>
      <c r="Q437"/>
      <c r="S437"/>
      <c r="Z437"/>
      <c r="AB437"/>
      <c r="AD437"/>
      <c r="AE437"/>
    </row>
    <row r="438" spans="3:31" x14ac:dyDescent="0.2">
      <c r="C438" s="10"/>
      <c r="D438" s="10"/>
      <c r="O438"/>
      <c r="Q438"/>
      <c r="S438"/>
      <c r="Z438"/>
      <c r="AB438"/>
      <c r="AD438"/>
      <c r="AE438"/>
    </row>
    <row r="439" spans="3:31" x14ac:dyDescent="0.2">
      <c r="C439" s="10"/>
      <c r="D439" s="10"/>
      <c r="O439"/>
      <c r="Q439"/>
      <c r="S439"/>
      <c r="Z439"/>
      <c r="AB439"/>
      <c r="AD439"/>
      <c r="AE439"/>
    </row>
    <row r="440" spans="3:31" x14ac:dyDescent="0.2">
      <c r="C440" s="10"/>
      <c r="D440" s="10"/>
      <c r="O440"/>
      <c r="Q440"/>
      <c r="S440"/>
      <c r="Z440"/>
      <c r="AB440"/>
      <c r="AD440"/>
      <c r="AE440"/>
    </row>
    <row r="441" spans="3:31" x14ac:dyDescent="0.2">
      <c r="C441" s="10"/>
      <c r="D441" s="10"/>
      <c r="O441"/>
      <c r="Q441"/>
      <c r="S441"/>
      <c r="Z441"/>
      <c r="AB441"/>
      <c r="AD441"/>
      <c r="AE441"/>
    </row>
    <row r="442" spans="3:31" x14ac:dyDescent="0.2">
      <c r="C442" s="10"/>
      <c r="D442" s="10"/>
      <c r="O442"/>
      <c r="Q442"/>
      <c r="S442"/>
      <c r="Z442"/>
      <c r="AB442"/>
      <c r="AD442"/>
      <c r="AE442"/>
    </row>
    <row r="443" spans="3:31" x14ac:dyDescent="0.2">
      <c r="C443" s="10"/>
      <c r="D443" s="10"/>
      <c r="O443"/>
      <c r="Q443"/>
      <c r="S443"/>
      <c r="Z443"/>
      <c r="AB443"/>
      <c r="AD443"/>
      <c r="AE443"/>
    </row>
    <row r="444" spans="3:31" x14ac:dyDescent="0.2">
      <c r="C444" s="10"/>
      <c r="D444" s="10"/>
      <c r="O444"/>
      <c r="Q444"/>
      <c r="S444"/>
      <c r="Z444"/>
      <c r="AB444"/>
      <c r="AD444"/>
      <c r="AE444"/>
    </row>
    <row r="445" spans="3:31" x14ac:dyDescent="0.2">
      <c r="C445" s="10"/>
      <c r="D445" s="10"/>
      <c r="O445"/>
      <c r="Q445"/>
      <c r="S445"/>
      <c r="Z445"/>
      <c r="AB445"/>
      <c r="AD445"/>
      <c r="AE445"/>
    </row>
    <row r="446" spans="3:31" x14ac:dyDescent="0.2">
      <c r="C446" s="10"/>
      <c r="D446" s="10"/>
      <c r="O446"/>
      <c r="Q446"/>
      <c r="S446"/>
      <c r="Z446"/>
      <c r="AB446"/>
      <c r="AD446"/>
      <c r="AE446"/>
    </row>
    <row r="447" spans="3:31" x14ac:dyDescent="0.2">
      <c r="C447" s="10"/>
      <c r="D447" s="10"/>
      <c r="O447"/>
      <c r="Q447"/>
      <c r="S447"/>
      <c r="Z447"/>
      <c r="AB447"/>
      <c r="AD447"/>
      <c r="AE447"/>
    </row>
    <row r="448" spans="3:31" x14ac:dyDescent="0.2">
      <c r="C448" s="10"/>
      <c r="D448" s="10"/>
      <c r="O448"/>
      <c r="Q448"/>
      <c r="S448"/>
      <c r="Z448"/>
      <c r="AB448"/>
      <c r="AD448"/>
      <c r="AE448"/>
    </row>
    <row r="449" spans="3:31" x14ac:dyDescent="0.2">
      <c r="C449" s="10"/>
      <c r="D449" s="10"/>
      <c r="O449"/>
      <c r="Q449"/>
      <c r="S449"/>
      <c r="Z449"/>
      <c r="AB449"/>
      <c r="AD449"/>
      <c r="AE449"/>
    </row>
    <row r="450" spans="3:31" x14ac:dyDescent="0.2">
      <c r="C450" s="10"/>
      <c r="D450" s="10"/>
      <c r="O450"/>
      <c r="Q450"/>
      <c r="S450"/>
      <c r="Z450"/>
      <c r="AB450"/>
      <c r="AD450"/>
      <c r="AE450"/>
    </row>
    <row r="451" spans="3:31" x14ac:dyDescent="0.2">
      <c r="C451" s="10"/>
      <c r="D451" s="10"/>
      <c r="O451"/>
      <c r="Q451"/>
      <c r="S451"/>
      <c r="Z451"/>
      <c r="AB451"/>
      <c r="AD451"/>
      <c r="AE451"/>
    </row>
    <row r="452" spans="3:31" x14ac:dyDescent="0.2">
      <c r="C452" s="10"/>
      <c r="D452" s="10"/>
      <c r="O452"/>
      <c r="Q452"/>
      <c r="S452"/>
      <c r="Z452"/>
      <c r="AB452"/>
      <c r="AD452"/>
      <c r="AE452"/>
    </row>
    <row r="453" spans="3:31" x14ac:dyDescent="0.2">
      <c r="C453" s="10"/>
      <c r="D453" s="10"/>
      <c r="O453"/>
      <c r="Q453"/>
      <c r="S453"/>
      <c r="Z453"/>
      <c r="AB453"/>
      <c r="AD453"/>
      <c r="AE453"/>
    </row>
    <row r="454" spans="3:31" x14ac:dyDescent="0.2">
      <c r="C454" s="10"/>
      <c r="D454" s="10"/>
      <c r="O454"/>
      <c r="Q454"/>
      <c r="S454"/>
      <c r="Z454"/>
      <c r="AB454"/>
      <c r="AD454"/>
      <c r="AE454"/>
    </row>
    <row r="455" spans="3:31" x14ac:dyDescent="0.2">
      <c r="C455" s="10"/>
      <c r="D455" s="10"/>
      <c r="O455"/>
      <c r="Q455"/>
      <c r="S455"/>
      <c r="Z455"/>
      <c r="AB455"/>
      <c r="AD455"/>
      <c r="AE455"/>
    </row>
    <row r="456" spans="3:31" x14ac:dyDescent="0.2">
      <c r="C456" s="10"/>
      <c r="D456" s="10"/>
      <c r="O456"/>
      <c r="Q456"/>
      <c r="S456"/>
      <c r="Z456"/>
      <c r="AB456"/>
      <c r="AD456"/>
      <c r="AE456"/>
    </row>
    <row r="457" spans="3:31" x14ac:dyDescent="0.2">
      <c r="C457" s="10"/>
      <c r="D457" s="10"/>
      <c r="O457"/>
      <c r="Q457"/>
      <c r="S457"/>
      <c r="Z457"/>
      <c r="AB457"/>
      <c r="AD457"/>
      <c r="AE457"/>
    </row>
    <row r="458" spans="3:31" x14ac:dyDescent="0.2">
      <c r="C458" s="10"/>
      <c r="D458" s="10"/>
      <c r="O458"/>
      <c r="Q458"/>
      <c r="S458"/>
      <c r="Z458"/>
      <c r="AB458"/>
      <c r="AD458"/>
      <c r="AE458"/>
    </row>
    <row r="459" spans="3:31" x14ac:dyDescent="0.2">
      <c r="C459" s="10"/>
      <c r="D459" s="10"/>
      <c r="O459"/>
      <c r="Q459"/>
      <c r="S459"/>
      <c r="Z459"/>
      <c r="AB459"/>
      <c r="AD459"/>
      <c r="AE459"/>
    </row>
    <row r="460" spans="3:31" x14ac:dyDescent="0.2">
      <c r="C460" s="10"/>
      <c r="D460" s="10"/>
      <c r="O460"/>
      <c r="Q460"/>
      <c r="S460"/>
      <c r="Z460"/>
      <c r="AB460"/>
      <c r="AD460"/>
      <c r="AE460"/>
    </row>
    <row r="461" spans="3:31" x14ac:dyDescent="0.2">
      <c r="C461" s="10"/>
      <c r="D461" s="10"/>
      <c r="O461"/>
      <c r="Q461"/>
      <c r="S461"/>
      <c r="Z461"/>
      <c r="AB461"/>
      <c r="AD461"/>
      <c r="AE461"/>
    </row>
    <row r="462" spans="3:31" x14ac:dyDescent="0.2">
      <c r="C462" s="10"/>
      <c r="D462" s="10"/>
      <c r="O462"/>
      <c r="Q462"/>
      <c r="S462"/>
      <c r="Z462"/>
      <c r="AB462"/>
      <c r="AD462"/>
      <c r="AE462"/>
    </row>
    <row r="463" spans="3:31" x14ac:dyDescent="0.2">
      <c r="C463" s="10"/>
      <c r="D463" s="10"/>
      <c r="O463"/>
      <c r="Q463"/>
      <c r="S463"/>
      <c r="Z463"/>
      <c r="AB463"/>
      <c r="AD463"/>
      <c r="AE463"/>
    </row>
    <row r="464" spans="3:31" x14ac:dyDescent="0.2">
      <c r="C464" s="10"/>
      <c r="D464" s="10"/>
      <c r="O464"/>
      <c r="Q464"/>
      <c r="S464"/>
      <c r="Z464"/>
      <c r="AB464"/>
      <c r="AD464"/>
      <c r="AE464"/>
    </row>
    <row r="465" spans="3:31" x14ac:dyDescent="0.2">
      <c r="C465" s="10"/>
      <c r="D465" s="10"/>
      <c r="O465"/>
      <c r="Q465"/>
      <c r="S465"/>
      <c r="Z465"/>
      <c r="AB465"/>
      <c r="AD465"/>
      <c r="AE465"/>
    </row>
    <row r="466" spans="3:31" x14ac:dyDescent="0.2">
      <c r="C466" s="10"/>
      <c r="D466" s="10"/>
      <c r="O466"/>
      <c r="Q466"/>
      <c r="S466"/>
      <c r="Z466"/>
      <c r="AB466"/>
      <c r="AD466"/>
      <c r="AE466"/>
    </row>
    <row r="467" spans="3:31" x14ac:dyDescent="0.2">
      <c r="C467" s="10"/>
      <c r="D467" s="10"/>
      <c r="O467"/>
      <c r="Q467"/>
      <c r="S467"/>
      <c r="Z467"/>
      <c r="AB467"/>
      <c r="AD467"/>
      <c r="AE467"/>
    </row>
    <row r="468" spans="3:31" x14ac:dyDescent="0.2">
      <c r="C468" s="10"/>
      <c r="D468" s="10"/>
      <c r="O468"/>
      <c r="Q468"/>
      <c r="S468"/>
      <c r="Z468"/>
      <c r="AB468"/>
      <c r="AD468"/>
      <c r="AE468"/>
    </row>
    <row r="469" spans="3:31" x14ac:dyDescent="0.2">
      <c r="C469" s="10"/>
      <c r="D469" s="10"/>
      <c r="O469"/>
      <c r="Q469"/>
      <c r="S469"/>
      <c r="Z469"/>
      <c r="AB469"/>
      <c r="AD469"/>
      <c r="AE469"/>
    </row>
    <row r="470" spans="3:31" x14ac:dyDescent="0.2">
      <c r="C470" s="10"/>
      <c r="D470" s="10"/>
      <c r="O470"/>
      <c r="Q470"/>
      <c r="S470"/>
      <c r="Z470"/>
      <c r="AB470"/>
      <c r="AD470"/>
      <c r="AE470"/>
    </row>
    <row r="471" spans="3:31" x14ac:dyDescent="0.2">
      <c r="C471" s="10"/>
      <c r="D471" s="10"/>
      <c r="O471"/>
      <c r="Q471"/>
      <c r="S471"/>
      <c r="Z471"/>
      <c r="AB471"/>
      <c r="AD471"/>
      <c r="AE471"/>
    </row>
    <row r="472" spans="3:31" x14ac:dyDescent="0.2">
      <c r="C472" s="10"/>
      <c r="D472" s="10"/>
      <c r="O472"/>
      <c r="Q472"/>
      <c r="S472"/>
      <c r="Z472"/>
      <c r="AB472"/>
      <c r="AD472"/>
      <c r="AE472"/>
    </row>
    <row r="473" spans="3:31" x14ac:dyDescent="0.2">
      <c r="C473" s="10"/>
      <c r="D473" s="10"/>
      <c r="O473"/>
      <c r="Q473"/>
      <c r="S473"/>
      <c r="Z473"/>
      <c r="AB473"/>
      <c r="AD473"/>
      <c r="AE473"/>
    </row>
    <row r="474" spans="3:31" x14ac:dyDescent="0.2">
      <c r="C474" s="10"/>
      <c r="D474" s="10"/>
      <c r="O474"/>
      <c r="Q474"/>
      <c r="S474"/>
      <c r="Z474"/>
      <c r="AB474"/>
      <c r="AD474"/>
      <c r="AE474"/>
    </row>
    <row r="475" spans="3:31" x14ac:dyDescent="0.2">
      <c r="C475" s="10"/>
      <c r="D475" s="10"/>
      <c r="O475"/>
      <c r="Q475"/>
      <c r="S475"/>
      <c r="Z475"/>
      <c r="AB475"/>
      <c r="AD475"/>
      <c r="AE475"/>
    </row>
    <row r="476" spans="3:31" x14ac:dyDescent="0.2">
      <c r="C476" s="10"/>
      <c r="D476" s="10"/>
      <c r="O476"/>
      <c r="Q476"/>
      <c r="S476"/>
      <c r="Z476"/>
      <c r="AB476"/>
      <c r="AD476"/>
      <c r="AE476"/>
    </row>
    <row r="477" spans="3:31" x14ac:dyDescent="0.2">
      <c r="C477" s="10"/>
      <c r="D477" s="10"/>
      <c r="O477"/>
      <c r="Q477"/>
      <c r="S477"/>
      <c r="Z477"/>
      <c r="AB477"/>
      <c r="AD477"/>
      <c r="AE477"/>
    </row>
    <row r="478" spans="3:31" x14ac:dyDescent="0.2">
      <c r="C478" s="10"/>
      <c r="D478" s="10"/>
      <c r="O478"/>
      <c r="Q478"/>
      <c r="S478"/>
      <c r="Z478"/>
      <c r="AB478"/>
      <c r="AD478"/>
      <c r="AE478"/>
    </row>
    <row r="479" spans="3:31" x14ac:dyDescent="0.2">
      <c r="C479" s="10"/>
      <c r="D479" s="10"/>
      <c r="O479"/>
      <c r="Q479"/>
      <c r="S479"/>
      <c r="Z479"/>
      <c r="AB479"/>
      <c r="AD479"/>
      <c r="AE479"/>
    </row>
    <row r="480" spans="3:31" x14ac:dyDescent="0.2">
      <c r="C480" s="10"/>
      <c r="D480" s="10"/>
      <c r="O480"/>
      <c r="Q480"/>
      <c r="S480"/>
      <c r="Z480"/>
      <c r="AB480"/>
      <c r="AD480"/>
      <c r="AE480"/>
    </row>
    <row r="481" spans="3:31" x14ac:dyDescent="0.2">
      <c r="C481" s="10"/>
      <c r="D481" s="10"/>
      <c r="O481"/>
      <c r="Q481"/>
      <c r="S481"/>
      <c r="Z481"/>
      <c r="AB481"/>
      <c r="AD481"/>
      <c r="AE481"/>
    </row>
    <row r="482" spans="3:31" x14ac:dyDescent="0.2">
      <c r="C482" s="10"/>
      <c r="D482" s="10"/>
      <c r="O482"/>
      <c r="Q482"/>
      <c r="S482"/>
      <c r="Z482"/>
      <c r="AB482"/>
      <c r="AD482"/>
      <c r="AE482"/>
    </row>
    <row r="483" spans="3:31" x14ac:dyDescent="0.2">
      <c r="C483" s="10"/>
      <c r="D483" s="10"/>
      <c r="O483"/>
      <c r="Q483"/>
      <c r="S483"/>
      <c r="Z483"/>
      <c r="AB483"/>
      <c r="AD483"/>
      <c r="AE483"/>
    </row>
    <row r="484" spans="3:31" x14ac:dyDescent="0.2">
      <c r="C484" s="10"/>
      <c r="D484" s="10"/>
      <c r="O484"/>
      <c r="Q484"/>
      <c r="S484"/>
      <c r="Z484"/>
      <c r="AB484"/>
      <c r="AD484"/>
      <c r="AE484"/>
    </row>
    <row r="485" spans="3:31" x14ac:dyDescent="0.2">
      <c r="C485" s="10"/>
      <c r="D485" s="10"/>
      <c r="O485"/>
      <c r="Q485"/>
      <c r="S485"/>
      <c r="Z485"/>
      <c r="AB485"/>
      <c r="AD485"/>
      <c r="AE485"/>
    </row>
    <row r="486" spans="3:31" x14ac:dyDescent="0.2">
      <c r="C486" s="10"/>
      <c r="D486" s="10"/>
      <c r="O486"/>
      <c r="Q486"/>
      <c r="S486"/>
      <c r="Z486"/>
      <c r="AB486"/>
      <c r="AD486"/>
      <c r="AE486"/>
    </row>
    <row r="487" spans="3:31" x14ac:dyDescent="0.2">
      <c r="C487" s="10"/>
      <c r="D487" s="10"/>
      <c r="O487"/>
      <c r="Q487"/>
      <c r="S487"/>
      <c r="Z487"/>
      <c r="AB487"/>
      <c r="AD487"/>
      <c r="AE487"/>
    </row>
    <row r="488" spans="3:31" x14ac:dyDescent="0.2">
      <c r="C488" s="10"/>
      <c r="D488" s="10"/>
      <c r="O488"/>
      <c r="Q488"/>
      <c r="S488"/>
      <c r="Z488"/>
      <c r="AB488"/>
      <c r="AD488"/>
      <c r="AE488"/>
    </row>
    <row r="489" spans="3:31" x14ac:dyDescent="0.2">
      <c r="C489" s="10"/>
      <c r="D489" s="10"/>
      <c r="O489"/>
      <c r="Q489"/>
      <c r="S489"/>
      <c r="Z489"/>
      <c r="AB489"/>
      <c r="AD489"/>
      <c r="AE489"/>
    </row>
    <row r="490" spans="3:31" x14ac:dyDescent="0.2">
      <c r="C490" s="10"/>
      <c r="D490" s="10"/>
      <c r="O490"/>
      <c r="Q490"/>
      <c r="S490"/>
      <c r="Z490"/>
      <c r="AB490"/>
      <c r="AD490"/>
      <c r="AE490"/>
    </row>
    <row r="491" spans="3:31" x14ac:dyDescent="0.2">
      <c r="C491" s="10"/>
      <c r="D491" s="10"/>
      <c r="O491"/>
      <c r="Q491"/>
      <c r="S491"/>
      <c r="Z491"/>
      <c r="AB491"/>
      <c r="AD491"/>
      <c r="AE491"/>
    </row>
    <row r="492" spans="3:31" x14ac:dyDescent="0.2">
      <c r="C492" s="10"/>
      <c r="D492" s="10"/>
      <c r="O492"/>
      <c r="Q492"/>
      <c r="S492"/>
      <c r="Z492"/>
      <c r="AB492"/>
      <c r="AD492"/>
      <c r="AE492"/>
    </row>
    <row r="493" spans="3:31" x14ac:dyDescent="0.2">
      <c r="C493" s="10"/>
      <c r="D493" s="10"/>
      <c r="O493"/>
      <c r="Q493"/>
      <c r="S493"/>
      <c r="Z493"/>
      <c r="AB493"/>
      <c r="AD493"/>
      <c r="AE493"/>
    </row>
    <row r="494" spans="3:31" x14ac:dyDescent="0.2">
      <c r="C494" s="10"/>
      <c r="D494" s="10"/>
      <c r="O494"/>
      <c r="Q494"/>
      <c r="S494"/>
      <c r="Z494"/>
      <c r="AB494"/>
      <c r="AD494"/>
      <c r="AE494"/>
    </row>
    <row r="495" spans="3:31" x14ac:dyDescent="0.2">
      <c r="C495" s="10"/>
      <c r="D495" s="10"/>
      <c r="O495"/>
      <c r="Q495"/>
      <c r="S495"/>
      <c r="Z495"/>
      <c r="AB495"/>
      <c r="AD495"/>
      <c r="AE495"/>
    </row>
    <row r="496" spans="3:31" x14ac:dyDescent="0.2">
      <c r="C496" s="10"/>
      <c r="D496" s="10"/>
      <c r="O496"/>
      <c r="Q496"/>
      <c r="S496"/>
      <c r="Z496"/>
      <c r="AB496"/>
      <c r="AD496"/>
      <c r="AE496"/>
    </row>
    <row r="497" spans="3:31" x14ac:dyDescent="0.2">
      <c r="C497" s="10"/>
      <c r="D497" s="10"/>
      <c r="O497"/>
      <c r="Q497"/>
      <c r="S497"/>
      <c r="Z497"/>
      <c r="AB497"/>
      <c r="AD497"/>
      <c r="AE497"/>
    </row>
    <row r="498" spans="3:31" x14ac:dyDescent="0.2">
      <c r="C498" s="10"/>
      <c r="D498" s="10"/>
      <c r="O498"/>
      <c r="Q498"/>
      <c r="S498"/>
      <c r="Z498"/>
      <c r="AB498"/>
      <c r="AD498"/>
      <c r="AE498"/>
    </row>
    <row r="499" spans="3:31" x14ac:dyDescent="0.2">
      <c r="C499" s="10"/>
      <c r="D499" s="10"/>
      <c r="O499"/>
      <c r="Q499"/>
      <c r="S499"/>
      <c r="Z499"/>
      <c r="AB499"/>
      <c r="AD499"/>
      <c r="AE499"/>
    </row>
    <row r="500" spans="3:31" x14ac:dyDescent="0.2">
      <c r="C500" s="10"/>
      <c r="D500" s="10"/>
      <c r="O500"/>
      <c r="Q500"/>
      <c r="S500"/>
      <c r="Z500"/>
      <c r="AB500"/>
      <c r="AD500"/>
      <c r="AE500"/>
    </row>
    <row r="501" spans="3:31" x14ac:dyDescent="0.2">
      <c r="C501" s="10"/>
      <c r="D501" s="10"/>
      <c r="O501"/>
      <c r="Q501"/>
      <c r="S501"/>
      <c r="Z501"/>
      <c r="AB501"/>
      <c r="AD501"/>
      <c r="AE501"/>
    </row>
    <row r="502" spans="3:31" x14ac:dyDescent="0.2">
      <c r="C502" s="10"/>
      <c r="D502" s="10"/>
      <c r="O502"/>
      <c r="Q502"/>
      <c r="S502"/>
      <c r="Z502"/>
      <c r="AB502"/>
      <c r="AD502"/>
      <c r="AE502"/>
    </row>
    <row r="503" spans="3:31" x14ac:dyDescent="0.2">
      <c r="C503" s="10"/>
      <c r="D503" s="10"/>
      <c r="O503"/>
      <c r="Q503"/>
      <c r="S503"/>
      <c r="Z503"/>
      <c r="AB503"/>
      <c r="AD503"/>
      <c r="AE503"/>
    </row>
    <row r="504" spans="3:31" x14ac:dyDescent="0.2">
      <c r="C504" s="10"/>
      <c r="D504" s="10"/>
      <c r="O504"/>
      <c r="Q504"/>
      <c r="S504"/>
      <c r="Z504"/>
      <c r="AB504"/>
      <c r="AD504"/>
      <c r="AE504"/>
    </row>
    <row r="505" spans="3:31" x14ac:dyDescent="0.2">
      <c r="C505" s="10"/>
      <c r="D505" s="10"/>
      <c r="O505"/>
      <c r="Q505"/>
      <c r="S505"/>
      <c r="Z505"/>
      <c r="AB505"/>
      <c r="AD505"/>
      <c r="AE505"/>
    </row>
    <row r="506" spans="3:31" x14ac:dyDescent="0.2">
      <c r="C506" s="10"/>
      <c r="D506" s="10"/>
      <c r="O506"/>
      <c r="Q506"/>
      <c r="S506"/>
      <c r="Z506"/>
      <c r="AB506"/>
      <c r="AD506"/>
      <c r="AE506"/>
    </row>
    <row r="507" spans="3:31" x14ac:dyDescent="0.2">
      <c r="C507" s="10"/>
      <c r="D507" s="10"/>
      <c r="O507"/>
      <c r="Q507"/>
      <c r="S507"/>
      <c r="Z507"/>
      <c r="AB507"/>
      <c r="AD507"/>
      <c r="AE507"/>
    </row>
    <row r="508" spans="3:31" x14ac:dyDescent="0.2">
      <c r="C508" s="10"/>
      <c r="D508" s="10"/>
      <c r="O508"/>
      <c r="Q508"/>
      <c r="S508"/>
      <c r="Z508"/>
      <c r="AB508"/>
      <c r="AD508"/>
      <c r="AE508"/>
    </row>
    <row r="509" spans="3:31" x14ac:dyDescent="0.2">
      <c r="C509" s="10"/>
      <c r="D509" s="10"/>
      <c r="O509"/>
      <c r="Q509"/>
      <c r="S509"/>
      <c r="Z509"/>
      <c r="AB509"/>
      <c r="AD509"/>
      <c r="AE509"/>
    </row>
    <row r="510" spans="3:31" x14ac:dyDescent="0.2">
      <c r="C510" s="10"/>
      <c r="D510" s="10"/>
      <c r="O510"/>
      <c r="Q510"/>
      <c r="S510"/>
      <c r="Z510"/>
      <c r="AB510"/>
      <c r="AD510"/>
      <c r="AE510"/>
    </row>
    <row r="511" spans="3:31" x14ac:dyDescent="0.2">
      <c r="C511" s="10"/>
      <c r="D511" s="10"/>
      <c r="O511"/>
      <c r="Q511"/>
      <c r="S511"/>
      <c r="Z511"/>
      <c r="AB511"/>
      <c r="AD511"/>
      <c r="AE511"/>
    </row>
    <row r="512" spans="3:31" x14ac:dyDescent="0.2">
      <c r="C512" s="10"/>
      <c r="D512" s="10"/>
      <c r="O512"/>
      <c r="Q512"/>
      <c r="S512"/>
      <c r="Z512"/>
      <c r="AB512"/>
      <c r="AD512"/>
      <c r="AE512"/>
    </row>
    <row r="513" spans="3:31" x14ac:dyDescent="0.2">
      <c r="C513" s="10"/>
      <c r="D513" s="10"/>
      <c r="O513"/>
      <c r="Q513"/>
      <c r="S513"/>
      <c r="Z513"/>
      <c r="AB513"/>
      <c r="AD513"/>
      <c r="AE513"/>
    </row>
    <row r="514" spans="3:31" x14ac:dyDescent="0.2">
      <c r="C514" s="10"/>
      <c r="D514" s="10"/>
      <c r="O514"/>
      <c r="Q514"/>
      <c r="S514"/>
      <c r="Z514"/>
      <c r="AB514"/>
      <c r="AD514"/>
      <c r="AE514"/>
    </row>
    <row r="515" spans="3:31" x14ac:dyDescent="0.2">
      <c r="C515" s="10"/>
      <c r="D515" s="10"/>
      <c r="O515"/>
      <c r="Q515"/>
      <c r="S515"/>
      <c r="Z515"/>
      <c r="AB515"/>
      <c r="AD515"/>
      <c r="AE515"/>
    </row>
    <row r="516" spans="3:31" x14ac:dyDescent="0.2">
      <c r="C516" s="10"/>
      <c r="D516" s="10"/>
      <c r="O516"/>
      <c r="Q516"/>
      <c r="S516"/>
      <c r="Z516"/>
      <c r="AB516"/>
      <c r="AD516"/>
      <c r="AE516"/>
    </row>
    <row r="517" spans="3:31" x14ac:dyDescent="0.2">
      <c r="C517" s="10"/>
      <c r="D517" s="10"/>
      <c r="O517"/>
      <c r="Q517"/>
      <c r="S517"/>
      <c r="Z517"/>
      <c r="AB517"/>
      <c r="AD517"/>
      <c r="AE517"/>
    </row>
    <row r="518" spans="3:31" x14ac:dyDescent="0.2">
      <c r="C518" s="10"/>
      <c r="D518" s="10"/>
      <c r="O518"/>
      <c r="Q518"/>
      <c r="S518"/>
      <c r="Z518"/>
      <c r="AB518"/>
      <c r="AD518"/>
      <c r="AE518"/>
    </row>
    <row r="519" spans="3:31" x14ac:dyDescent="0.2">
      <c r="C519" s="10"/>
      <c r="D519" s="10"/>
      <c r="O519"/>
      <c r="Q519"/>
      <c r="S519"/>
      <c r="Z519"/>
      <c r="AB519"/>
      <c r="AD519"/>
      <c r="AE519"/>
    </row>
    <row r="520" spans="3:31" x14ac:dyDescent="0.2">
      <c r="C520" s="10"/>
      <c r="D520" s="10"/>
      <c r="O520"/>
      <c r="Q520"/>
      <c r="S520"/>
      <c r="Z520"/>
      <c r="AB520"/>
      <c r="AD520"/>
      <c r="AE520"/>
    </row>
    <row r="521" spans="3:31" x14ac:dyDescent="0.2">
      <c r="C521" s="10"/>
      <c r="D521" s="10"/>
      <c r="O521"/>
      <c r="Q521"/>
      <c r="S521"/>
      <c r="Z521"/>
      <c r="AB521"/>
      <c r="AD521"/>
      <c r="AE521"/>
    </row>
    <row r="522" spans="3:31" x14ac:dyDescent="0.2">
      <c r="C522" s="10"/>
      <c r="D522" s="10"/>
      <c r="O522"/>
      <c r="Q522"/>
      <c r="S522"/>
      <c r="Z522"/>
      <c r="AB522"/>
      <c r="AD522"/>
      <c r="AE522"/>
    </row>
    <row r="523" spans="3:31" x14ac:dyDescent="0.2">
      <c r="C523" s="10"/>
      <c r="D523" s="10"/>
      <c r="O523"/>
      <c r="Q523"/>
      <c r="S523"/>
      <c r="Z523"/>
      <c r="AB523"/>
      <c r="AD523"/>
      <c r="AE523"/>
    </row>
    <row r="524" spans="3:31" x14ac:dyDescent="0.2">
      <c r="C524" s="10"/>
      <c r="D524" s="10"/>
      <c r="O524"/>
      <c r="Q524"/>
      <c r="S524"/>
      <c r="Z524"/>
      <c r="AB524"/>
      <c r="AD524"/>
      <c r="AE524"/>
    </row>
    <row r="525" spans="3:31" x14ac:dyDescent="0.2">
      <c r="C525" s="10"/>
      <c r="D525" s="10"/>
      <c r="O525"/>
      <c r="Q525"/>
      <c r="S525"/>
      <c r="Z525"/>
      <c r="AB525"/>
      <c r="AD525"/>
      <c r="AE525"/>
    </row>
    <row r="526" spans="3:31" x14ac:dyDescent="0.2">
      <c r="C526" s="10"/>
      <c r="D526" s="10"/>
      <c r="O526"/>
      <c r="Q526"/>
      <c r="S526"/>
      <c r="Z526"/>
      <c r="AB526"/>
      <c r="AD526"/>
      <c r="AE526"/>
    </row>
    <row r="527" spans="3:31" x14ac:dyDescent="0.2">
      <c r="C527" s="10"/>
      <c r="D527" s="10"/>
      <c r="O527"/>
      <c r="Q527"/>
      <c r="S527"/>
      <c r="Z527"/>
      <c r="AB527"/>
      <c r="AD527"/>
      <c r="AE527"/>
    </row>
    <row r="528" spans="3:31" x14ac:dyDescent="0.2">
      <c r="C528" s="10"/>
      <c r="D528" s="10"/>
      <c r="O528"/>
      <c r="Q528"/>
      <c r="S528"/>
      <c r="Z528"/>
      <c r="AB528"/>
      <c r="AD528"/>
      <c r="AE528"/>
    </row>
    <row r="529" spans="3:31" x14ac:dyDescent="0.2">
      <c r="C529" s="10"/>
      <c r="D529" s="10"/>
      <c r="O529"/>
      <c r="Q529"/>
      <c r="S529"/>
      <c r="Z529"/>
      <c r="AB529"/>
      <c r="AD529"/>
      <c r="AE529"/>
    </row>
    <row r="530" spans="3:31" x14ac:dyDescent="0.2">
      <c r="C530" s="10"/>
      <c r="D530" s="10"/>
      <c r="O530"/>
      <c r="Q530"/>
      <c r="S530"/>
      <c r="Z530"/>
      <c r="AB530"/>
      <c r="AD530"/>
      <c r="AE530"/>
    </row>
    <row r="531" spans="3:31" x14ac:dyDescent="0.2">
      <c r="C531" s="10"/>
      <c r="D531" s="10"/>
      <c r="O531"/>
      <c r="Q531"/>
      <c r="S531"/>
      <c r="Z531"/>
      <c r="AB531"/>
      <c r="AD531"/>
      <c r="AE531"/>
    </row>
    <row r="532" spans="3:31" x14ac:dyDescent="0.2">
      <c r="C532" s="10"/>
      <c r="D532" s="10"/>
      <c r="O532"/>
      <c r="Q532"/>
      <c r="S532"/>
      <c r="Z532"/>
      <c r="AB532"/>
      <c r="AD532"/>
      <c r="AE532"/>
    </row>
    <row r="533" spans="3:31" x14ac:dyDescent="0.2">
      <c r="C533" s="10"/>
      <c r="D533" s="10"/>
      <c r="O533"/>
      <c r="Q533"/>
      <c r="S533"/>
      <c r="Z533"/>
      <c r="AB533"/>
      <c r="AD533"/>
      <c r="AE533"/>
    </row>
    <row r="534" spans="3:31" x14ac:dyDescent="0.2">
      <c r="C534" s="10"/>
      <c r="D534" s="10"/>
      <c r="O534"/>
      <c r="Q534"/>
      <c r="S534"/>
      <c r="Z534"/>
      <c r="AB534"/>
      <c r="AD534"/>
      <c r="AE534"/>
    </row>
    <row r="535" spans="3:31" x14ac:dyDescent="0.2">
      <c r="C535" s="10"/>
      <c r="D535" s="10"/>
      <c r="O535"/>
      <c r="Q535"/>
      <c r="S535"/>
      <c r="Z535"/>
      <c r="AB535"/>
      <c r="AD535"/>
      <c r="AE535"/>
    </row>
    <row r="536" spans="3:31" x14ac:dyDescent="0.2">
      <c r="C536" s="10"/>
      <c r="D536" s="10"/>
      <c r="O536"/>
      <c r="Q536"/>
      <c r="S536"/>
      <c r="Z536"/>
      <c r="AB536"/>
      <c r="AD536"/>
      <c r="AE536"/>
    </row>
    <row r="537" spans="3:31" x14ac:dyDescent="0.2">
      <c r="C537" s="10"/>
      <c r="D537" s="10"/>
      <c r="O537"/>
      <c r="Q537"/>
      <c r="S537"/>
      <c r="Z537"/>
      <c r="AB537"/>
      <c r="AD537"/>
      <c r="AE537"/>
    </row>
    <row r="538" spans="3:31" x14ac:dyDescent="0.2">
      <c r="C538" s="10"/>
      <c r="D538" s="10"/>
      <c r="O538"/>
      <c r="Q538"/>
      <c r="S538"/>
      <c r="Z538"/>
      <c r="AB538"/>
      <c r="AD538"/>
      <c r="AE538"/>
    </row>
    <row r="539" spans="3:31" x14ac:dyDescent="0.2">
      <c r="C539" s="10"/>
      <c r="D539" s="10"/>
      <c r="O539"/>
      <c r="Q539"/>
      <c r="S539"/>
      <c r="Z539"/>
      <c r="AB539"/>
      <c r="AD539"/>
      <c r="AE539"/>
    </row>
    <row r="540" spans="3:31" x14ac:dyDescent="0.2">
      <c r="C540" s="10"/>
      <c r="D540" s="10"/>
      <c r="O540"/>
      <c r="Q540"/>
      <c r="S540"/>
      <c r="Z540"/>
      <c r="AB540"/>
      <c r="AD540"/>
      <c r="AE540"/>
    </row>
    <row r="541" spans="3:31" x14ac:dyDescent="0.2">
      <c r="C541" s="10"/>
      <c r="D541" s="10"/>
      <c r="O541"/>
      <c r="Q541"/>
      <c r="S541"/>
      <c r="Z541"/>
      <c r="AB541"/>
      <c r="AD541"/>
      <c r="AE541"/>
    </row>
    <row r="542" spans="3:31" x14ac:dyDescent="0.2">
      <c r="C542" s="10"/>
      <c r="D542" s="10"/>
      <c r="O542"/>
      <c r="Q542"/>
      <c r="S542"/>
      <c r="Z542"/>
      <c r="AB542"/>
      <c r="AD542"/>
      <c r="AE542"/>
    </row>
    <row r="543" spans="3:31" x14ac:dyDescent="0.2">
      <c r="C543" s="10"/>
      <c r="D543" s="10"/>
      <c r="O543"/>
      <c r="Q543"/>
      <c r="S543"/>
      <c r="Z543"/>
      <c r="AB543"/>
      <c r="AD543"/>
      <c r="AE543"/>
    </row>
    <row r="544" spans="3:31" x14ac:dyDescent="0.2">
      <c r="C544" s="10"/>
      <c r="D544" s="10"/>
      <c r="O544"/>
      <c r="Q544"/>
      <c r="S544"/>
      <c r="Z544"/>
      <c r="AB544"/>
      <c r="AD544"/>
      <c r="AE544"/>
    </row>
    <row r="545" spans="3:31" x14ac:dyDescent="0.2">
      <c r="C545" s="10"/>
      <c r="D545" s="10"/>
      <c r="O545"/>
      <c r="Q545"/>
      <c r="S545"/>
      <c r="Z545"/>
      <c r="AB545"/>
      <c r="AD545"/>
      <c r="AE545"/>
    </row>
    <row r="546" spans="3:31" x14ac:dyDescent="0.2">
      <c r="C546" s="10"/>
      <c r="D546" s="10"/>
      <c r="O546"/>
      <c r="Q546"/>
      <c r="S546"/>
      <c r="Z546"/>
      <c r="AB546"/>
      <c r="AD546"/>
      <c r="AE546"/>
    </row>
    <row r="547" spans="3:31" x14ac:dyDescent="0.2">
      <c r="C547" s="10"/>
      <c r="D547" s="10"/>
      <c r="O547"/>
      <c r="Q547"/>
      <c r="S547"/>
      <c r="Z547"/>
      <c r="AB547"/>
      <c r="AD547"/>
      <c r="AE547"/>
    </row>
    <row r="548" spans="3:31" x14ac:dyDescent="0.2">
      <c r="C548" s="10"/>
      <c r="D548" s="10"/>
      <c r="O548"/>
      <c r="Q548"/>
      <c r="S548"/>
      <c r="Z548"/>
      <c r="AB548"/>
      <c r="AD548"/>
      <c r="AE548"/>
    </row>
    <row r="549" spans="3:31" x14ac:dyDescent="0.2">
      <c r="C549" s="10"/>
      <c r="D549" s="10"/>
      <c r="O549"/>
      <c r="Q549"/>
      <c r="S549"/>
      <c r="Z549"/>
      <c r="AB549"/>
      <c r="AD549"/>
      <c r="AE549"/>
    </row>
    <row r="550" spans="3:31" x14ac:dyDescent="0.2">
      <c r="C550" s="10"/>
      <c r="D550" s="10"/>
      <c r="O550"/>
      <c r="Q550"/>
      <c r="S550"/>
      <c r="Z550"/>
      <c r="AB550"/>
      <c r="AD550"/>
      <c r="AE550"/>
    </row>
    <row r="551" spans="3:31" x14ac:dyDescent="0.2">
      <c r="C551" s="10"/>
      <c r="D551" s="10"/>
      <c r="O551"/>
      <c r="Q551"/>
      <c r="S551"/>
      <c r="Z551"/>
      <c r="AB551"/>
      <c r="AD551"/>
      <c r="AE551"/>
    </row>
    <row r="552" spans="3:31" x14ac:dyDescent="0.2">
      <c r="C552" s="10"/>
      <c r="D552" s="10"/>
      <c r="O552"/>
      <c r="Q552"/>
      <c r="S552"/>
      <c r="Z552"/>
      <c r="AB552"/>
      <c r="AD552"/>
      <c r="AE552"/>
    </row>
    <row r="553" spans="3:31" x14ac:dyDescent="0.2">
      <c r="C553" s="10"/>
      <c r="D553" s="10"/>
      <c r="O553"/>
      <c r="Q553"/>
      <c r="S553"/>
      <c r="Z553"/>
      <c r="AB553"/>
      <c r="AD553"/>
      <c r="AE553"/>
    </row>
    <row r="554" spans="3:31" x14ac:dyDescent="0.2">
      <c r="C554" s="10"/>
      <c r="D554" s="10"/>
      <c r="O554"/>
      <c r="Q554"/>
      <c r="S554"/>
      <c r="Z554"/>
      <c r="AB554"/>
      <c r="AD554"/>
      <c r="AE554"/>
    </row>
    <row r="555" spans="3:31" x14ac:dyDescent="0.2">
      <c r="C555" s="10"/>
      <c r="D555" s="10"/>
      <c r="O555"/>
      <c r="Q555"/>
      <c r="S555"/>
      <c r="Z555"/>
      <c r="AB555"/>
      <c r="AD555"/>
      <c r="AE555"/>
    </row>
    <row r="556" spans="3:31" x14ac:dyDescent="0.2">
      <c r="C556" s="10"/>
      <c r="D556" s="10"/>
      <c r="O556"/>
      <c r="Q556"/>
      <c r="S556"/>
      <c r="Z556"/>
      <c r="AB556"/>
      <c r="AD556"/>
      <c r="AE556"/>
    </row>
    <row r="557" spans="3:31" x14ac:dyDescent="0.2">
      <c r="C557" s="10"/>
      <c r="D557" s="10"/>
      <c r="O557"/>
      <c r="Q557"/>
      <c r="S557"/>
      <c r="Z557"/>
      <c r="AB557"/>
      <c r="AD557"/>
      <c r="AE557"/>
    </row>
    <row r="558" spans="3:31" x14ac:dyDescent="0.2">
      <c r="C558" s="10"/>
      <c r="D558" s="10"/>
      <c r="O558"/>
      <c r="Q558"/>
      <c r="S558"/>
      <c r="Z558"/>
      <c r="AB558"/>
      <c r="AD558"/>
      <c r="AE558"/>
    </row>
    <row r="559" spans="3:31" x14ac:dyDescent="0.2">
      <c r="C559" s="10"/>
      <c r="D559" s="10"/>
      <c r="O559"/>
      <c r="Q559"/>
      <c r="S559"/>
      <c r="Z559"/>
      <c r="AB559"/>
      <c r="AD559"/>
      <c r="AE559"/>
    </row>
    <row r="560" spans="3:31" x14ac:dyDescent="0.2">
      <c r="C560" s="10"/>
      <c r="D560" s="10"/>
      <c r="O560"/>
      <c r="Q560"/>
      <c r="S560"/>
      <c r="Z560"/>
      <c r="AB560"/>
      <c r="AD560"/>
      <c r="AE560"/>
    </row>
    <row r="561" spans="3:31" x14ac:dyDescent="0.2">
      <c r="C561" s="10"/>
      <c r="D561" s="10"/>
      <c r="O561"/>
      <c r="Q561"/>
      <c r="S561"/>
      <c r="Z561"/>
      <c r="AB561"/>
      <c r="AD561"/>
      <c r="AE561"/>
    </row>
    <row r="562" spans="3:31" x14ac:dyDescent="0.2">
      <c r="C562" s="10"/>
      <c r="D562" s="10"/>
      <c r="O562"/>
      <c r="Q562"/>
      <c r="S562"/>
      <c r="Z562"/>
      <c r="AB562"/>
      <c r="AD562"/>
      <c r="AE562"/>
    </row>
    <row r="563" spans="3:31" x14ac:dyDescent="0.2">
      <c r="C563" s="10"/>
      <c r="D563" s="10"/>
      <c r="O563"/>
      <c r="Q563"/>
      <c r="S563"/>
      <c r="Z563"/>
      <c r="AB563"/>
      <c r="AD563"/>
      <c r="AE563"/>
    </row>
    <row r="564" spans="3:31" x14ac:dyDescent="0.2">
      <c r="C564" s="10"/>
      <c r="D564" s="10"/>
      <c r="O564"/>
      <c r="Q564"/>
      <c r="S564"/>
      <c r="Z564"/>
      <c r="AB564"/>
      <c r="AD564"/>
      <c r="AE564"/>
    </row>
    <row r="565" spans="3:31" x14ac:dyDescent="0.2">
      <c r="C565" s="10"/>
      <c r="D565" s="10"/>
      <c r="O565"/>
      <c r="Q565"/>
      <c r="S565"/>
      <c r="Z565"/>
      <c r="AB565"/>
      <c r="AD565"/>
      <c r="AE565"/>
    </row>
    <row r="566" spans="3:31" x14ac:dyDescent="0.2">
      <c r="C566" s="10"/>
      <c r="D566" s="10"/>
      <c r="O566"/>
      <c r="Q566"/>
      <c r="S566"/>
      <c r="Z566"/>
      <c r="AB566"/>
      <c r="AD566"/>
      <c r="AE566"/>
    </row>
    <row r="567" spans="3:31" x14ac:dyDescent="0.2">
      <c r="C567" s="10"/>
      <c r="D567" s="10"/>
      <c r="O567"/>
      <c r="Q567"/>
      <c r="S567"/>
      <c r="Z567"/>
      <c r="AB567"/>
      <c r="AD567"/>
      <c r="AE567"/>
    </row>
    <row r="568" spans="3:31" x14ac:dyDescent="0.2">
      <c r="C568" s="10"/>
      <c r="D568" s="10"/>
      <c r="O568"/>
      <c r="Q568"/>
      <c r="S568"/>
      <c r="Z568"/>
      <c r="AB568"/>
      <c r="AD568"/>
      <c r="AE568"/>
    </row>
    <row r="569" spans="3:31" x14ac:dyDescent="0.2">
      <c r="C569" s="10"/>
      <c r="D569" s="10"/>
      <c r="O569"/>
      <c r="Q569"/>
      <c r="S569"/>
      <c r="Z569"/>
      <c r="AB569"/>
      <c r="AD569"/>
      <c r="AE569"/>
    </row>
    <row r="570" spans="3:31" x14ac:dyDescent="0.2">
      <c r="C570" s="10"/>
      <c r="D570" s="10"/>
      <c r="O570"/>
      <c r="Q570"/>
      <c r="S570"/>
      <c r="Z570"/>
      <c r="AB570"/>
      <c r="AD570"/>
      <c r="AE570"/>
    </row>
    <row r="571" spans="3:31" x14ac:dyDescent="0.2">
      <c r="C571" s="10"/>
      <c r="D571" s="10"/>
      <c r="O571"/>
      <c r="Q571"/>
      <c r="S571"/>
      <c r="Z571"/>
      <c r="AB571"/>
      <c r="AD571"/>
      <c r="AE571"/>
    </row>
    <row r="572" spans="3:31" x14ac:dyDescent="0.2">
      <c r="C572" s="10"/>
      <c r="D572" s="10"/>
      <c r="O572"/>
      <c r="Q572"/>
      <c r="S572"/>
      <c r="Z572"/>
      <c r="AB572"/>
      <c r="AD572"/>
      <c r="AE572"/>
    </row>
    <row r="573" spans="3:31" x14ac:dyDescent="0.2">
      <c r="C573" s="10"/>
      <c r="D573" s="10"/>
      <c r="O573"/>
      <c r="Q573"/>
      <c r="S573"/>
      <c r="Z573"/>
      <c r="AB573"/>
      <c r="AD573"/>
      <c r="AE573"/>
    </row>
    <row r="574" spans="3:31" x14ac:dyDescent="0.2">
      <c r="C574" s="10"/>
      <c r="D574" s="10"/>
      <c r="O574"/>
      <c r="Q574"/>
      <c r="S574"/>
      <c r="Z574"/>
      <c r="AB574"/>
      <c r="AD574"/>
      <c r="AE574"/>
    </row>
    <row r="575" spans="3:31" x14ac:dyDescent="0.2">
      <c r="C575" s="10"/>
      <c r="D575" s="10"/>
      <c r="O575"/>
      <c r="Q575"/>
      <c r="S575"/>
      <c r="Z575"/>
      <c r="AB575"/>
      <c r="AD575"/>
      <c r="AE575"/>
    </row>
    <row r="576" spans="3:31" x14ac:dyDescent="0.2">
      <c r="C576" s="10"/>
      <c r="D576" s="10"/>
      <c r="O576"/>
      <c r="Q576"/>
      <c r="S576"/>
      <c r="Z576"/>
      <c r="AB576"/>
      <c r="AD576"/>
      <c r="AE576"/>
    </row>
    <row r="577" spans="3:31" x14ac:dyDescent="0.2">
      <c r="C577" s="10"/>
      <c r="D577" s="10"/>
      <c r="O577"/>
      <c r="Q577"/>
      <c r="S577"/>
      <c r="Z577"/>
      <c r="AB577"/>
      <c r="AD577"/>
      <c r="AE577"/>
    </row>
    <row r="578" spans="3:31" x14ac:dyDescent="0.2">
      <c r="C578" s="10"/>
      <c r="D578" s="10"/>
      <c r="O578"/>
      <c r="Q578"/>
      <c r="S578"/>
      <c r="Z578"/>
      <c r="AB578"/>
      <c r="AD578"/>
      <c r="AE578"/>
    </row>
    <row r="579" spans="3:31" x14ac:dyDescent="0.2">
      <c r="C579" s="10"/>
      <c r="D579" s="10"/>
      <c r="O579"/>
      <c r="Q579"/>
      <c r="S579"/>
      <c r="Z579"/>
      <c r="AB579"/>
      <c r="AD579"/>
      <c r="AE579"/>
    </row>
    <row r="580" spans="3:31" x14ac:dyDescent="0.2">
      <c r="C580" s="10"/>
      <c r="D580" s="10"/>
      <c r="O580"/>
      <c r="Q580"/>
      <c r="S580"/>
      <c r="Z580"/>
      <c r="AB580"/>
      <c r="AD580"/>
      <c r="AE580"/>
    </row>
    <row r="581" spans="3:31" x14ac:dyDescent="0.2">
      <c r="C581" s="10"/>
      <c r="D581" s="10"/>
      <c r="O581"/>
      <c r="Q581"/>
      <c r="S581"/>
      <c r="Z581"/>
      <c r="AB581"/>
      <c r="AD581"/>
      <c r="AE581"/>
    </row>
    <row r="582" spans="3:31" x14ac:dyDescent="0.2">
      <c r="C582" s="10"/>
      <c r="D582" s="10"/>
      <c r="O582"/>
      <c r="Q582"/>
      <c r="S582"/>
      <c r="Z582"/>
      <c r="AB582"/>
      <c r="AD582"/>
      <c r="AE582"/>
    </row>
    <row r="583" spans="3:31" x14ac:dyDescent="0.2">
      <c r="C583" s="10"/>
      <c r="D583" s="10"/>
      <c r="O583"/>
      <c r="Q583"/>
      <c r="S583"/>
      <c r="Z583"/>
      <c r="AB583"/>
      <c r="AD583"/>
      <c r="AE583"/>
    </row>
    <row r="584" spans="3:31" x14ac:dyDescent="0.2">
      <c r="C584" s="10"/>
      <c r="D584" s="10"/>
      <c r="O584"/>
      <c r="Q584"/>
      <c r="S584"/>
      <c r="Z584"/>
      <c r="AB584"/>
      <c r="AD584"/>
      <c r="AE584"/>
    </row>
    <row r="585" spans="3:31" x14ac:dyDescent="0.2">
      <c r="C585" s="10"/>
      <c r="D585" s="10"/>
      <c r="O585"/>
      <c r="Q585"/>
      <c r="S585"/>
      <c r="Z585"/>
      <c r="AB585"/>
      <c r="AD585"/>
      <c r="AE585"/>
    </row>
    <row r="586" spans="3:31" x14ac:dyDescent="0.2">
      <c r="C586" s="10"/>
      <c r="D586" s="10"/>
      <c r="O586"/>
      <c r="Q586"/>
      <c r="S586"/>
      <c r="Z586"/>
      <c r="AB586"/>
      <c r="AD586"/>
      <c r="AE586"/>
    </row>
    <row r="587" spans="3:31" x14ac:dyDescent="0.2">
      <c r="C587" s="10"/>
      <c r="D587" s="10"/>
      <c r="O587"/>
      <c r="Q587"/>
      <c r="S587"/>
      <c r="Z587"/>
      <c r="AB587"/>
      <c r="AD587"/>
      <c r="AE587"/>
    </row>
    <row r="588" spans="3:31" x14ac:dyDescent="0.2">
      <c r="C588" s="10"/>
      <c r="D588" s="10"/>
      <c r="O588"/>
      <c r="Q588"/>
      <c r="S588"/>
      <c r="Z588"/>
      <c r="AB588"/>
      <c r="AD588"/>
      <c r="AE588"/>
    </row>
    <row r="589" spans="3:31" x14ac:dyDescent="0.2">
      <c r="C589" s="10"/>
      <c r="D589" s="10"/>
      <c r="O589"/>
      <c r="Q589"/>
      <c r="S589"/>
      <c r="Z589"/>
      <c r="AB589"/>
      <c r="AD589"/>
      <c r="AE589"/>
    </row>
    <row r="590" spans="3:31" x14ac:dyDescent="0.2">
      <c r="C590" s="10"/>
      <c r="D590" s="10"/>
      <c r="O590"/>
      <c r="Q590"/>
      <c r="S590"/>
      <c r="Z590"/>
      <c r="AB590"/>
      <c r="AD590"/>
      <c r="AE590"/>
    </row>
    <row r="591" spans="3:31" x14ac:dyDescent="0.2">
      <c r="C591" s="10"/>
      <c r="D591" s="10"/>
      <c r="O591"/>
      <c r="Q591"/>
      <c r="S591"/>
      <c r="Z591"/>
      <c r="AB591"/>
      <c r="AD591"/>
      <c r="AE591"/>
    </row>
    <row r="592" spans="3:31" x14ac:dyDescent="0.2">
      <c r="C592" s="10"/>
      <c r="D592" s="10"/>
      <c r="O592"/>
      <c r="Q592"/>
      <c r="S592"/>
      <c r="Z592"/>
      <c r="AB592"/>
      <c r="AD592"/>
      <c r="AE592"/>
    </row>
    <row r="593" spans="3:31" x14ac:dyDescent="0.2">
      <c r="C593" s="10"/>
      <c r="D593" s="10"/>
      <c r="O593"/>
      <c r="Q593"/>
      <c r="S593"/>
      <c r="Z593"/>
      <c r="AB593"/>
      <c r="AD593"/>
      <c r="AE593"/>
    </row>
    <row r="594" spans="3:31" x14ac:dyDescent="0.2">
      <c r="C594" s="10"/>
      <c r="D594" s="10"/>
      <c r="O594"/>
      <c r="Q594"/>
      <c r="S594"/>
      <c r="Z594"/>
      <c r="AB594"/>
      <c r="AD594"/>
      <c r="AE594"/>
    </row>
    <row r="595" spans="3:31" x14ac:dyDescent="0.2">
      <c r="C595" s="10"/>
      <c r="D595" s="10"/>
      <c r="O595"/>
      <c r="Q595"/>
      <c r="S595"/>
      <c r="Z595"/>
      <c r="AB595"/>
      <c r="AD595"/>
      <c r="AE595"/>
    </row>
    <row r="596" spans="3:31" x14ac:dyDescent="0.2">
      <c r="C596" s="10"/>
      <c r="D596" s="10"/>
      <c r="O596"/>
      <c r="Q596"/>
      <c r="S596"/>
      <c r="Z596"/>
      <c r="AB596"/>
      <c r="AD596"/>
      <c r="AE596"/>
    </row>
    <row r="597" spans="3:31" x14ac:dyDescent="0.2">
      <c r="C597" s="10"/>
      <c r="D597" s="10"/>
      <c r="O597"/>
      <c r="Q597"/>
      <c r="S597"/>
      <c r="Z597"/>
      <c r="AB597"/>
      <c r="AD597"/>
      <c r="AE597"/>
    </row>
    <row r="598" spans="3:31" x14ac:dyDescent="0.2">
      <c r="C598" s="10"/>
      <c r="D598" s="10"/>
      <c r="O598"/>
      <c r="Q598"/>
      <c r="S598"/>
      <c r="Z598"/>
      <c r="AB598"/>
      <c r="AD598"/>
      <c r="AE598"/>
    </row>
    <row r="599" spans="3:31" x14ac:dyDescent="0.2">
      <c r="C599" s="10"/>
      <c r="D599" s="10"/>
      <c r="O599"/>
      <c r="Q599"/>
      <c r="S599"/>
      <c r="Z599"/>
      <c r="AB599"/>
      <c r="AD599"/>
      <c r="AE599"/>
    </row>
    <row r="600" spans="3:31" x14ac:dyDescent="0.2">
      <c r="C600" s="10"/>
      <c r="D600" s="10"/>
      <c r="O600"/>
      <c r="Q600"/>
      <c r="S600"/>
      <c r="Z600"/>
      <c r="AB600"/>
      <c r="AD600"/>
      <c r="AE600"/>
    </row>
    <row r="601" spans="3:31" x14ac:dyDescent="0.2">
      <c r="C601" s="10"/>
      <c r="D601" s="10"/>
      <c r="O601"/>
      <c r="Q601"/>
      <c r="S601"/>
      <c r="Z601"/>
      <c r="AB601"/>
      <c r="AD601"/>
      <c r="AE601"/>
    </row>
    <row r="602" spans="3:31" x14ac:dyDescent="0.2">
      <c r="C602" s="10"/>
      <c r="D602" s="10"/>
      <c r="O602"/>
      <c r="Q602"/>
      <c r="S602"/>
      <c r="Z602"/>
      <c r="AB602"/>
      <c r="AD602"/>
      <c r="AE602"/>
    </row>
    <row r="603" spans="3:31" x14ac:dyDescent="0.2">
      <c r="C603" s="10"/>
      <c r="D603" s="10"/>
      <c r="O603"/>
      <c r="Q603"/>
      <c r="S603"/>
      <c r="Z603"/>
      <c r="AB603"/>
      <c r="AD603"/>
      <c r="AE603"/>
    </row>
    <row r="604" spans="3:31" x14ac:dyDescent="0.2">
      <c r="C604" s="10"/>
      <c r="D604" s="10"/>
      <c r="O604"/>
      <c r="Q604"/>
      <c r="S604"/>
      <c r="Z604"/>
      <c r="AB604"/>
      <c r="AD604"/>
      <c r="AE604"/>
    </row>
    <row r="605" spans="3:31" x14ac:dyDescent="0.2">
      <c r="C605" s="10"/>
      <c r="D605" s="10"/>
      <c r="O605"/>
      <c r="Q605"/>
      <c r="S605"/>
      <c r="Z605"/>
      <c r="AB605"/>
      <c r="AD605"/>
      <c r="AE605"/>
    </row>
    <row r="606" spans="3:31" x14ac:dyDescent="0.2">
      <c r="C606" s="10"/>
      <c r="D606" s="10"/>
      <c r="O606"/>
      <c r="Q606"/>
      <c r="S606"/>
      <c r="Z606"/>
      <c r="AB606"/>
      <c r="AD606"/>
      <c r="AE606"/>
    </row>
    <row r="607" spans="3:31" x14ac:dyDescent="0.2">
      <c r="C607" s="10"/>
      <c r="D607" s="10"/>
      <c r="O607"/>
      <c r="Q607"/>
      <c r="S607"/>
      <c r="Z607"/>
      <c r="AB607"/>
      <c r="AD607"/>
      <c r="AE607"/>
    </row>
    <row r="608" spans="3:31" x14ac:dyDescent="0.2">
      <c r="C608" s="10"/>
      <c r="D608" s="10"/>
      <c r="O608"/>
      <c r="Q608"/>
      <c r="S608"/>
      <c r="Z608"/>
      <c r="AB608"/>
      <c r="AD608"/>
      <c r="AE608"/>
    </row>
    <row r="609" spans="3:31" x14ac:dyDescent="0.2">
      <c r="C609" s="10"/>
      <c r="D609" s="10"/>
      <c r="O609"/>
      <c r="Q609"/>
      <c r="S609"/>
      <c r="Z609"/>
      <c r="AB609"/>
      <c r="AD609"/>
      <c r="AE609"/>
    </row>
    <row r="610" spans="3:31" x14ac:dyDescent="0.2">
      <c r="C610" s="10"/>
      <c r="D610" s="10"/>
      <c r="O610"/>
      <c r="Q610"/>
      <c r="S610"/>
      <c r="Z610"/>
      <c r="AB610"/>
      <c r="AD610"/>
      <c r="AE610"/>
    </row>
    <row r="611" spans="3:31" x14ac:dyDescent="0.2">
      <c r="C611" s="10"/>
      <c r="D611" s="10"/>
      <c r="O611"/>
      <c r="Q611"/>
      <c r="S611"/>
      <c r="Z611"/>
      <c r="AB611"/>
      <c r="AD611"/>
      <c r="AE611"/>
    </row>
    <row r="612" spans="3:31" x14ac:dyDescent="0.2">
      <c r="C612" s="10"/>
      <c r="D612" s="10"/>
      <c r="O612"/>
      <c r="Q612"/>
      <c r="S612"/>
      <c r="Z612"/>
      <c r="AB612"/>
      <c r="AD612"/>
      <c r="AE612"/>
    </row>
    <row r="613" spans="3:31" x14ac:dyDescent="0.2">
      <c r="C613" s="10"/>
      <c r="D613" s="10"/>
      <c r="O613"/>
      <c r="Q613"/>
      <c r="S613"/>
      <c r="Z613"/>
      <c r="AB613"/>
      <c r="AD613"/>
      <c r="AE613"/>
    </row>
    <row r="614" spans="3:31" x14ac:dyDescent="0.2">
      <c r="C614" s="10"/>
      <c r="D614" s="10"/>
      <c r="O614"/>
      <c r="Q614"/>
      <c r="S614"/>
      <c r="Z614"/>
      <c r="AB614"/>
      <c r="AD614"/>
      <c r="AE614"/>
    </row>
    <row r="615" spans="3:31" x14ac:dyDescent="0.2">
      <c r="C615" s="10"/>
      <c r="D615" s="10"/>
      <c r="O615"/>
      <c r="Q615"/>
      <c r="S615"/>
      <c r="Z615"/>
      <c r="AB615"/>
      <c r="AD615"/>
      <c r="AE615"/>
    </row>
    <row r="616" spans="3:31" x14ac:dyDescent="0.2">
      <c r="C616" s="10"/>
      <c r="D616" s="10"/>
      <c r="O616"/>
      <c r="Q616"/>
      <c r="S616"/>
      <c r="Z616"/>
      <c r="AB616"/>
      <c r="AD616"/>
      <c r="AE616"/>
    </row>
    <row r="617" spans="3:31" x14ac:dyDescent="0.2">
      <c r="C617" s="10"/>
      <c r="D617" s="10"/>
      <c r="O617"/>
      <c r="Q617"/>
      <c r="S617"/>
      <c r="Z617"/>
      <c r="AB617"/>
      <c r="AD617"/>
      <c r="AE617"/>
    </row>
    <row r="618" spans="3:31" x14ac:dyDescent="0.2">
      <c r="C618" s="10"/>
      <c r="D618" s="10"/>
      <c r="O618"/>
      <c r="Q618"/>
      <c r="S618"/>
      <c r="Z618"/>
      <c r="AB618"/>
      <c r="AD618"/>
      <c r="AE618"/>
    </row>
    <row r="619" spans="3:31" x14ac:dyDescent="0.2">
      <c r="C619" s="10"/>
      <c r="D619" s="10"/>
      <c r="O619"/>
      <c r="Q619"/>
      <c r="S619"/>
      <c r="Z619"/>
      <c r="AB619"/>
      <c r="AD619"/>
      <c r="AE619"/>
    </row>
    <row r="620" spans="3:31" x14ac:dyDescent="0.2">
      <c r="C620" s="10"/>
      <c r="D620" s="10"/>
      <c r="O620"/>
      <c r="Q620"/>
      <c r="S620"/>
      <c r="Z620"/>
      <c r="AB620"/>
      <c r="AD620"/>
      <c r="AE620"/>
    </row>
    <row r="621" spans="3:31" x14ac:dyDescent="0.2">
      <c r="C621" s="10"/>
      <c r="D621" s="10"/>
      <c r="O621"/>
      <c r="Q621"/>
      <c r="S621"/>
      <c r="Z621"/>
      <c r="AB621"/>
      <c r="AD621"/>
      <c r="AE621"/>
    </row>
    <row r="622" spans="3:31" x14ac:dyDescent="0.2">
      <c r="C622" s="10"/>
      <c r="D622" s="10"/>
      <c r="O622"/>
      <c r="Q622"/>
      <c r="S622"/>
      <c r="Z622"/>
      <c r="AB622"/>
      <c r="AD622"/>
      <c r="AE622"/>
    </row>
    <row r="623" spans="3:31" x14ac:dyDescent="0.2">
      <c r="C623" s="10"/>
      <c r="D623" s="10"/>
      <c r="O623"/>
      <c r="Q623"/>
      <c r="S623"/>
      <c r="Z623"/>
      <c r="AB623"/>
      <c r="AD623"/>
      <c r="AE623"/>
    </row>
    <row r="624" spans="3:31" x14ac:dyDescent="0.2">
      <c r="C624" s="10"/>
      <c r="D624" s="10"/>
      <c r="O624"/>
      <c r="Q624"/>
      <c r="S624"/>
      <c r="Z624"/>
      <c r="AB624"/>
      <c r="AD624"/>
      <c r="AE624"/>
    </row>
    <row r="625" spans="3:31" x14ac:dyDescent="0.2">
      <c r="C625" s="10"/>
      <c r="D625" s="10"/>
      <c r="O625"/>
      <c r="Q625"/>
      <c r="S625"/>
      <c r="Z625"/>
      <c r="AB625"/>
      <c r="AD625"/>
      <c r="AE625"/>
    </row>
    <row r="626" spans="3:31" x14ac:dyDescent="0.2">
      <c r="C626" s="10"/>
      <c r="D626" s="10"/>
      <c r="O626"/>
      <c r="Q626"/>
      <c r="S626"/>
      <c r="Z626"/>
      <c r="AB626"/>
      <c r="AD626"/>
      <c r="AE626"/>
    </row>
    <row r="627" spans="3:31" x14ac:dyDescent="0.2">
      <c r="C627" s="10"/>
      <c r="D627" s="10"/>
      <c r="O627"/>
      <c r="Q627"/>
      <c r="S627"/>
      <c r="Z627"/>
      <c r="AB627"/>
      <c r="AD627"/>
      <c r="AE627"/>
    </row>
    <row r="628" spans="3:31" x14ac:dyDescent="0.2">
      <c r="C628" s="10"/>
      <c r="D628" s="10"/>
      <c r="O628"/>
      <c r="Q628"/>
      <c r="S628"/>
      <c r="Z628"/>
      <c r="AB628"/>
      <c r="AD628"/>
      <c r="AE628"/>
    </row>
    <row r="629" spans="3:31" x14ac:dyDescent="0.2">
      <c r="C629" s="10"/>
      <c r="D629" s="10"/>
      <c r="O629"/>
      <c r="Q629"/>
      <c r="S629"/>
      <c r="Z629"/>
      <c r="AB629"/>
      <c r="AD629"/>
      <c r="AE629"/>
    </row>
    <row r="630" spans="3:31" x14ac:dyDescent="0.2">
      <c r="C630" s="10"/>
      <c r="D630" s="10"/>
      <c r="O630"/>
      <c r="Q630"/>
      <c r="S630"/>
      <c r="Z630"/>
      <c r="AB630"/>
      <c r="AD630"/>
      <c r="AE630"/>
    </row>
    <row r="631" spans="3:31" x14ac:dyDescent="0.2">
      <c r="C631" s="10"/>
      <c r="D631" s="10"/>
      <c r="O631"/>
      <c r="Q631"/>
      <c r="S631"/>
      <c r="Z631"/>
      <c r="AB631"/>
      <c r="AD631"/>
      <c r="AE631"/>
    </row>
    <row r="632" spans="3:31" x14ac:dyDescent="0.2">
      <c r="C632" s="10"/>
      <c r="D632" s="10"/>
      <c r="O632"/>
      <c r="Q632"/>
      <c r="S632"/>
      <c r="Z632"/>
      <c r="AB632"/>
      <c r="AD632"/>
      <c r="AE632"/>
    </row>
    <row r="633" spans="3:31" x14ac:dyDescent="0.2">
      <c r="C633" s="10"/>
      <c r="D633" s="10"/>
      <c r="O633"/>
      <c r="Q633"/>
      <c r="S633"/>
      <c r="Z633"/>
      <c r="AB633"/>
      <c r="AD633"/>
      <c r="AE633"/>
    </row>
    <row r="634" spans="3:31" x14ac:dyDescent="0.2">
      <c r="C634" s="10"/>
      <c r="D634" s="10"/>
      <c r="O634"/>
      <c r="Q634"/>
      <c r="S634"/>
      <c r="Z634"/>
      <c r="AB634"/>
      <c r="AD634"/>
      <c r="AE634"/>
    </row>
    <row r="635" spans="3:31" x14ac:dyDescent="0.2">
      <c r="C635" s="10"/>
      <c r="D635" s="10"/>
      <c r="O635"/>
      <c r="Q635"/>
      <c r="S635"/>
      <c r="Z635"/>
      <c r="AB635"/>
      <c r="AD635"/>
      <c r="AE635"/>
    </row>
    <row r="636" spans="3:31" x14ac:dyDescent="0.2">
      <c r="C636" s="10"/>
      <c r="D636" s="10"/>
      <c r="O636"/>
      <c r="Q636"/>
      <c r="S636"/>
      <c r="Z636"/>
      <c r="AB636"/>
      <c r="AD636"/>
      <c r="AE636"/>
    </row>
    <row r="637" spans="3:31" x14ac:dyDescent="0.2">
      <c r="C637" s="10"/>
      <c r="D637" s="10"/>
      <c r="O637"/>
      <c r="Q637"/>
      <c r="S637"/>
      <c r="Z637"/>
      <c r="AB637"/>
      <c r="AD637"/>
      <c r="AE637"/>
    </row>
    <row r="638" spans="3:31" x14ac:dyDescent="0.2">
      <c r="C638" s="10"/>
      <c r="D638" s="10"/>
      <c r="O638"/>
      <c r="Q638"/>
      <c r="S638"/>
      <c r="Z638"/>
      <c r="AB638"/>
      <c r="AD638"/>
      <c r="AE638"/>
    </row>
    <row r="639" spans="3:31" x14ac:dyDescent="0.2">
      <c r="C639" s="10"/>
      <c r="D639" s="10"/>
      <c r="O639"/>
      <c r="Q639"/>
      <c r="S639"/>
      <c r="Z639"/>
      <c r="AB639"/>
      <c r="AD639"/>
      <c r="AE639"/>
    </row>
    <row r="640" spans="3:31" x14ac:dyDescent="0.2">
      <c r="C640" s="10"/>
      <c r="D640" s="10"/>
      <c r="O640"/>
      <c r="Q640"/>
      <c r="S640"/>
      <c r="Z640"/>
      <c r="AB640"/>
      <c r="AD640"/>
      <c r="AE640"/>
    </row>
    <row r="641" spans="3:31" x14ac:dyDescent="0.2">
      <c r="C641" s="10"/>
      <c r="D641" s="10"/>
      <c r="O641"/>
      <c r="Q641"/>
      <c r="S641"/>
      <c r="Z641"/>
      <c r="AB641"/>
      <c r="AD641"/>
      <c r="AE641"/>
    </row>
    <row r="642" spans="3:31" x14ac:dyDescent="0.2">
      <c r="C642" s="10"/>
      <c r="D642" s="10"/>
      <c r="O642"/>
      <c r="Q642"/>
      <c r="S642"/>
      <c r="Z642"/>
      <c r="AB642"/>
      <c r="AD642"/>
      <c r="AE642"/>
    </row>
    <row r="643" spans="3:31" x14ac:dyDescent="0.2">
      <c r="C643" s="10"/>
      <c r="D643" s="10"/>
      <c r="O643"/>
      <c r="Q643"/>
      <c r="S643"/>
      <c r="Z643"/>
      <c r="AB643"/>
      <c r="AD643"/>
      <c r="AE643"/>
    </row>
    <row r="644" spans="3:31" x14ac:dyDescent="0.2">
      <c r="C644" s="10"/>
      <c r="D644" s="10"/>
      <c r="O644"/>
      <c r="Q644"/>
      <c r="S644"/>
      <c r="Z644"/>
      <c r="AB644"/>
      <c r="AD644"/>
      <c r="AE644"/>
    </row>
    <row r="645" spans="3:31" x14ac:dyDescent="0.2">
      <c r="C645" s="10"/>
      <c r="D645" s="10"/>
      <c r="O645"/>
      <c r="Q645"/>
      <c r="S645"/>
      <c r="Z645"/>
      <c r="AB645"/>
      <c r="AD645"/>
      <c r="AE645"/>
    </row>
    <row r="646" spans="3:31" x14ac:dyDescent="0.2">
      <c r="C646" s="10"/>
      <c r="D646" s="10"/>
      <c r="O646"/>
      <c r="Q646"/>
      <c r="S646"/>
      <c r="Z646"/>
      <c r="AB646"/>
      <c r="AD646"/>
      <c r="AE646"/>
    </row>
    <row r="647" spans="3:31" x14ac:dyDescent="0.2">
      <c r="C647" s="10"/>
      <c r="D647" s="10"/>
      <c r="O647"/>
      <c r="Q647"/>
      <c r="S647"/>
      <c r="Z647"/>
      <c r="AB647"/>
      <c r="AD647"/>
      <c r="AE647"/>
    </row>
    <row r="648" spans="3:31" x14ac:dyDescent="0.2">
      <c r="C648" s="10"/>
      <c r="D648" s="10"/>
      <c r="O648"/>
      <c r="Q648"/>
      <c r="S648"/>
      <c r="Z648"/>
      <c r="AB648"/>
      <c r="AD648"/>
      <c r="AE648"/>
    </row>
    <row r="649" spans="3:31" x14ac:dyDescent="0.2">
      <c r="C649" s="10"/>
      <c r="D649" s="10"/>
      <c r="O649"/>
      <c r="Q649"/>
      <c r="S649"/>
      <c r="Z649"/>
      <c r="AB649"/>
      <c r="AD649"/>
      <c r="AE649"/>
    </row>
    <row r="650" spans="3:31" x14ac:dyDescent="0.2">
      <c r="C650" s="10"/>
      <c r="D650" s="10"/>
      <c r="O650"/>
      <c r="Q650"/>
      <c r="S650"/>
      <c r="Z650"/>
      <c r="AB650"/>
      <c r="AD650"/>
      <c r="AE650"/>
    </row>
    <row r="651" spans="3:31" x14ac:dyDescent="0.2">
      <c r="C651" s="10"/>
      <c r="D651" s="10"/>
      <c r="O651"/>
      <c r="Q651"/>
      <c r="S651"/>
      <c r="Z651"/>
      <c r="AB651"/>
      <c r="AD651"/>
      <c r="AE651"/>
    </row>
    <row r="652" spans="3:31" x14ac:dyDescent="0.2">
      <c r="C652" s="10"/>
      <c r="D652" s="10"/>
      <c r="O652"/>
      <c r="Q652"/>
      <c r="S652"/>
      <c r="Z652"/>
      <c r="AB652"/>
      <c r="AD652"/>
      <c r="AE652"/>
    </row>
    <row r="653" spans="3:31" x14ac:dyDescent="0.2">
      <c r="C653" s="10"/>
      <c r="D653" s="10"/>
      <c r="O653"/>
      <c r="Q653"/>
      <c r="S653"/>
      <c r="Z653"/>
      <c r="AB653"/>
      <c r="AD653"/>
      <c r="AE653"/>
    </row>
    <row r="654" spans="3:31" x14ac:dyDescent="0.2">
      <c r="C654" s="10"/>
      <c r="D654" s="10"/>
      <c r="O654"/>
      <c r="Q654"/>
      <c r="S654"/>
      <c r="Z654"/>
      <c r="AB654"/>
      <c r="AD654"/>
      <c r="AE654"/>
    </row>
    <row r="655" spans="3:31" x14ac:dyDescent="0.2">
      <c r="C655" s="10"/>
      <c r="D655" s="10"/>
      <c r="O655"/>
      <c r="Q655"/>
      <c r="S655"/>
      <c r="Z655"/>
      <c r="AB655"/>
      <c r="AD655"/>
      <c r="AE655"/>
    </row>
    <row r="656" spans="3:31" x14ac:dyDescent="0.2">
      <c r="C656" s="10"/>
      <c r="D656" s="10"/>
      <c r="O656"/>
      <c r="Q656"/>
      <c r="S656"/>
      <c r="Z656"/>
      <c r="AB656"/>
      <c r="AD656"/>
      <c r="AE656"/>
    </row>
    <row r="657" spans="3:31" x14ac:dyDescent="0.2">
      <c r="C657" s="10"/>
      <c r="D657" s="10"/>
      <c r="O657"/>
      <c r="Q657"/>
      <c r="S657"/>
      <c r="Z657"/>
      <c r="AB657"/>
      <c r="AD657"/>
      <c r="AE657"/>
    </row>
    <row r="658" spans="3:31" x14ac:dyDescent="0.2">
      <c r="C658" s="10"/>
      <c r="D658" s="10"/>
      <c r="O658"/>
      <c r="Q658"/>
      <c r="S658"/>
      <c r="Z658"/>
      <c r="AB658"/>
      <c r="AD658"/>
      <c r="AE658"/>
    </row>
    <row r="659" spans="3:31" x14ac:dyDescent="0.2">
      <c r="C659" s="10"/>
      <c r="D659" s="10"/>
      <c r="O659"/>
      <c r="Q659"/>
      <c r="S659"/>
      <c r="Z659"/>
      <c r="AB659"/>
      <c r="AD659"/>
      <c r="AE659"/>
    </row>
    <row r="660" spans="3:31" x14ac:dyDescent="0.2">
      <c r="C660" s="10"/>
      <c r="D660" s="10"/>
      <c r="O660"/>
      <c r="Q660"/>
      <c r="S660"/>
      <c r="Z660"/>
      <c r="AB660"/>
      <c r="AD660"/>
      <c r="AE660"/>
    </row>
    <row r="661" spans="3:31" x14ac:dyDescent="0.2">
      <c r="C661" s="10"/>
      <c r="D661" s="10"/>
      <c r="O661"/>
      <c r="Q661"/>
      <c r="S661"/>
      <c r="Z661"/>
      <c r="AB661"/>
      <c r="AD661"/>
      <c r="AE661"/>
    </row>
    <row r="662" spans="3:31" x14ac:dyDescent="0.2">
      <c r="C662" s="10"/>
      <c r="D662" s="10"/>
      <c r="O662"/>
      <c r="Q662"/>
      <c r="S662"/>
      <c r="Z662"/>
      <c r="AB662"/>
      <c r="AD662"/>
      <c r="AE662"/>
    </row>
    <row r="663" spans="3:31" x14ac:dyDescent="0.2">
      <c r="C663" s="10"/>
      <c r="D663" s="10"/>
      <c r="O663"/>
      <c r="Q663"/>
      <c r="S663"/>
      <c r="Z663"/>
      <c r="AB663"/>
      <c r="AD663"/>
      <c r="AE663"/>
    </row>
    <row r="664" spans="3:31" x14ac:dyDescent="0.2">
      <c r="C664" s="10"/>
      <c r="D664" s="10"/>
      <c r="O664"/>
      <c r="Q664"/>
      <c r="S664"/>
      <c r="Z664"/>
      <c r="AB664"/>
      <c r="AD664"/>
      <c r="AE664"/>
    </row>
    <row r="665" spans="3:31" x14ac:dyDescent="0.2">
      <c r="C665" s="10"/>
      <c r="D665" s="10"/>
      <c r="O665"/>
      <c r="Q665"/>
      <c r="S665"/>
      <c r="Z665"/>
      <c r="AB665"/>
      <c r="AD665"/>
      <c r="AE665"/>
    </row>
    <row r="666" spans="3:31" x14ac:dyDescent="0.2">
      <c r="C666" s="10"/>
      <c r="D666" s="10"/>
      <c r="O666"/>
      <c r="Q666"/>
      <c r="S666"/>
      <c r="Z666"/>
      <c r="AB666"/>
      <c r="AD666"/>
      <c r="AE666"/>
    </row>
    <row r="667" spans="3:31" x14ac:dyDescent="0.2">
      <c r="C667" s="10"/>
      <c r="D667" s="10"/>
      <c r="O667"/>
      <c r="Q667"/>
      <c r="S667"/>
      <c r="Z667"/>
      <c r="AB667"/>
      <c r="AD667"/>
      <c r="AE667"/>
    </row>
    <row r="668" spans="3:31" x14ac:dyDescent="0.2">
      <c r="C668" s="10"/>
      <c r="D668" s="10"/>
      <c r="O668"/>
      <c r="Q668"/>
      <c r="S668"/>
      <c r="Z668"/>
      <c r="AB668"/>
      <c r="AD668"/>
      <c r="AE668"/>
    </row>
    <row r="669" spans="3:31" x14ac:dyDescent="0.2">
      <c r="C669" s="10"/>
      <c r="D669" s="10"/>
      <c r="O669"/>
      <c r="Q669"/>
      <c r="S669"/>
      <c r="Z669"/>
      <c r="AB669"/>
      <c r="AD669"/>
      <c r="AE669"/>
    </row>
    <row r="670" spans="3:31" x14ac:dyDescent="0.2">
      <c r="C670" s="10"/>
      <c r="D670" s="10"/>
      <c r="O670"/>
      <c r="Q670"/>
      <c r="S670"/>
      <c r="Z670"/>
      <c r="AB670"/>
      <c r="AD670"/>
      <c r="AE670"/>
    </row>
    <row r="671" spans="3:31" x14ac:dyDescent="0.2">
      <c r="C671" s="10"/>
      <c r="D671" s="10"/>
      <c r="O671"/>
      <c r="Q671"/>
      <c r="S671"/>
      <c r="Z671"/>
      <c r="AB671"/>
      <c r="AD671"/>
      <c r="AE671"/>
    </row>
    <row r="672" spans="3:31" x14ac:dyDescent="0.2">
      <c r="C672" s="10"/>
      <c r="D672" s="10"/>
      <c r="O672"/>
      <c r="Q672"/>
      <c r="S672"/>
      <c r="Z672"/>
      <c r="AB672"/>
      <c r="AD672"/>
      <c r="AE672"/>
    </row>
    <row r="673" spans="3:31" x14ac:dyDescent="0.2">
      <c r="C673" s="10"/>
      <c r="D673" s="10"/>
      <c r="O673"/>
      <c r="Q673"/>
      <c r="S673"/>
      <c r="Z673"/>
      <c r="AB673"/>
      <c r="AD673"/>
      <c r="AE673"/>
    </row>
    <row r="674" spans="3:31" x14ac:dyDescent="0.2">
      <c r="C674" s="10"/>
      <c r="D674" s="10"/>
      <c r="O674"/>
      <c r="Q674"/>
      <c r="S674"/>
      <c r="Z674"/>
      <c r="AB674"/>
      <c r="AD674"/>
      <c r="AE674"/>
    </row>
    <row r="675" spans="3:31" x14ac:dyDescent="0.2">
      <c r="C675" s="10"/>
      <c r="D675" s="10"/>
      <c r="O675"/>
      <c r="Q675"/>
      <c r="S675"/>
      <c r="Z675"/>
      <c r="AB675"/>
      <c r="AD675"/>
      <c r="AE675"/>
    </row>
    <row r="676" spans="3:31" x14ac:dyDescent="0.2">
      <c r="C676" s="10"/>
      <c r="D676" s="10"/>
      <c r="O676"/>
      <c r="Q676"/>
      <c r="S676"/>
      <c r="Z676"/>
      <c r="AB676"/>
      <c r="AD676"/>
      <c r="AE676"/>
    </row>
    <row r="677" spans="3:31" x14ac:dyDescent="0.2">
      <c r="C677" s="10"/>
      <c r="D677" s="10"/>
      <c r="O677"/>
      <c r="Q677"/>
      <c r="S677"/>
      <c r="Z677"/>
      <c r="AB677"/>
      <c r="AD677"/>
      <c r="AE677"/>
    </row>
    <row r="678" spans="3:31" x14ac:dyDescent="0.2">
      <c r="C678" s="10"/>
      <c r="D678" s="10"/>
      <c r="O678"/>
      <c r="Q678"/>
      <c r="S678"/>
      <c r="Z678"/>
      <c r="AB678"/>
      <c r="AD678"/>
      <c r="AE678"/>
    </row>
    <row r="679" spans="3:31" x14ac:dyDescent="0.2">
      <c r="C679" s="10"/>
      <c r="D679" s="10"/>
      <c r="O679"/>
      <c r="Q679"/>
      <c r="S679"/>
      <c r="Z679"/>
      <c r="AB679"/>
      <c r="AD679"/>
      <c r="AE679"/>
    </row>
    <row r="680" spans="3:31" x14ac:dyDescent="0.2">
      <c r="C680" s="10"/>
      <c r="D680" s="10"/>
      <c r="O680"/>
      <c r="Q680"/>
      <c r="S680"/>
      <c r="Z680"/>
      <c r="AB680"/>
      <c r="AD680"/>
      <c r="AE680"/>
    </row>
    <row r="681" spans="3:31" x14ac:dyDescent="0.2">
      <c r="C681" s="10"/>
      <c r="D681" s="10"/>
      <c r="O681"/>
      <c r="Q681"/>
      <c r="S681"/>
      <c r="Z681"/>
      <c r="AB681"/>
      <c r="AD681"/>
      <c r="AE681"/>
    </row>
    <row r="682" spans="3:31" x14ac:dyDescent="0.2">
      <c r="C682" s="10"/>
      <c r="D682" s="10"/>
      <c r="O682"/>
      <c r="Q682"/>
      <c r="S682"/>
      <c r="Z682"/>
      <c r="AB682"/>
      <c r="AD682"/>
      <c r="AE682"/>
    </row>
    <row r="683" spans="3:31" x14ac:dyDescent="0.2">
      <c r="C683" s="10"/>
      <c r="D683" s="10"/>
      <c r="O683"/>
      <c r="Q683"/>
      <c r="S683"/>
      <c r="Z683"/>
      <c r="AB683"/>
      <c r="AD683"/>
      <c r="AE683"/>
    </row>
    <row r="684" spans="3:31" x14ac:dyDescent="0.2">
      <c r="C684" s="10"/>
      <c r="D684" s="10"/>
      <c r="O684"/>
      <c r="Q684"/>
      <c r="S684"/>
      <c r="Z684"/>
      <c r="AB684"/>
      <c r="AD684"/>
      <c r="AE684"/>
    </row>
    <row r="685" spans="3:31" x14ac:dyDescent="0.2">
      <c r="C685" s="10"/>
      <c r="D685" s="10"/>
      <c r="O685"/>
      <c r="Q685"/>
      <c r="S685"/>
      <c r="Z685"/>
      <c r="AB685"/>
      <c r="AD685"/>
      <c r="AE685"/>
    </row>
    <row r="686" spans="3:31" x14ac:dyDescent="0.2">
      <c r="C686" s="10"/>
      <c r="D686" s="10"/>
      <c r="O686"/>
      <c r="Q686"/>
      <c r="S686"/>
      <c r="Z686"/>
      <c r="AB686"/>
      <c r="AD686"/>
      <c r="AE686"/>
    </row>
    <row r="687" spans="3:31" x14ac:dyDescent="0.2">
      <c r="C687" s="10"/>
      <c r="D687" s="10"/>
      <c r="O687"/>
      <c r="Q687"/>
      <c r="S687"/>
      <c r="Z687"/>
      <c r="AB687"/>
      <c r="AD687"/>
      <c r="AE687"/>
    </row>
    <row r="688" spans="3:31" x14ac:dyDescent="0.2">
      <c r="C688" s="10"/>
      <c r="D688" s="10"/>
      <c r="O688"/>
      <c r="Q688"/>
      <c r="S688"/>
      <c r="Z688"/>
      <c r="AB688"/>
      <c r="AD688"/>
      <c r="AE688"/>
    </row>
    <row r="689" spans="3:31" x14ac:dyDescent="0.2">
      <c r="C689" s="10"/>
      <c r="D689" s="10"/>
      <c r="O689"/>
      <c r="Q689"/>
      <c r="S689"/>
      <c r="Z689"/>
      <c r="AB689"/>
      <c r="AD689"/>
      <c r="AE689"/>
    </row>
    <row r="690" spans="3:31" x14ac:dyDescent="0.2">
      <c r="C690" s="10"/>
      <c r="D690" s="10"/>
      <c r="O690"/>
      <c r="Q690"/>
      <c r="S690"/>
      <c r="Z690"/>
      <c r="AB690"/>
      <c r="AD690"/>
      <c r="AE690"/>
    </row>
    <row r="691" spans="3:31" x14ac:dyDescent="0.2">
      <c r="C691" s="10"/>
      <c r="D691" s="10"/>
      <c r="O691"/>
      <c r="Q691"/>
      <c r="S691"/>
      <c r="Z691"/>
      <c r="AB691"/>
      <c r="AD691"/>
      <c r="AE691"/>
    </row>
    <row r="692" spans="3:31" x14ac:dyDescent="0.2">
      <c r="C692" s="10"/>
      <c r="D692" s="10"/>
      <c r="O692"/>
      <c r="Q692"/>
      <c r="S692"/>
      <c r="Z692"/>
      <c r="AB692"/>
      <c r="AD692"/>
      <c r="AE692"/>
    </row>
    <row r="693" spans="3:31" x14ac:dyDescent="0.2">
      <c r="C693" s="10"/>
      <c r="D693" s="10"/>
      <c r="O693"/>
      <c r="Q693"/>
      <c r="S693"/>
      <c r="Z693"/>
      <c r="AB693"/>
      <c r="AD693"/>
      <c r="AE693"/>
    </row>
    <row r="694" spans="3:31" x14ac:dyDescent="0.2">
      <c r="C694" s="10"/>
      <c r="D694" s="10"/>
      <c r="O694"/>
      <c r="Q694"/>
      <c r="S694"/>
      <c r="Z694"/>
      <c r="AB694"/>
      <c r="AD694"/>
      <c r="AE694"/>
    </row>
    <row r="695" spans="3:31" x14ac:dyDescent="0.2">
      <c r="C695" s="10"/>
      <c r="D695" s="10"/>
      <c r="O695"/>
      <c r="Q695"/>
      <c r="S695"/>
      <c r="Z695"/>
      <c r="AB695"/>
      <c r="AD695"/>
      <c r="AE695"/>
    </row>
    <row r="696" spans="3:31" x14ac:dyDescent="0.2">
      <c r="C696" s="10"/>
      <c r="D696" s="10"/>
      <c r="O696"/>
      <c r="Q696"/>
      <c r="S696"/>
      <c r="Z696"/>
      <c r="AB696"/>
      <c r="AD696"/>
      <c r="AE696"/>
    </row>
    <row r="697" spans="3:31" x14ac:dyDescent="0.2">
      <c r="C697" s="10"/>
      <c r="D697" s="10"/>
      <c r="O697"/>
      <c r="Q697"/>
      <c r="S697"/>
      <c r="Z697"/>
      <c r="AB697"/>
      <c r="AD697"/>
      <c r="AE697"/>
    </row>
    <row r="698" spans="3:31" x14ac:dyDescent="0.2">
      <c r="C698" s="10"/>
      <c r="D698" s="10"/>
      <c r="O698"/>
      <c r="Q698"/>
      <c r="S698"/>
      <c r="Z698"/>
      <c r="AB698"/>
      <c r="AD698"/>
      <c r="AE698"/>
    </row>
    <row r="699" spans="3:31" x14ac:dyDescent="0.2">
      <c r="C699" s="10"/>
      <c r="D699" s="10"/>
      <c r="O699"/>
      <c r="Q699"/>
      <c r="S699"/>
      <c r="Z699"/>
      <c r="AB699"/>
      <c r="AD699"/>
      <c r="AE699"/>
    </row>
    <row r="700" spans="3:31" x14ac:dyDescent="0.2">
      <c r="C700" s="10"/>
      <c r="D700" s="10"/>
      <c r="O700"/>
      <c r="Q700"/>
      <c r="S700"/>
      <c r="Z700"/>
      <c r="AB700"/>
      <c r="AD700"/>
      <c r="AE700"/>
    </row>
    <row r="701" spans="3:31" x14ac:dyDescent="0.2">
      <c r="C701" s="10"/>
      <c r="D701" s="10"/>
      <c r="O701"/>
      <c r="Q701"/>
      <c r="S701"/>
      <c r="Z701"/>
      <c r="AB701"/>
      <c r="AD701"/>
      <c r="AE701"/>
    </row>
    <row r="702" spans="3:31" x14ac:dyDescent="0.2">
      <c r="C702" s="10"/>
      <c r="D702" s="10"/>
      <c r="O702"/>
      <c r="Q702"/>
      <c r="S702"/>
      <c r="Z702"/>
      <c r="AB702"/>
      <c r="AD702"/>
      <c r="AE702"/>
    </row>
    <row r="703" spans="3:31" x14ac:dyDescent="0.2">
      <c r="C703" s="10"/>
      <c r="D703" s="10"/>
      <c r="O703"/>
      <c r="Q703"/>
      <c r="S703"/>
      <c r="Z703"/>
      <c r="AB703"/>
      <c r="AD703"/>
      <c r="AE703"/>
    </row>
    <row r="704" spans="3:31" x14ac:dyDescent="0.2">
      <c r="C704" s="10"/>
      <c r="D704" s="10"/>
      <c r="O704"/>
      <c r="Q704"/>
      <c r="S704"/>
      <c r="Z704"/>
      <c r="AB704"/>
      <c r="AD704"/>
      <c r="AE704"/>
    </row>
    <row r="705" spans="3:31" x14ac:dyDescent="0.2">
      <c r="C705" s="10"/>
      <c r="D705" s="10"/>
      <c r="O705"/>
      <c r="Q705"/>
      <c r="S705"/>
      <c r="Z705"/>
      <c r="AB705"/>
      <c r="AD705"/>
      <c r="AE705"/>
    </row>
    <row r="706" spans="3:31" x14ac:dyDescent="0.2">
      <c r="C706" s="10"/>
      <c r="D706" s="10"/>
      <c r="O706"/>
      <c r="Q706"/>
      <c r="S706"/>
      <c r="Z706"/>
      <c r="AB706"/>
      <c r="AD706"/>
      <c r="AE706"/>
    </row>
    <row r="707" spans="3:31" x14ac:dyDescent="0.2">
      <c r="C707" s="10"/>
      <c r="D707" s="10"/>
      <c r="O707"/>
      <c r="Q707"/>
      <c r="S707"/>
      <c r="Z707"/>
      <c r="AB707"/>
      <c r="AD707"/>
      <c r="AE707"/>
    </row>
    <row r="708" spans="3:31" x14ac:dyDescent="0.2">
      <c r="C708" s="10"/>
      <c r="D708" s="10"/>
      <c r="O708"/>
      <c r="Q708"/>
      <c r="S708"/>
      <c r="Z708"/>
      <c r="AB708"/>
      <c r="AD708"/>
      <c r="AE708"/>
    </row>
    <row r="709" spans="3:31" x14ac:dyDescent="0.2">
      <c r="C709" s="10"/>
      <c r="D709" s="10"/>
      <c r="O709"/>
      <c r="Q709"/>
      <c r="S709"/>
      <c r="Z709"/>
      <c r="AB709"/>
      <c r="AD709"/>
      <c r="AE709"/>
    </row>
    <row r="710" spans="3:31" x14ac:dyDescent="0.2">
      <c r="C710" s="10"/>
      <c r="D710" s="10"/>
      <c r="O710"/>
      <c r="Q710"/>
      <c r="S710"/>
      <c r="Z710"/>
      <c r="AB710"/>
      <c r="AD710"/>
      <c r="AE710"/>
    </row>
    <row r="711" spans="3:31" x14ac:dyDescent="0.2">
      <c r="C711" s="10"/>
      <c r="D711" s="10"/>
      <c r="O711"/>
      <c r="Q711"/>
      <c r="S711"/>
      <c r="Z711"/>
      <c r="AB711"/>
      <c r="AD711"/>
      <c r="AE711"/>
    </row>
    <row r="712" spans="3:31" x14ac:dyDescent="0.2">
      <c r="C712" s="10"/>
      <c r="D712" s="10"/>
      <c r="O712"/>
      <c r="Q712"/>
      <c r="S712"/>
      <c r="Z712"/>
      <c r="AB712"/>
      <c r="AD712"/>
      <c r="AE712"/>
    </row>
    <row r="713" spans="3:31" x14ac:dyDescent="0.2">
      <c r="C713" s="10"/>
      <c r="D713" s="10"/>
      <c r="O713"/>
      <c r="Q713"/>
      <c r="S713"/>
      <c r="Z713"/>
      <c r="AB713"/>
      <c r="AD713"/>
      <c r="AE713"/>
    </row>
    <row r="714" spans="3:31" x14ac:dyDescent="0.2">
      <c r="C714" s="10"/>
      <c r="D714" s="10"/>
      <c r="O714"/>
      <c r="Q714"/>
      <c r="S714"/>
      <c r="Z714"/>
      <c r="AB714"/>
      <c r="AD714"/>
      <c r="AE714"/>
    </row>
    <row r="715" spans="3:31" x14ac:dyDescent="0.2">
      <c r="C715" s="10"/>
      <c r="D715" s="10"/>
      <c r="O715"/>
      <c r="Q715"/>
      <c r="S715"/>
      <c r="Z715"/>
      <c r="AB715"/>
      <c r="AD715"/>
      <c r="AE715"/>
    </row>
    <row r="716" spans="3:31" x14ac:dyDescent="0.2">
      <c r="C716" s="10"/>
      <c r="D716" s="10"/>
      <c r="O716"/>
      <c r="Q716"/>
      <c r="S716"/>
      <c r="Z716"/>
      <c r="AB716"/>
      <c r="AD716"/>
      <c r="AE716"/>
    </row>
    <row r="717" spans="3:31" x14ac:dyDescent="0.2">
      <c r="C717" s="10"/>
      <c r="D717" s="10"/>
      <c r="O717"/>
      <c r="Q717"/>
      <c r="S717"/>
      <c r="Z717"/>
      <c r="AB717"/>
      <c r="AD717"/>
      <c r="AE717"/>
    </row>
    <row r="718" spans="3:31" x14ac:dyDescent="0.2">
      <c r="C718" s="10"/>
      <c r="D718" s="10"/>
      <c r="O718"/>
      <c r="Q718"/>
      <c r="S718"/>
      <c r="Z718"/>
      <c r="AB718"/>
      <c r="AD718"/>
      <c r="AE718"/>
    </row>
    <row r="719" spans="3:31" x14ac:dyDescent="0.2">
      <c r="C719" s="10"/>
      <c r="D719" s="10"/>
      <c r="O719"/>
      <c r="Q719"/>
      <c r="S719"/>
      <c r="Z719"/>
      <c r="AB719"/>
      <c r="AD719"/>
      <c r="AE719"/>
    </row>
    <row r="720" spans="3:31" x14ac:dyDescent="0.2">
      <c r="C720" s="10"/>
      <c r="D720" s="10"/>
      <c r="O720"/>
      <c r="Q720"/>
      <c r="S720"/>
      <c r="Z720"/>
      <c r="AB720"/>
      <c r="AD720"/>
      <c r="AE720"/>
    </row>
    <row r="721" spans="3:31" x14ac:dyDescent="0.2">
      <c r="C721" s="10"/>
      <c r="D721" s="10"/>
      <c r="O721"/>
      <c r="Q721"/>
      <c r="S721"/>
      <c r="Z721"/>
      <c r="AB721"/>
      <c r="AD721"/>
      <c r="AE721"/>
    </row>
    <row r="722" spans="3:31" x14ac:dyDescent="0.2">
      <c r="C722" s="10"/>
      <c r="D722" s="10"/>
      <c r="O722"/>
      <c r="Q722"/>
      <c r="S722"/>
      <c r="Z722"/>
      <c r="AB722"/>
      <c r="AD722"/>
      <c r="AE722"/>
    </row>
    <row r="723" spans="3:31" x14ac:dyDescent="0.2">
      <c r="C723" s="10"/>
      <c r="D723" s="10"/>
      <c r="O723"/>
      <c r="Q723"/>
      <c r="S723"/>
      <c r="Z723"/>
      <c r="AB723"/>
      <c r="AD723"/>
      <c r="AE723"/>
    </row>
    <row r="724" spans="3:31" x14ac:dyDescent="0.2">
      <c r="C724" s="10"/>
      <c r="D724" s="10"/>
      <c r="O724"/>
      <c r="Q724"/>
      <c r="S724"/>
      <c r="Z724"/>
      <c r="AB724"/>
      <c r="AD724"/>
      <c r="AE724"/>
    </row>
    <row r="725" spans="3:31" x14ac:dyDescent="0.2">
      <c r="C725" s="10"/>
      <c r="D725" s="10"/>
      <c r="O725"/>
      <c r="Q725"/>
      <c r="S725"/>
      <c r="Z725"/>
      <c r="AB725"/>
      <c r="AD725"/>
      <c r="AE725"/>
    </row>
    <row r="726" spans="3:31" x14ac:dyDescent="0.2">
      <c r="C726" s="10"/>
      <c r="D726" s="10"/>
      <c r="O726"/>
      <c r="Q726"/>
      <c r="S726"/>
      <c r="Z726"/>
      <c r="AB726"/>
      <c r="AD726"/>
      <c r="AE726"/>
    </row>
    <row r="727" spans="3:31" x14ac:dyDescent="0.2">
      <c r="C727" s="10"/>
      <c r="D727" s="10"/>
      <c r="O727"/>
      <c r="Q727"/>
      <c r="S727"/>
      <c r="Z727"/>
      <c r="AB727"/>
      <c r="AD727"/>
      <c r="AE727"/>
    </row>
    <row r="728" spans="3:31" x14ac:dyDescent="0.2">
      <c r="C728" s="10"/>
      <c r="D728" s="10"/>
      <c r="O728"/>
      <c r="Q728"/>
      <c r="S728"/>
      <c r="Z728"/>
      <c r="AB728"/>
      <c r="AD728"/>
      <c r="AE728"/>
    </row>
    <row r="729" spans="3:31" x14ac:dyDescent="0.2">
      <c r="C729" s="10"/>
      <c r="D729" s="10"/>
      <c r="O729"/>
      <c r="Q729"/>
      <c r="S729"/>
      <c r="Z729"/>
      <c r="AB729"/>
      <c r="AD729"/>
      <c r="AE729"/>
    </row>
    <row r="730" spans="3:31" x14ac:dyDescent="0.2">
      <c r="C730" s="10"/>
      <c r="D730" s="10"/>
      <c r="O730"/>
      <c r="Q730"/>
      <c r="S730"/>
      <c r="Z730"/>
      <c r="AB730"/>
      <c r="AD730"/>
      <c r="AE730"/>
    </row>
    <row r="731" spans="3:31" x14ac:dyDescent="0.2">
      <c r="C731" s="10"/>
      <c r="D731" s="10"/>
      <c r="O731"/>
      <c r="Q731"/>
      <c r="S731"/>
      <c r="Z731"/>
      <c r="AB731"/>
      <c r="AD731"/>
      <c r="AE731"/>
    </row>
    <row r="732" spans="3:31" x14ac:dyDescent="0.2">
      <c r="C732" s="10"/>
      <c r="D732" s="10"/>
      <c r="O732"/>
      <c r="Q732"/>
      <c r="S732"/>
      <c r="Z732"/>
      <c r="AB732"/>
      <c r="AD732"/>
      <c r="AE732"/>
    </row>
    <row r="733" spans="3:31" x14ac:dyDescent="0.2">
      <c r="C733" s="10"/>
      <c r="D733" s="10"/>
      <c r="O733"/>
      <c r="Q733"/>
      <c r="S733"/>
      <c r="Z733"/>
      <c r="AB733"/>
      <c r="AD733"/>
      <c r="AE733"/>
    </row>
    <row r="734" spans="3:31" x14ac:dyDescent="0.2">
      <c r="C734" s="10"/>
      <c r="D734" s="10"/>
      <c r="O734"/>
      <c r="Q734"/>
      <c r="S734"/>
      <c r="Z734"/>
      <c r="AB734"/>
      <c r="AD734"/>
      <c r="AE734"/>
    </row>
    <row r="735" spans="3:31" x14ac:dyDescent="0.2">
      <c r="C735" s="10"/>
      <c r="D735" s="10"/>
      <c r="O735"/>
      <c r="Q735"/>
      <c r="S735"/>
      <c r="Z735"/>
      <c r="AB735"/>
      <c r="AD735"/>
      <c r="AE735"/>
    </row>
    <row r="736" spans="3:31" x14ac:dyDescent="0.2">
      <c r="C736" s="10"/>
      <c r="D736" s="10"/>
      <c r="O736"/>
      <c r="Q736"/>
      <c r="S736"/>
      <c r="Z736"/>
      <c r="AB736"/>
      <c r="AD736"/>
      <c r="AE736"/>
    </row>
    <row r="737" spans="3:31" x14ac:dyDescent="0.2">
      <c r="C737" s="10"/>
      <c r="D737" s="10"/>
      <c r="O737"/>
      <c r="Q737"/>
      <c r="S737"/>
      <c r="Z737"/>
      <c r="AB737"/>
      <c r="AD737"/>
      <c r="AE737"/>
    </row>
    <row r="738" spans="3:31" x14ac:dyDescent="0.2">
      <c r="C738" s="10"/>
      <c r="D738" s="10"/>
      <c r="O738"/>
      <c r="Q738"/>
      <c r="S738"/>
      <c r="Z738"/>
      <c r="AB738"/>
      <c r="AD738"/>
      <c r="AE738"/>
    </row>
    <row r="739" spans="3:31" x14ac:dyDescent="0.2">
      <c r="C739" s="10"/>
      <c r="D739" s="10"/>
      <c r="O739"/>
      <c r="Q739"/>
      <c r="S739"/>
      <c r="Z739"/>
      <c r="AB739"/>
      <c r="AD739"/>
      <c r="AE739"/>
    </row>
    <row r="740" spans="3:31" x14ac:dyDescent="0.2">
      <c r="C740" s="10"/>
      <c r="D740" s="10"/>
      <c r="O740"/>
      <c r="Q740"/>
      <c r="S740"/>
      <c r="Z740"/>
      <c r="AB740"/>
      <c r="AD740"/>
      <c r="AE740"/>
    </row>
    <row r="741" spans="3:31" x14ac:dyDescent="0.2">
      <c r="C741" s="10"/>
      <c r="D741" s="10"/>
      <c r="O741"/>
      <c r="Q741"/>
      <c r="S741"/>
      <c r="Z741"/>
      <c r="AB741"/>
      <c r="AD741"/>
      <c r="AE741"/>
    </row>
    <row r="742" spans="3:31" x14ac:dyDescent="0.2">
      <c r="C742" s="10"/>
      <c r="D742" s="10"/>
      <c r="O742"/>
      <c r="Q742"/>
      <c r="S742"/>
      <c r="Z742"/>
      <c r="AB742"/>
      <c r="AD742"/>
      <c r="AE742"/>
    </row>
    <row r="743" spans="3:31" x14ac:dyDescent="0.2">
      <c r="C743" s="10"/>
      <c r="D743" s="10"/>
      <c r="O743"/>
      <c r="Q743"/>
      <c r="S743"/>
      <c r="Z743"/>
      <c r="AB743"/>
      <c r="AD743"/>
      <c r="AE743"/>
    </row>
    <row r="744" spans="3:31" x14ac:dyDescent="0.2">
      <c r="C744" s="10"/>
      <c r="D744" s="10"/>
      <c r="O744"/>
      <c r="Q744"/>
      <c r="S744"/>
      <c r="Z744"/>
      <c r="AB744"/>
      <c r="AD744"/>
      <c r="AE744"/>
    </row>
    <row r="745" spans="3:31" x14ac:dyDescent="0.2">
      <c r="C745" s="10"/>
      <c r="D745" s="10"/>
      <c r="O745"/>
      <c r="Q745"/>
      <c r="S745"/>
      <c r="Z745"/>
      <c r="AB745"/>
      <c r="AD745"/>
      <c r="AE745"/>
    </row>
    <row r="746" spans="3:31" x14ac:dyDescent="0.2">
      <c r="C746" s="10"/>
      <c r="D746" s="10"/>
      <c r="O746"/>
      <c r="Q746"/>
      <c r="S746"/>
      <c r="Z746"/>
      <c r="AB746"/>
      <c r="AD746"/>
      <c r="AE746"/>
    </row>
    <row r="747" spans="3:31" x14ac:dyDescent="0.2">
      <c r="C747" s="10"/>
      <c r="D747" s="10"/>
      <c r="O747"/>
      <c r="Q747"/>
      <c r="S747"/>
      <c r="Z747"/>
      <c r="AB747"/>
      <c r="AD747"/>
      <c r="AE747"/>
    </row>
    <row r="748" spans="3:31" x14ac:dyDescent="0.2">
      <c r="C748" s="10"/>
      <c r="D748" s="10"/>
      <c r="O748"/>
      <c r="Q748"/>
      <c r="S748"/>
      <c r="Z748"/>
      <c r="AB748"/>
      <c r="AD748"/>
      <c r="AE748"/>
    </row>
    <row r="749" spans="3:31" x14ac:dyDescent="0.2">
      <c r="C749" s="10"/>
      <c r="D749" s="10"/>
      <c r="O749"/>
      <c r="Q749"/>
      <c r="S749"/>
      <c r="Z749"/>
      <c r="AB749"/>
      <c r="AD749"/>
      <c r="AE749"/>
    </row>
    <row r="750" spans="3:31" x14ac:dyDescent="0.2">
      <c r="C750" s="10"/>
      <c r="D750" s="10"/>
      <c r="O750"/>
      <c r="Q750"/>
      <c r="S750"/>
      <c r="Z750"/>
      <c r="AB750"/>
      <c r="AD750"/>
      <c r="AE750"/>
    </row>
    <row r="751" spans="3:31" x14ac:dyDescent="0.2">
      <c r="C751" s="10"/>
      <c r="D751" s="10"/>
      <c r="O751"/>
      <c r="Q751"/>
      <c r="S751"/>
      <c r="Z751"/>
      <c r="AB751"/>
      <c r="AD751"/>
      <c r="AE751"/>
    </row>
    <row r="752" spans="3:31" x14ac:dyDescent="0.2">
      <c r="C752" s="10"/>
      <c r="D752" s="10"/>
      <c r="O752"/>
      <c r="Q752"/>
      <c r="S752"/>
      <c r="Z752"/>
      <c r="AB752"/>
      <c r="AD752"/>
      <c r="AE752"/>
    </row>
    <row r="753" spans="3:31" x14ac:dyDescent="0.2">
      <c r="C753" s="10"/>
      <c r="D753" s="10"/>
      <c r="O753"/>
      <c r="Q753"/>
      <c r="S753"/>
      <c r="Z753"/>
      <c r="AB753"/>
      <c r="AD753"/>
      <c r="AE753"/>
    </row>
    <row r="754" spans="3:31" x14ac:dyDescent="0.2">
      <c r="C754" s="10"/>
      <c r="D754" s="10"/>
      <c r="O754"/>
      <c r="Q754"/>
      <c r="S754"/>
      <c r="Z754"/>
      <c r="AB754"/>
      <c r="AD754"/>
      <c r="AE754"/>
    </row>
    <row r="755" spans="3:31" x14ac:dyDescent="0.2">
      <c r="C755" s="10"/>
      <c r="D755" s="10"/>
      <c r="O755"/>
      <c r="Q755"/>
      <c r="S755"/>
      <c r="Z755"/>
      <c r="AB755"/>
      <c r="AD755"/>
      <c r="AE755"/>
    </row>
    <row r="756" spans="3:31" x14ac:dyDescent="0.2">
      <c r="C756" s="10"/>
      <c r="D756" s="10"/>
      <c r="O756"/>
      <c r="Q756"/>
      <c r="S756"/>
      <c r="Z756"/>
      <c r="AB756"/>
      <c r="AD756"/>
      <c r="AE756"/>
    </row>
    <row r="757" spans="3:31" x14ac:dyDescent="0.2">
      <c r="C757" s="10"/>
      <c r="D757" s="10"/>
      <c r="O757"/>
      <c r="Q757"/>
      <c r="S757"/>
      <c r="Z757"/>
      <c r="AB757"/>
      <c r="AD757"/>
      <c r="AE757"/>
    </row>
    <row r="758" spans="3:31" x14ac:dyDescent="0.2">
      <c r="C758" s="10"/>
      <c r="D758" s="10"/>
      <c r="O758"/>
      <c r="Q758"/>
      <c r="S758"/>
      <c r="Z758"/>
      <c r="AB758"/>
      <c r="AD758"/>
      <c r="AE758"/>
    </row>
    <row r="759" spans="3:31" x14ac:dyDescent="0.2">
      <c r="C759" s="10"/>
      <c r="D759" s="10"/>
      <c r="O759"/>
      <c r="Q759"/>
      <c r="S759"/>
      <c r="Z759"/>
      <c r="AB759"/>
      <c r="AD759"/>
      <c r="AE759"/>
    </row>
    <row r="760" spans="3:31" x14ac:dyDescent="0.2">
      <c r="C760" s="10"/>
      <c r="D760" s="10"/>
      <c r="O760"/>
      <c r="Q760"/>
      <c r="S760"/>
      <c r="Z760"/>
      <c r="AB760"/>
      <c r="AD760"/>
      <c r="AE760"/>
    </row>
    <row r="761" spans="3:31" x14ac:dyDescent="0.2">
      <c r="C761" s="10"/>
      <c r="D761" s="10"/>
      <c r="O761"/>
      <c r="Q761"/>
      <c r="S761"/>
      <c r="Z761"/>
      <c r="AB761"/>
      <c r="AD761"/>
      <c r="AE761"/>
    </row>
    <row r="762" spans="3:31" x14ac:dyDescent="0.2">
      <c r="C762" s="10"/>
      <c r="D762" s="10"/>
      <c r="O762"/>
      <c r="Q762"/>
      <c r="S762"/>
      <c r="Z762"/>
      <c r="AB762"/>
      <c r="AD762"/>
      <c r="AE762"/>
    </row>
    <row r="763" spans="3:31" x14ac:dyDescent="0.2">
      <c r="C763" s="10"/>
      <c r="D763" s="10"/>
      <c r="O763"/>
      <c r="Q763"/>
      <c r="S763"/>
      <c r="Z763"/>
      <c r="AB763"/>
      <c r="AD763"/>
      <c r="AE763"/>
    </row>
    <row r="764" spans="3:31" x14ac:dyDescent="0.2">
      <c r="C764" s="10"/>
      <c r="D764" s="10"/>
      <c r="O764"/>
      <c r="Q764"/>
      <c r="S764"/>
      <c r="Z764"/>
      <c r="AB764"/>
      <c r="AD764"/>
      <c r="AE764"/>
    </row>
    <row r="765" spans="3:31" x14ac:dyDescent="0.2">
      <c r="C765" s="10"/>
      <c r="D765" s="10"/>
      <c r="O765"/>
      <c r="Q765"/>
      <c r="S765"/>
      <c r="Z765"/>
      <c r="AB765"/>
      <c r="AD765"/>
      <c r="AE765"/>
    </row>
    <row r="766" spans="3:31" x14ac:dyDescent="0.2">
      <c r="C766" s="10"/>
      <c r="D766" s="10"/>
      <c r="O766"/>
      <c r="Q766"/>
      <c r="S766"/>
      <c r="Z766"/>
      <c r="AB766"/>
      <c r="AD766"/>
      <c r="AE766"/>
    </row>
    <row r="767" spans="3:31" x14ac:dyDescent="0.2">
      <c r="C767" s="10"/>
      <c r="D767" s="10"/>
      <c r="O767"/>
      <c r="Q767"/>
      <c r="S767"/>
      <c r="Z767"/>
      <c r="AB767"/>
      <c r="AD767"/>
      <c r="AE767"/>
    </row>
    <row r="768" spans="3:31" x14ac:dyDescent="0.2">
      <c r="C768" s="10"/>
      <c r="D768" s="10"/>
      <c r="O768"/>
      <c r="Q768"/>
      <c r="S768"/>
      <c r="Z768"/>
      <c r="AB768"/>
      <c r="AD768"/>
      <c r="AE768"/>
    </row>
    <row r="769" spans="3:31" x14ac:dyDescent="0.2">
      <c r="C769" s="10"/>
      <c r="D769" s="10"/>
      <c r="O769"/>
      <c r="Q769"/>
      <c r="S769"/>
      <c r="Z769"/>
      <c r="AB769"/>
      <c r="AD769"/>
      <c r="AE769"/>
    </row>
    <row r="770" spans="3:31" x14ac:dyDescent="0.2">
      <c r="C770" s="10"/>
      <c r="D770" s="10"/>
      <c r="O770"/>
      <c r="Q770"/>
      <c r="S770"/>
      <c r="Z770"/>
      <c r="AB770"/>
      <c r="AD770"/>
      <c r="AE770"/>
    </row>
    <row r="771" spans="3:31" x14ac:dyDescent="0.2">
      <c r="C771" s="10"/>
      <c r="D771" s="10"/>
      <c r="O771"/>
      <c r="Q771"/>
      <c r="S771"/>
      <c r="Z771"/>
      <c r="AB771"/>
      <c r="AD771"/>
      <c r="AE771"/>
    </row>
    <row r="772" spans="3:31" x14ac:dyDescent="0.2">
      <c r="C772" s="10"/>
      <c r="D772" s="10"/>
      <c r="O772"/>
      <c r="Q772"/>
      <c r="S772"/>
      <c r="Z772"/>
      <c r="AB772"/>
      <c r="AD772"/>
      <c r="AE772"/>
    </row>
    <row r="773" spans="3:31" x14ac:dyDescent="0.2">
      <c r="C773" s="10"/>
      <c r="D773" s="10"/>
      <c r="O773"/>
      <c r="Q773"/>
      <c r="S773"/>
      <c r="Z773"/>
      <c r="AB773"/>
      <c r="AD773"/>
      <c r="AE773"/>
    </row>
    <row r="774" spans="3:31" x14ac:dyDescent="0.2">
      <c r="C774" s="10"/>
      <c r="D774" s="10"/>
      <c r="O774"/>
      <c r="Q774"/>
      <c r="S774"/>
      <c r="Z774"/>
      <c r="AB774"/>
      <c r="AD774"/>
      <c r="AE774"/>
    </row>
    <row r="775" spans="3:31" x14ac:dyDescent="0.2">
      <c r="C775" s="10"/>
      <c r="D775" s="10"/>
      <c r="O775"/>
      <c r="Q775"/>
      <c r="S775"/>
      <c r="Z775"/>
      <c r="AB775"/>
      <c r="AD775"/>
      <c r="AE775"/>
    </row>
    <row r="776" spans="3:31" x14ac:dyDescent="0.2">
      <c r="C776" s="10"/>
      <c r="D776" s="10"/>
      <c r="O776"/>
      <c r="Q776"/>
      <c r="S776"/>
      <c r="Z776"/>
      <c r="AB776"/>
      <c r="AD776"/>
      <c r="AE776"/>
    </row>
    <row r="777" spans="3:31" x14ac:dyDescent="0.2">
      <c r="C777" s="10"/>
      <c r="D777" s="10"/>
      <c r="O777"/>
      <c r="Q777"/>
      <c r="S777"/>
      <c r="Z777"/>
      <c r="AB777"/>
      <c r="AD777"/>
      <c r="AE777"/>
    </row>
    <row r="778" spans="3:31" x14ac:dyDescent="0.2">
      <c r="C778" s="10"/>
      <c r="D778" s="10"/>
      <c r="O778"/>
      <c r="Q778"/>
      <c r="S778"/>
      <c r="Z778"/>
      <c r="AB778"/>
      <c r="AD778"/>
      <c r="AE778"/>
    </row>
    <row r="779" spans="3:31" x14ac:dyDescent="0.2">
      <c r="C779" s="10"/>
      <c r="D779" s="10"/>
      <c r="O779"/>
      <c r="Q779"/>
      <c r="S779"/>
      <c r="Z779"/>
      <c r="AB779"/>
      <c r="AD779"/>
      <c r="AE779"/>
    </row>
    <row r="780" spans="3:31" x14ac:dyDescent="0.2">
      <c r="C780" s="10"/>
      <c r="D780" s="10"/>
      <c r="O780"/>
      <c r="Q780"/>
      <c r="S780"/>
      <c r="Z780"/>
      <c r="AB780"/>
      <c r="AD780"/>
      <c r="AE780"/>
    </row>
    <row r="781" spans="3:31" x14ac:dyDescent="0.2">
      <c r="C781" s="10"/>
      <c r="D781" s="10"/>
      <c r="O781"/>
      <c r="Q781"/>
      <c r="S781"/>
      <c r="Z781"/>
      <c r="AB781"/>
      <c r="AD781"/>
      <c r="AE781"/>
    </row>
    <row r="782" spans="3:31" x14ac:dyDescent="0.2">
      <c r="C782" s="10"/>
      <c r="D782" s="10"/>
      <c r="O782"/>
      <c r="Q782"/>
      <c r="S782"/>
      <c r="Z782"/>
      <c r="AB782"/>
      <c r="AD782"/>
      <c r="AE782"/>
    </row>
    <row r="783" spans="3:31" x14ac:dyDescent="0.2">
      <c r="C783" s="10"/>
      <c r="D783" s="10"/>
      <c r="O783"/>
      <c r="Q783"/>
      <c r="S783"/>
      <c r="Z783"/>
      <c r="AB783"/>
      <c r="AD783"/>
      <c r="AE783"/>
    </row>
    <row r="784" spans="3:31" x14ac:dyDescent="0.2">
      <c r="C784" s="10"/>
      <c r="D784" s="10"/>
      <c r="O784"/>
      <c r="Q784"/>
      <c r="S784"/>
      <c r="Z784"/>
      <c r="AB784"/>
      <c r="AD784"/>
      <c r="AE784"/>
    </row>
    <row r="785" spans="3:31" x14ac:dyDescent="0.2">
      <c r="C785" s="10"/>
      <c r="D785" s="10"/>
      <c r="O785"/>
      <c r="Q785"/>
      <c r="S785"/>
      <c r="Z785"/>
      <c r="AB785"/>
      <c r="AD785"/>
      <c r="AE785"/>
    </row>
    <row r="786" spans="3:31" x14ac:dyDescent="0.2">
      <c r="C786" s="10"/>
      <c r="D786" s="10"/>
      <c r="O786"/>
      <c r="Q786"/>
      <c r="S786"/>
      <c r="Z786"/>
      <c r="AB786"/>
      <c r="AD786"/>
      <c r="AE786"/>
    </row>
    <row r="787" spans="3:31" x14ac:dyDescent="0.2">
      <c r="C787" s="10"/>
      <c r="D787" s="10"/>
      <c r="O787"/>
      <c r="Q787"/>
      <c r="S787"/>
      <c r="Z787"/>
      <c r="AB787"/>
      <c r="AD787"/>
      <c r="AE787"/>
    </row>
    <row r="788" spans="3:31" x14ac:dyDescent="0.2">
      <c r="C788" s="10"/>
      <c r="D788" s="10"/>
      <c r="O788"/>
      <c r="Q788"/>
      <c r="S788"/>
      <c r="Z788"/>
      <c r="AB788"/>
      <c r="AD788"/>
      <c r="AE788"/>
    </row>
    <row r="789" spans="3:31" x14ac:dyDescent="0.2">
      <c r="C789" s="10"/>
      <c r="D789" s="10"/>
      <c r="O789"/>
      <c r="Q789"/>
      <c r="S789"/>
      <c r="Z789"/>
      <c r="AB789"/>
      <c r="AD789"/>
      <c r="AE789"/>
    </row>
    <row r="790" spans="3:31" x14ac:dyDescent="0.2">
      <c r="C790" s="10"/>
      <c r="D790" s="10"/>
      <c r="O790"/>
      <c r="Q790"/>
      <c r="S790"/>
      <c r="Z790"/>
      <c r="AB790"/>
      <c r="AD790"/>
      <c r="AE790"/>
    </row>
    <row r="791" spans="3:31" x14ac:dyDescent="0.2">
      <c r="C791" s="10"/>
      <c r="D791" s="10"/>
      <c r="O791"/>
      <c r="Q791"/>
      <c r="S791"/>
      <c r="Z791"/>
      <c r="AB791"/>
      <c r="AD791"/>
      <c r="AE791"/>
    </row>
    <row r="792" spans="3:31" x14ac:dyDescent="0.2">
      <c r="C792" s="10"/>
      <c r="D792" s="10"/>
      <c r="O792"/>
      <c r="Q792"/>
      <c r="S792"/>
      <c r="Z792"/>
      <c r="AB792"/>
      <c r="AD792"/>
      <c r="AE792"/>
    </row>
    <row r="793" spans="3:31" x14ac:dyDescent="0.2">
      <c r="C793" s="10"/>
      <c r="D793" s="10"/>
      <c r="O793"/>
      <c r="Q793"/>
      <c r="S793"/>
      <c r="Z793"/>
      <c r="AB793"/>
      <c r="AD793"/>
      <c r="AE793"/>
    </row>
    <row r="794" spans="3:31" x14ac:dyDescent="0.2">
      <c r="C794" s="10"/>
      <c r="D794" s="10"/>
      <c r="O794"/>
      <c r="Q794"/>
      <c r="S794"/>
      <c r="Z794"/>
      <c r="AB794"/>
      <c r="AD794"/>
      <c r="AE794"/>
    </row>
    <row r="795" spans="3:31" x14ac:dyDescent="0.2">
      <c r="C795" s="10"/>
      <c r="D795" s="10"/>
      <c r="O795"/>
      <c r="Q795"/>
      <c r="S795"/>
      <c r="Z795"/>
      <c r="AB795"/>
      <c r="AD795"/>
      <c r="AE795"/>
    </row>
    <row r="796" spans="3:31" x14ac:dyDescent="0.2">
      <c r="C796" s="10"/>
      <c r="D796" s="10"/>
      <c r="O796"/>
      <c r="Q796"/>
      <c r="S796"/>
      <c r="Z796"/>
      <c r="AB796"/>
      <c r="AD796"/>
      <c r="AE796"/>
    </row>
    <row r="797" spans="3:31" x14ac:dyDescent="0.2">
      <c r="C797" s="10"/>
      <c r="D797" s="10"/>
      <c r="O797"/>
      <c r="Q797"/>
      <c r="S797"/>
      <c r="Z797"/>
      <c r="AB797"/>
      <c r="AD797"/>
      <c r="AE797"/>
    </row>
    <row r="798" spans="3:31" x14ac:dyDescent="0.2">
      <c r="C798" s="10"/>
      <c r="D798" s="10"/>
      <c r="O798"/>
      <c r="Q798"/>
      <c r="S798"/>
      <c r="Z798"/>
      <c r="AB798"/>
      <c r="AD798"/>
      <c r="AE798"/>
    </row>
    <row r="799" spans="3:31" x14ac:dyDescent="0.2">
      <c r="C799" s="10"/>
      <c r="D799" s="10"/>
      <c r="O799"/>
      <c r="Q799"/>
      <c r="S799"/>
      <c r="Z799"/>
      <c r="AB799"/>
      <c r="AD799"/>
      <c r="AE799"/>
    </row>
    <row r="800" spans="3:31" x14ac:dyDescent="0.2">
      <c r="C800" s="10"/>
      <c r="D800" s="10"/>
      <c r="O800"/>
      <c r="Q800"/>
      <c r="S800"/>
      <c r="Z800"/>
      <c r="AB800"/>
      <c r="AD800"/>
      <c r="AE800"/>
    </row>
    <row r="801" spans="3:31" x14ac:dyDescent="0.2">
      <c r="C801" s="10"/>
      <c r="D801" s="10"/>
      <c r="O801"/>
      <c r="Q801"/>
      <c r="S801"/>
      <c r="Z801"/>
      <c r="AB801"/>
      <c r="AD801"/>
      <c r="AE801"/>
    </row>
    <row r="802" spans="3:31" x14ac:dyDescent="0.2">
      <c r="C802" s="10"/>
      <c r="D802" s="10"/>
      <c r="O802"/>
      <c r="Q802"/>
      <c r="S802"/>
      <c r="Z802"/>
      <c r="AB802"/>
      <c r="AD802"/>
      <c r="AE802"/>
    </row>
    <row r="803" spans="3:31" x14ac:dyDescent="0.2">
      <c r="C803" s="10"/>
      <c r="D803" s="10"/>
      <c r="O803"/>
      <c r="Q803"/>
      <c r="S803"/>
      <c r="Z803"/>
      <c r="AB803"/>
      <c r="AD803"/>
      <c r="AE803"/>
    </row>
    <row r="804" spans="3:31" x14ac:dyDescent="0.2">
      <c r="C804" s="10"/>
      <c r="D804" s="10"/>
      <c r="O804"/>
      <c r="Q804"/>
      <c r="S804"/>
      <c r="Z804"/>
      <c r="AB804"/>
      <c r="AD804"/>
      <c r="AE804"/>
    </row>
    <row r="805" spans="3:31" x14ac:dyDescent="0.2">
      <c r="C805" s="10"/>
      <c r="D805" s="10"/>
      <c r="O805"/>
      <c r="Q805"/>
      <c r="S805"/>
      <c r="Z805"/>
      <c r="AB805"/>
      <c r="AD805"/>
      <c r="AE805"/>
    </row>
    <row r="806" spans="3:31" x14ac:dyDescent="0.2">
      <c r="C806" s="10"/>
      <c r="D806" s="10"/>
      <c r="O806"/>
      <c r="Q806"/>
      <c r="S806"/>
      <c r="Z806"/>
      <c r="AB806"/>
      <c r="AD806"/>
      <c r="AE806"/>
    </row>
    <row r="807" spans="3:31" x14ac:dyDescent="0.2">
      <c r="C807" s="10"/>
      <c r="D807" s="10"/>
      <c r="O807"/>
      <c r="Q807"/>
      <c r="S807"/>
      <c r="Z807"/>
      <c r="AB807"/>
      <c r="AD807"/>
      <c r="AE807"/>
    </row>
    <row r="808" spans="3:31" x14ac:dyDescent="0.2">
      <c r="C808" s="10"/>
      <c r="D808" s="10"/>
      <c r="O808"/>
      <c r="Q808"/>
      <c r="S808"/>
      <c r="Z808"/>
      <c r="AB808"/>
      <c r="AD808"/>
      <c r="AE808"/>
    </row>
    <row r="809" spans="3:31" x14ac:dyDescent="0.2">
      <c r="C809" s="10"/>
      <c r="D809" s="10"/>
      <c r="O809"/>
      <c r="Q809"/>
      <c r="S809"/>
      <c r="Z809"/>
      <c r="AB809"/>
      <c r="AD809"/>
      <c r="AE809"/>
    </row>
    <row r="810" spans="3:31" x14ac:dyDescent="0.2">
      <c r="C810" s="10"/>
      <c r="D810" s="10"/>
      <c r="O810"/>
      <c r="Q810"/>
      <c r="S810"/>
      <c r="Z810"/>
      <c r="AB810"/>
      <c r="AD810"/>
      <c r="AE810"/>
    </row>
    <row r="811" spans="3:31" x14ac:dyDescent="0.2">
      <c r="C811" s="10"/>
      <c r="D811" s="10"/>
      <c r="O811"/>
      <c r="Q811"/>
      <c r="S811"/>
      <c r="Z811"/>
      <c r="AB811"/>
      <c r="AD811"/>
      <c r="AE811"/>
    </row>
    <row r="812" spans="3:31" x14ac:dyDescent="0.2">
      <c r="C812" s="10"/>
      <c r="D812" s="10"/>
      <c r="O812"/>
      <c r="Q812"/>
      <c r="S812"/>
      <c r="Z812"/>
      <c r="AB812"/>
      <c r="AD812"/>
      <c r="AE812"/>
    </row>
    <row r="813" spans="3:31" x14ac:dyDescent="0.2">
      <c r="C813" s="10"/>
      <c r="D813" s="10"/>
      <c r="O813"/>
      <c r="Q813"/>
      <c r="S813"/>
      <c r="Z813"/>
      <c r="AB813"/>
      <c r="AD813"/>
      <c r="AE813"/>
    </row>
    <row r="814" spans="3:31" x14ac:dyDescent="0.2">
      <c r="C814" s="10"/>
      <c r="D814" s="10"/>
      <c r="O814"/>
      <c r="Q814"/>
      <c r="S814"/>
      <c r="Z814"/>
      <c r="AB814"/>
      <c r="AD814"/>
      <c r="AE814"/>
    </row>
    <row r="815" spans="3:31" x14ac:dyDescent="0.2">
      <c r="C815" s="10"/>
      <c r="D815" s="10"/>
      <c r="O815"/>
      <c r="Q815"/>
      <c r="S815"/>
      <c r="Z815"/>
      <c r="AB815"/>
      <c r="AD815"/>
      <c r="AE815"/>
    </row>
    <row r="816" spans="3:31" x14ac:dyDescent="0.2">
      <c r="C816" s="10"/>
      <c r="D816" s="10"/>
      <c r="O816"/>
      <c r="Q816"/>
      <c r="S816"/>
      <c r="Z816"/>
      <c r="AB816"/>
      <c r="AD816"/>
      <c r="AE816"/>
    </row>
    <row r="817" spans="3:31" x14ac:dyDescent="0.2">
      <c r="C817" s="10"/>
      <c r="D817" s="10"/>
      <c r="O817"/>
      <c r="Q817"/>
      <c r="S817"/>
      <c r="Z817"/>
      <c r="AB817"/>
      <c r="AD817"/>
      <c r="AE817"/>
    </row>
    <row r="818" spans="3:31" x14ac:dyDescent="0.2">
      <c r="C818" s="10"/>
      <c r="D818" s="10"/>
      <c r="O818"/>
      <c r="Q818"/>
      <c r="S818"/>
      <c r="Z818"/>
      <c r="AB818"/>
      <c r="AD818"/>
      <c r="AE818"/>
    </row>
    <row r="819" spans="3:31" x14ac:dyDescent="0.2">
      <c r="C819" s="10"/>
      <c r="D819" s="10"/>
      <c r="O819"/>
      <c r="Q819"/>
      <c r="S819"/>
      <c r="Z819"/>
      <c r="AB819"/>
      <c r="AD819"/>
      <c r="AE819"/>
    </row>
    <row r="820" spans="3:31" x14ac:dyDescent="0.2">
      <c r="C820" s="10"/>
      <c r="D820" s="10"/>
      <c r="O820"/>
      <c r="Q820"/>
      <c r="S820"/>
      <c r="Z820"/>
      <c r="AB820"/>
      <c r="AD820"/>
      <c r="AE820"/>
    </row>
    <row r="821" spans="3:31" x14ac:dyDescent="0.2">
      <c r="C821" s="10"/>
      <c r="D821" s="10"/>
      <c r="O821"/>
      <c r="Q821"/>
      <c r="S821"/>
      <c r="Z821"/>
      <c r="AB821"/>
      <c r="AD821"/>
      <c r="AE821"/>
    </row>
    <row r="822" spans="3:31" x14ac:dyDescent="0.2">
      <c r="C822" s="10"/>
      <c r="D822" s="10"/>
      <c r="O822"/>
      <c r="Q822"/>
      <c r="S822"/>
      <c r="Z822"/>
      <c r="AB822"/>
      <c r="AD822"/>
      <c r="AE822"/>
    </row>
    <row r="823" spans="3:31" x14ac:dyDescent="0.2">
      <c r="C823" s="10"/>
      <c r="D823" s="10"/>
      <c r="O823"/>
      <c r="Q823"/>
      <c r="S823"/>
      <c r="Z823"/>
      <c r="AB823"/>
      <c r="AD823"/>
      <c r="AE823"/>
    </row>
    <row r="824" spans="3:31" x14ac:dyDescent="0.2">
      <c r="C824" s="10"/>
      <c r="D824" s="10"/>
      <c r="O824"/>
      <c r="Q824"/>
      <c r="S824"/>
      <c r="Z824"/>
      <c r="AB824"/>
      <c r="AD824"/>
      <c r="AE824"/>
    </row>
    <row r="825" spans="3:31" x14ac:dyDescent="0.2">
      <c r="C825" s="10"/>
      <c r="D825" s="10"/>
      <c r="O825"/>
      <c r="Q825"/>
      <c r="S825"/>
      <c r="Z825"/>
      <c r="AB825"/>
      <c r="AD825"/>
      <c r="AE825"/>
    </row>
    <row r="826" spans="3:31" x14ac:dyDescent="0.2">
      <c r="C826" s="10"/>
      <c r="D826" s="10"/>
      <c r="O826"/>
      <c r="Q826"/>
      <c r="S826"/>
      <c r="Z826"/>
      <c r="AB826"/>
      <c r="AD826"/>
      <c r="AE826"/>
    </row>
    <row r="827" spans="3:31" x14ac:dyDescent="0.2">
      <c r="C827" s="10"/>
      <c r="D827" s="10"/>
      <c r="O827"/>
      <c r="Q827"/>
      <c r="S827"/>
      <c r="Z827"/>
      <c r="AB827"/>
      <c r="AD827"/>
      <c r="AE827"/>
    </row>
    <row r="828" spans="3:31" x14ac:dyDescent="0.2">
      <c r="C828" s="10"/>
      <c r="D828" s="10"/>
      <c r="O828"/>
      <c r="Q828"/>
      <c r="S828"/>
      <c r="Z828"/>
      <c r="AB828"/>
      <c r="AD828"/>
      <c r="AE828"/>
    </row>
    <row r="829" spans="3:31" x14ac:dyDescent="0.2">
      <c r="C829" s="10"/>
      <c r="D829" s="10"/>
      <c r="O829"/>
      <c r="Q829"/>
      <c r="S829"/>
      <c r="Z829"/>
      <c r="AB829"/>
      <c r="AD829"/>
      <c r="AE829"/>
    </row>
    <row r="830" spans="3:31" x14ac:dyDescent="0.2">
      <c r="C830" s="10"/>
      <c r="D830" s="10"/>
      <c r="O830"/>
      <c r="Q830"/>
      <c r="S830"/>
      <c r="Z830"/>
      <c r="AB830"/>
      <c r="AD830"/>
      <c r="AE830"/>
    </row>
    <row r="831" spans="3:31" x14ac:dyDescent="0.2">
      <c r="C831" s="10"/>
      <c r="D831" s="10"/>
      <c r="O831"/>
      <c r="Q831"/>
      <c r="S831"/>
      <c r="Z831"/>
      <c r="AB831"/>
      <c r="AD831"/>
      <c r="AE831"/>
    </row>
    <row r="832" spans="3:31" x14ac:dyDescent="0.2">
      <c r="C832" s="10"/>
      <c r="D832" s="10"/>
      <c r="O832"/>
      <c r="Q832"/>
      <c r="S832"/>
      <c r="Z832"/>
      <c r="AB832"/>
      <c r="AD832"/>
      <c r="AE832"/>
    </row>
    <row r="833" spans="3:31" x14ac:dyDescent="0.2">
      <c r="C833" s="10"/>
      <c r="D833" s="10"/>
      <c r="O833"/>
      <c r="Q833"/>
      <c r="S833"/>
      <c r="Z833"/>
      <c r="AB833"/>
      <c r="AD833"/>
      <c r="AE833"/>
    </row>
    <row r="834" spans="3:31" x14ac:dyDescent="0.2">
      <c r="C834" s="10"/>
      <c r="D834" s="10"/>
      <c r="O834"/>
      <c r="Q834"/>
      <c r="S834"/>
      <c r="Z834"/>
      <c r="AB834"/>
      <c r="AD834"/>
      <c r="AE834"/>
    </row>
    <row r="835" spans="3:31" x14ac:dyDescent="0.2">
      <c r="C835" s="10"/>
      <c r="D835" s="10"/>
      <c r="O835"/>
      <c r="Q835"/>
      <c r="S835"/>
      <c r="Z835"/>
      <c r="AB835"/>
      <c r="AD835"/>
      <c r="AE835"/>
    </row>
    <row r="836" spans="3:31" x14ac:dyDescent="0.2">
      <c r="C836" s="10"/>
      <c r="D836" s="10"/>
      <c r="O836"/>
      <c r="Q836"/>
      <c r="S836"/>
      <c r="Z836"/>
      <c r="AB836"/>
      <c r="AD836"/>
      <c r="AE836"/>
    </row>
    <row r="837" spans="3:31" x14ac:dyDescent="0.2">
      <c r="C837" s="10"/>
      <c r="D837" s="10"/>
      <c r="O837"/>
      <c r="Q837"/>
      <c r="S837"/>
      <c r="Z837"/>
      <c r="AB837"/>
      <c r="AD837"/>
      <c r="AE837"/>
    </row>
    <row r="838" spans="3:31" x14ac:dyDescent="0.2">
      <c r="C838" s="10"/>
      <c r="D838" s="10"/>
      <c r="O838"/>
      <c r="Q838"/>
      <c r="S838"/>
      <c r="Z838"/>
      <c r="AB838"/>
      <c r="AD838"/>
      <c r="AE838"/>
    </row>
    <row r="839" spans="3:31" x14ac:dyDescent="0.2">
      <c r="C839" s="10"/>
      <c r="D839" s="10"/>
      <c r="O839"/>
      <c r="Q839"/>
      <c r="S839"/>
      <c r="Z839"/>
      <c r="AB839"/>
      <c r="AD839"/>
      <c r="AE839"/>
    </row>
    <row r="840" spans="3:31" x14ac:dyDescent="0.2">
      <c r="C840" s="10"/>
      <c r="D840" s="10"/>
      <c r="O840"/>
      <c r="Q840"/>
      <c r="S840"/>
      <c r="Z840"/>
      <c r="AB840"/>
      <c r="AD840"/>
      <c r="AE840"/>
    </row>
    <row r="841" spans="3:31" x14ac:dyDescent="0.2">
      <c r="C841" s="10"/>
      <c r="D841" s="10"/>
      <c r="O841"/>
      <c r="Q841"/>
      <c r="S841"/>
      <c r="Z841"/>
      <c r="AB841"/>
      <c r="AD841"/>
      <c r="AE841"/>
    </row>
    <row r="842" spans="3:31" x14ac:dyDescent="0.2">
      <c r="C842" s="10"/>
      <c r="D842" s="10"/>
      <c r="O842"/>
      <c r="Q842"/>
      <c r="S842"/>
      <c r="Z842"/>
      <c r="AB842"/>
      <c r="AD842"/>
      <c r="AE842"/>
    </row>
    <row r="843" spans="3:31" x14ac:dyDescent="0.2">
      <c r="C843" s="10"/>
      <c r="D843" s="10"/>
      <c r="O843"/>
      <c r="Q843"/>
      <c r="S843"/>
      <c r="Z843"/>
      <c r="AB843"/>
      <c r="AD843"/>
      <c r="AE843"/>
    </row>
    <row r="844" spans="3:31" x14ac:dyDescent="0.2">
      <c r="C844" s="10"/>
      <c r="D844" s="10"/>
      <c r="O844"/>
      <c r="Q844"/>
      <c r="S844"/>
      <c r="Z844"/>
      <c r="AB844"/>
      <c r="AD844"/>
      <c r="AE844"/>
    </row>
    <row r="845" spans="3:31" x14ac:dyDescent="0.2">
      <c r="C845" s="10"/>
      <c r="D845" s="10"/>
      <c r="O845"/>
      <c r="Q845"/>
      <c r="S845"/>
      <c r="Z845"/>
      <c r="AB845"/>
      <c r="AD845"/>
      <c r="AE845"/>
    </row>
    <row r="846" spans="3:31" x14ac:dyDescent="0.2">
      <c r="C846" s="10"/>
      <c r="D846" s="10"/>
      <c r="O846"/>
      <c r="Q846"/>
      <c r="S846"/>
      <c r="Z846"/>
      <c r="AB846"/>
      <c r="AD846"/>
      <c r="AE846"/>
    </row>
    <row r="847" spans="3:31" x14ac:dyDescent="0.2">
      <c r="C847" s="10"/>
      <c r="D847" s="10"/>
      <c r="O847"/>
      <c r="Q847"/>
      <c r="S847"/>
      <c r="Z847"/>
      <c r="AB847"/>
      <c r="AD847"/>
      <c r="AE847"/>
    </row>
    <row r="848" spans="3:31" x14ac:dyDescent="0.2">
      <c r="C848" s="10"/>
      <c r="D848" s="10"/>
      <c r="O848"/>
      <c r="Q848"/>
      <c r="S848"/>
      <c r="Z848"/>
      <c r="AB848"/>
      <c r="AD848"/>
      <c r="AE848"/>
    </row>
    <row r="849" spans="3:31" x14ac:dyDescent="0.2">
      <c r="C849" s="10"/>
      <c r="D849" s="10"/>
      <c r="O849"/>
      <c r="Q849"/>
      <c r="S849"/>
      <c r="Z849"/>
      <c r="AB849"/>
      <c r="AD849"/>
      <c r="AE849"/>
    </row>
    <row r="850" spans="3:31" x14ac:dyDescent="0.2">
      <c r="C850" s="10"/>
      <c r="D850" s="10"/>
      <c r="O850"/>
      <c r="Q850"/>
      <c r="S850"/>
      <c r="Z850"/>
      <c r="AB850"/>
      <c r="AD850"/>
      <c r="AE850"/>
    </row>
    <row r="851" spans="3:31" x14ac:dyDescent="0.2">
      <c r="C851" s="10"/>
      <c r="D851" s="10"/>
      <c r="O851"/>
      <c r="Q851"/>
      <c r="S851"/>
      <c r="Z851"/>
      <c r="AB851"/>
      <c r="AD851"/>
      <c r="AE851"/>
    </row>
    <row r="852" spans="3:31" x14ac:dyDescent="0.2">
      <c r="C852" s="10"/>
      <c r="D852" s="10"/>
      <c r="O852"/>
      <c r="Q852"/>
      <c r="S852"/>
      <c r="Z852"/>
      <c r="AB852"/>
      <c r="AD852"/>
      <c r="AE852"/>
    </row>
    <row r="853" spans="3:31" x14ac:dyDescent="0.2">
      <c r="C853" s="10"/>
      <c r="D853" s="10"/>
      <c r="O853"/>
      <c r="Q853"/>
      <c r="S853"/>
      <c r="Z853"/>
      <c r="AB853"/>
      <c r="AD853"/>
      <c r="AE853"/>
    </row>
    <row r="854" spans="3:31" x14ac:dyDescent="0.2">
      <c r="C854" s="10"/>
      <c r="D854" s="10"/>
      <c r="O854"/>
      <c r="Q854"/>
      <c r="S854"/>
      <c r="Z854"/>
      <c r="AB854"/>
      <c r="AD854"/>
      <c r="AE854"/>
    </row>
    <row r="855" spans="3:31" x14ac:dyDescent="0.2">
      <c r="C855" s="10"/>
      <c r="D855" s="10"/>
      <c r="O855"/>
      <c r="Q855"/>
      <c r="S855"/>
      <c r="Z855"/>
      <c r="AB855"/>
      <c r="AD855"/>
      <c r="AE855"/>
    </row>
    <row r="856" spans="3:31" x14ac:dyDescent="0.2">
      <c r="C856" s="10"/>
      <c r="D856" s="10"/>
      <c r="O856"/>
      <c r="Q856"/>
      <c r="S856"/>
      <c r="Z856"/>
      <c r="AB856"/>
      <c r="AD856"/>
      <c r="AE856"/>
    </row>
    <row r="857" spans="3:31" x14ac:dyDescent="0.2">
      <c r="C857" s="10"/>
      <c r="D857" s="10"/>
      <c r="O857"/>
      <c r="Q857"/>
      <c r="S857"/>
      <c r="Z857"/>
      <c r="AB857"/>
      <c r="AD857"/>
      <c r="AE857"/>
    </row>
    <row r="858" spans="3:31" x14ac:dyDescent="0.2">
      <c r="C858" s="10"/>
      <c r="D858" s="10"/>
      <c r="O858"/>
      <c r="Q858"/>
      <c r="S858"/>
      <c r="Z858"/>
      <c r="AB858"/>
      <c r="AD858"/>
      <c r="AE858"/>
    </row>
    <row r="859" spans="3:31" x14ac:dyDescent="0.2">
      <c r="C859" s="10"/>
      <c r="D859" s="10"/>
      <c r="O859"/>
      <c r="Q859"/>
      <c r="S859"/>
      <c r="Z859"/>
      <c r="AB859"/>
      <c r="AD859"/>
      <c r="AE859"/>
    </row>
    <row r="860" spans="3:31" x14ac:dyDescent="0.2">
      <c r="C860" s="10"/>
      <c r="D860" s="10"/>
      <c r="O860"/>
      <c r="Q860"/>
      <c r="S860"/>
      <c r="Z860"/>
      <c r="AB860"/>
      <c r="AD860"/>
      <c r="AE860"/>
    </row>
    <row r="861" spans="3:31" x14ac:dyDescent="0.2">
      <c r="C861" s="10"/>
      <c r="D861" s="10"/>
      <c r="O861"/>
      <c r="Q861"/>
      <c r="S861"/>
      <c r="Z861"/>
      <c r="AB861"/>
      <c r="AD861"/>
      <c r="AE861"/>
    </row>
    <row r="862" spans="3:31" x14ac:dyDescent="0.2">
      <c r="C862" s="10"/>
      <c r="D862" s="10"/>
      <c r="O862"/>
      <c r="Q862"/>
      <c r="S862"/>
      <c r="Z862"/>
      <c r="AB862"/>
      <c r="AD862"/>
      <c r="AE862"/>
    </row>
    <row r="863" spans="3:31" x14ac:dyDescent="0.2">
      <c r="C863" s="10"/>
      <c r="D863" s="10"/>
      <c r="O863"/>
      <c r="Q863"/>
      <c r="S863"/>
      <c r="Z863"/>
      <c r="AB863"/>
      <c r="AD863"/>
      <c r="AE863"/>
    </row>
    <row r="864" spans="3:31" x14ac:dyDescent="0.2">
      <c r="C864" s="10"/>
      <c r="D864" s="10"/>
      <c r="O864"/>
      <c r="Q864"/>
      <c r="S864"/>
      <c r="Z864"/>
      <c r="AB864"/>
      <c r="AD864"/>
      <c r="AE864"/>
    </row>
    <row r="865" spans="3:31" x14ac:dyDescent="0.2">
      <c r="C865" s="10"/>
      <c r="D865" s="10"/>
      <c r="O865"/>
      <c r="Q865"/>
      <c r="S865"/>
      <c r="Z865"/>
      <c r="AB865"/>
      <c r="AD865"/>
      <c r="AE865"/>
    </row>
    <row r="866" spans="3:31" x14ac:dyDescent="0.2">
      <c r="C866" s="10"/>
      <c r="D866" s="10"/>
      <c r="O866"/>
      <c r="Q866"/>
      <c r="S866"/>
      <c r="Z866"/>
      <c r="AB866"/>
      <c r="AD866"/>
      <c r="AE866"/>
    </row>
    <row r="867" spans="3:31" x14ac:dyDescent="0.2">
      <c r="C867" s="10"/>
      <c r="D867" s="10"/>
      <c r="O867"/>
      <c r="Q867"/>
      <c r="S867"/>
      <c r="Z867"/>
      <c r="AB867"/>
      <c r="AD867"/>
      <c r="AE867"/>
    </row>
    <row r="868" spans="3:31" x14ac:dyDescent="0.2">
      <c r="C868" s="10"/>
      <c r="D868" s="10"/>
      <c r="O868"/>
      <c r="Q868"/>
      <c r="S868"/>
      <c r="Z868"/>
      <c r="AB868"/>
      <c r="AD868"/>
      <c r="AE868"/>
    </row>
    <row r="869" spans="3:31" x14ac:dyDescent="0.2">
      <c r="C869" s="10"/>
      <c r="D869" s="10"/>
      <c r="O869"/>
      <c r="Q869"/>
      <c r="S869"/>
      <c r="Z869"/>
      <c r="AB869"/>
      <c r="AD869"/>
      <c r="AE869"/>
    </row>
    <row r="870" spans="3:31" x14ac:dyDescent="0.2">
      <c r="C870" s="10"/>
      <c r="D870" s="10"/>
      <c r="O870"/>
      <c r="Q870"/>
      <c r="S870"/>
      <c r="Z870"/>
      <c r="AB870"/>
      <c r="AD870"/>
      <c r="AE870"/>
    </row>
    <row r="871" spans="3:31" x14ac:dyDescent="0.2">
      <c r="C871" s="10"/>
      <c r="D871" s="10"/>
      <c r="O871"/>
      <c r="Q871"/>
      <c r="S871"/>
      <c r="Z871"/>
      <c r="AB871"/>
      <c r="AD871"/>
      <c r="AE871"/>
    </row>
    <row r="872" spans="3:31" x14ac:dyDescent="0.2">
      <c r="C872" s="10"/>
      <c r="D872" s="10"/>
      <c r="O872"/>
      <c r="Q872"/>
      <c r="S872"/>
      <c r="Z872"/>
      <c r="AB872"/>
      <c r="AD872"/>
      <c r="AE872"/>
    </row>
    <row r="873" spans="3:31" x14ac:dyDescent="0.2">
      <c r="C873" s="10"/>
      <c r="D873" s="10"/>
      <c r="O873"/>
      <c r="Q873"/>
      <c r="S873"/>
      <c r="Z873"/>
      <c r="AB873"/>
      <c r="AD873"/>
      <c r="AE873"/>
    </row>
    <row r="874" spans="3:31" x14ac:dyDescent="0.2">
      <c r="C874" s="10"/>
      <c r="D874" s="10"/>
      <c r="O874"/>
      <c r="Q874"/>
      <c r="S874"/>
      <c r="Z874"/>
      <c r="AB874"/>
      <c r="AD874"/>
      <c r="AE874"/>
    </row>
    <row r="875" spans="3:31" x14ac:dyDescent="0.2">
      <c r="C875" s="10"/>
      <c r="D875" s="10"/>
      <c r="O875"/>
      <c r="Q875"/>
      <c r="S875"/>
      <c r="Z875"/>
      <c r="AB875"/>
      <c r="AD875"/>
      <c r="AE875"/>
    </row>
    <row r="876" spans="3:31" x14ac:dyDescent="0.2">
      <c r="C876" s="10"/>
      <c r="D876" s="10"/>
      <c r="O876"/>
      <c r="Q876"/>
      <c r="S876"/>
      <c r="Z876"/>
      <c r="AB876"/>
      <c r="AD876"/>
      <c r="AE876"/>
    </row>
    <row r="877" spans="3:31" x14ac:dyDescent="0.2">
      <c r="C877" s="10"/>
      <c r="D877" s="10"/>
      <c r="O877"/>
      <c r="Q877"/>
      <c r="S877"/>
      <c r="Z877"/>
      <c r="AB877"/>
      <c r="AD877"/>
      <c r="AE877"/>
    </row>
    <row r="878" spans="3:31" x14ac:dyDescent="0.2">
      <c r="C878" s="10"/>
      <c r="D878" s="10"/>
      <c r="O878"/>
      <c r="Q878"/>
      <c r="S878"/>
      <c r="Z878"/>
      <c r="AB878"/>
      <c r="AD878"/>
      <c r="AE878"/>
    </row>
    <row r="879" spans="3:31" x14ac:dyDescent="0.2">
      <c r="C879" s="10"/>
      <c r="D879" s="10"/>
      <c r="O879"/>
      <c r="Q879"/>
      <c r="S879"/>
      <c r="Z879"/>
      <c r="AB879"/>
      <c r="AD879"/>
      <c r="AE879"/>
    </row>
    <row r="880" spans="3:31" x14ac:dyDescent="0.2">
      <c r="C880" s="10"/>
      <c r="D880" s="10"/>
      <c r="O880"/>
      <c r="Q880"/>
      <c r="S880"/>
      <c r="Z880"/>
      <c r="AB880"/>
      <c r="AD880"/>
      <c r="AE880"/>
    </row>
    <row r="881" spans="3:31" x14ac:dyDescent="0.2">
      <c r="C881" s="10"/>
      <c r="D881" s="10"/>
      <c r="O881"/>
      <c r="Q881"/>
      <c r="S881"/>
      <c r="Z881"/>
      <c r="AB881"/>
      <c r="AD881"/>
      <c r="AE881"/>
    </row>
    <row r="882" spans="3:31" x14ac:dyDescent="0.2">
      <c r="C882" s="10"/>
      <c r="D882" s="10"/>
      <c r="O882"/>
      <c r="Q882"/>
      <c r="S882"/>
      <c r="Z882"/>
      <c r="AB882"/>
      <c r="AD882"/>
      <c r="AE882"/>
    </row>
    <row r="883" spans="3:31" x14ac:dyDescent="0.2">
      <c r="C883" s="10"/>
      <c r="D883" s="10"/>
      <c r="O883"/>
      <c r="Q883"/>
      <c r="S883"/>
      <c r="Z883"/>
      <c r="AB883"/>
      <c r="AD883"/>
      <c r="AE883"/>
    </row>
    <row r="884" spans="3:31" x14ac:dyDescent="0.2">
      <c r="C884" s="10"/>
      <c r="D884" s="10"/>
      <c r="O884"/>
      <c r="Q884"/>
      <c r="S884"/>
      <c r="Z884"/>
      <c r="AB884"/>
      <c r="AD884"/>
      <c r="AE884"/>
    </row>
    <row r="885" spans="3:31" x14ac:dyDescent="0.2">
      <c r="C885" s="10"/>
      <c r="D885" s="10"/>
      <c r="O885"/>
      <c r="Q885"/>
      <c r="S885"/>
      <c r="Z885"/>
      <c r="AB885"/>
      <c r="AD885"/>
      <c r="AE885"/>
    </row>
    <row r="886" spans="3:31" x14ac:dyDescent="0.2">
      <c r="C886" s="10"/>
      <c r="D886" s="10"/>
      <c r="O886"/>
      <c r="Q886"/>
      <c r="S886"/>
      <c r="Z886"/>
      <c r="AB886"/>
      <c r="AD886"/>
      <c r="AE886"/>
    </row>
    <row r="887" spans="3:31" x14ac:dyDescent="0.2">
      <c r="C887" s="10"/>
      <c r="D887" s="10"/>
      <c r="O887"/>
      <c r="Q887"/>
      <c r="S887"/>
      <c r="Z887"/>
      <c r="AB887"/>
      <c r="AD887"/>
      <c r="AE887"/>
    </row>
    <row r="888" spans="3:31" x14ac:dyDescent="0.2">
      <c r="C888" s="10"/>
      <c r="D888" s="10"/>
      <c r="O888"/>
      <c r="Q888"/>
      <c r="S888"/>
      <c r="Z888"/>
      <c r="AB888"/>
      <c r="AD888"/>
      <c r="AE888"/>
    </row>
    <row r="889" spans="3:31" x14ac:dyDescent="0.2">
      <c r="C889" s="10"/>
      <c r="D889" s="10"/>
      <c r="O889"/>
      <c r="Q889"/>
      <c r="S889"/>
      <c r="Z889"/>
      <c r="AB889"/>
      <c r="AD889"/>
      <c r="AE889"/>
    </row>
    <row r="890" spans="3:31" x14ac:dyDescent="0.2">
      <c r="C890" s="10"/>
      <c r="D890" s="10"/>
      <c r="O890"/>
      <c r="Q890"/>
      <c r="S890"/>
      <c r="Z890"/>
      <c r="AB890"/>
      <c r="AD890"/>
      <c r="AE890"/>
    </row>
    <row r="891" spans="3:31" x14ac:dyDescent="0.2">
      <c r="C891" s="10"/>
      <c r="D891" s="10"/>
      <c r="O891"/>
      <c r="Q891"/>
      <c r="S891"/>
      <c r="Z891"/>
      <c r="AB891"/>
      <c r="AD891"/>
      <c r="AE891"/>
    </row>
    <row r="892" spans="3:31" x14ac:dyDescent="0.2">
      <c r="C892" s="10"/>
      <c r="D892" s="10"/>
      <c r="O892"/>
      <c r="Q892"/>
      <c r="S892"/>
      <c r="Z892"/>
      <c r="AB892"/>
      <c r="AD892"/>
      <c r="AE892"/>
    </row>
    <row r="893" spans="3:31" x14ac:dyDescent="0.2">
      <c r="C893" s="10"/>
      <c r="D893" s="10"/>
      <c r="O893"/>
      <c r="Q893"/>
      <c r="S893"/>
      <c r="Z893"/>
      <c r="AB893"/>
      <c r="AD893"/>
      <c r="AE893"/>
    </row>
    <row r="894" spans="3:31" x14ac:dyDescent="0.2">
      <c r="C894" s="10"/>
      <c r="D894" s="10"/>
      <c r="O894"/>
      <c r="Q894"/>
      <c r="S894"/>
      <c r="Z894"/>
      <c r="AB894"/>
      <c r="AD894"/>
      <c r="AE894"/>
    </row>
    <row r="895" spans="3:31" x14ac:dyDescent="0.2">
      <c r="C895" s="10"/>
      <c r="D895" s="10"/>
      <c r="O895"/>
      <c r="Q895"/>
      <c r="S895"/>
      <c r="Z895"/>
      <c r="AB895"/>
      <c r="AD895"/>
      <c r="AE895"/>
    </row>
    <row r="896" spans="3:31" x14ac:dyDescent="0.2">
      <c r="C896" s="10"/>
      <c r="D896" s="10"/>
      <c r="O896"/>
      <c r="Q896"/>
      <c r="S896"/>
      <c r="Z896"/>
      <c r="AB896"/>
      <c r="AD896"/>
      <c r="AE896"/>
    </row>
    <row r="897" spans="3:31" x14ac:dyDescent="0.2">
      <c r="C897" s="10"/>
      <c r="D897" s="10"/>
      <c r="O897"/>
      <c r="Q897"/>
      <c r="S897"/>
      <c r="Z897"/>
      <c r="AB897"/>
      <c r="AD897"/>
      <c r="AE897"/>
    </row>
    <row r="898" spans="3:31" x14ac:dyDescent="0.2">
      <c r="C898" s="10"/>
      <c r="D898" s="10"/>
      <c r="O898"/>
      <c r="Q898"/>
      <c r="S898"/>
      <c r="Z898"/>
      <c r="AB898"/>
      <c r="AD898"/>
      <c r="AE898"/>
    </row>
    <row r="899" spans="3:31" x14ac:dyDescent="0.2">
      <c r="C899" s="10"/>
      <c r="D899" s="10"/>
      <c r="O899"/>
      <c r="Q899"/>
      <c r="S899"/>
      <c r="Z899"/>
      <c r="AB899"/>
      <c r="AD899"/>
      <c r="AE899"/>
    </row>
    <row r="900" spans="3:31" x14ac:dyDescent="0.2">
      <c r="C900" s="10"/>
      <c r="D900" s="10"/>
      <c r="O900"/>
      <c r="Q900"/>
      <c r="S900"/>
      <c r="Z900"/>
      <c r="AB900"/>
      <c r="AD900"/>
      <c r="AE900"/>
    </row>
    <row r="901" spans="3:31" x14ac:dyDescent="0.2">
      <c r="C901" s="10"/>
      <c r="D901" s="10"/>
      <c r="O901"/>
      <c r="Q901"/>
      <c r="S901"/>
      <c r="Z901"/>
      <c r="AB901"/>
      <c r="AD901"/>
      <c r="AE901"/>
    </row>
    <row r="902" spans="3:31" x14ac:dyDescent="0.2">
      <c r="C902" s="10"/>
      <c r="D902" s="10"/>
      <c r="O902"/>
      <c r="Q902"/>
      <c r="S902"/>
      <c r="Z902"/>
      <c r="AB902"/>
      <c r="AD902"/>
      <c r="AE902"/>
    </row>
    <row r="903" spans="3:31" x14ac:dyDescent="0.2">
      <c r="C903" s="10"/>
      <c r="D903" s="10"/>
      <c r="O903"/>
      <c r="Q903"/>
      <c r="S903"/>
      <c r="Z903"/>
      <c r="AB903"/>
      <c r="AD903"/>
      <c r="AE903"/>
    </row>
    <row r="904" spans="3:31" x14ac:dyDescent="0.2">
      <c r="C904" s="10"/>
      <c r="D904" s="10"/>
      <c r="O904"/>
      <c r="Q904"/>
      <c r="S904"/>
      <c r="Z904"/>
      <c r="AB904"/>
      <c r="AD904"/>
      <c r="AE904"/>
    </row>
    <row r="905" spans="3:31" x14ac:dyDescent="0.2">
      <c r="C905" s="10"/>
      <c r="D905" s="10"/>
      <c r="O905"/>
      <c r="Q905"/>
      <c r="S905"/>
      <c r="Z905"/>
      <c r="AB905"/>
      <c r="AD905"/>
      <c r="AE905"/>
    </row>
    <row r="906" spans="3:31" x14ac:dyDescent="0.2">
      <c r="C906" s="10"/>
      <c r="D906" s="10"/>
      <c r="O906"/>
      <c r="Q906"/>
      <c r="S906"/>
      <c r="Z906"/>
      <c r="AB906"/>
      <c r="AD906"/>
      <c r="AE906"/>
    </row>
    <row r="907" spans="3:31" x14ac:dyDescent="0.2">
      <c r="C907" s="10"/>
      <c r="D907" s="10"/>
      <c r="O907"/>
      <c r="Q907"/>
      <c r="S907"/>
      <c r="Z907"/>
      <c r="AB907"/>
      <c r="AD907"/>
      <c r="AE907"/>
    </row>
    <row r="908" spans="3:31" x14ac:dyDescent="0.2">
      <c r="C908" s="10"/>
      <c r="D908" s="10"/>
      <c r="O908"/>
      <c r="Q908"/>
      <c r="S908"/>
      <c r="Z908"/>
      <c r="AB908"/>
      <c r="AD908"/>
      <c r="AE908"/>
    </row>
    <row r="909" spans="3:31" x14ac:dyDescent="0.2">
      <c r="C909" s="10"/>
      <c r="D909" s="10"/>
      <c r="O909"/>
      <c r="Q909"/>
      <c r="S909"/>
      <c r="Z909"/>
      <c r="AB909"/>
      <c r="AD909"/>
      <c r="AE909"/>
    </row>
    <row r="910" spans="3:31" x14ac:dyDescent="0.2">
      <c r="C910" s="10"/>
      <c r="D910" s="10"/>
      <c r="O910"/>
      <c r="Q910"/>
      <c r="S910"/>
      <c r="Z910"/>
      <c r="AB910"/>
      <c r="AD910"/>
      <c r="AE910"/>
    </row>
    <row r="911" spans="3:31" x14ac:dyDescent="0.2">
      <c r="C911" s="10"/>
      <c r="D911" s="10"/>
      <c r="O911"/>
      <c r="Q911"/>
      <c r="S911"/>
      <c r="Z911"/>
      <c r="AB911"/>
      <c r="AD911"/>
      <c r="AE911"/>
    </row>
    <row r="912" spans="3:31" x14ac:dyDescent="0.2">
      <c r="C912" s="10"/>
      <c r="D912" s="10"/>
      <c r="O912"/>
      <c r="Q912"/>
      <c r="S912"/>
      <c r="Z912"/>
      <c r="AB912"/>
      <c r="AD912"/>
      <c r="AE912"/>
    </row>
    <row r="913" spans="3:31" x14ac:dyDescent="0.2">
      <c r="C913" s="10"/>
      <c r="D913" s="10"/>
      <c r="O913"/>
      <c r="Q913"/>
      <c r="S913"/>
      <c r="Z913"/>
      <c r="AB913"/>
      <c r="AD913"/>
      <c r="AE913"/>
    </row>
    <row r="914" spans="3:31" x14ac:dyDescent="0.2">
      <c r="C914" s="10"/>
      <c r="D914" s="10"/>
      <c r="O914"/>
      <c r="Q914"/>
      <c r="S914"/>
      <c r="Z914"/>
      <c r="AB914"/>
      <c r="AD914"/>
      <c r="AE914"/>
    </row>
    <row r="915" spans="3:31" x14ac:dyDescent="0.2">
      <c r="C915" s="10"/>
      <c r="D915" s="10"/>
      <c r="O915"/>
      <c r="Q915"/>
      <c r="S915"/>
      <c r="Z915"/>
      <c r="AB915"/>
      <c r="AD915"/>
      <c r="AE915"/>
    </row>
    <row r="916" spans="3:31" x14ac:dyDescent="0.2">
      <c r="C916" s="10"/>
      <c r="D916" s="10"/>
      <c r="O916"/>
      <c r="Q916"/>
      <c r="S916"/>
      <c r="Z916"/>
      <c r="AB916"/>
      <c r="AD916"/>
      <c r="AE916"/>
    </row>
    <row r="917" spans="3:31" x14ac:dyDescent="0.2">
      <c r="C917" s="10"/>
      <c r="D917" s="10"/>
      <c r="O917"/>
      <c r="Q917"/>
      <c r="S917"/>
      <c r="Z917"/>
      <c r="AB917"/>
      <c r="AD917"/>
      <c r="AE917"/>
    </row>
    <row r="918" spans="3:31" x14ac:dyDescent="0.2">
      <c r="C918" s="10"/>
      <c r="D918" s="10"/>
      <c r="O918"/>
      <c r="Q918"/>
      <c r="S918"/>
      <c r="Z918"/>
      <c r="AB918"/>
      <c r="AD918"/>
      <c r="AE918"/>
    </row>
    <row r="919" spans="3:31" x14ac:dyDescent="0.2">
      <c r="C919" s="10"/>
      <c r="D919" s="10"/>
      <c r="O919"/>
      <c r="Q919"/>
      <c r="S919"/>
      <c r="Z919"/>
      <c r="AB919"/>
      <c r="AD919"/>
      <c r="AE919"/>
    </row>
    <row r="920" spans="3:31" x14ac:dyDescent="0.2">
      <c r="C920" s="10"/>
      <c r="D920" s="10"/>
      <c r="O920"/>
      <c r="Q920"/>
      <c r="S920"/>
      <c r="Z920"/>
      <c r="AB920"/>
      <c r="AD920"/>
      <c r="AE920"/>
    </row>
    <row r="921" spans="3:31" x14ac:dyDescent="0.2">
      <c r="C921" s="10"/>
      <c r="D921" s="10"/>
      <c r="O921"/>
      <c r="Q921"/>
      <c r="S921"/>
      <c r="Z921"/>
      <c r="AB921"/>
      <c r="AD921"/>
      <c r="AE921"/>
    </row>
    <row r="922" spans="3:31" x14ac:dyDescent="0.2">
      <c r="C922" s="10"/>
      <c r="D922" s="10"/>
      <c r="O922"/>
      <c r="Q922"/>
      <c r="S922"/>
      <c r="Z922"/>
      <c r="AB922"/>
      <c r="AD922"/>
      <c r="AE922"/>
    </row>
    <row r="923" spans="3:31" x14ac:dyDescent="0.2">
      <c r="C923" s="10"/>
      <c r="D923" s="10"/>
      <c r="O923"/>
      <c r="Q923"/>
      <c r="S923"/>
      <c r="Z923"/>
      <c r="AB923"/>
      <c r="AD923"/>
      <c r="AE923"/>
    </row>
    <row r="924" spans="3:31" x14ac:dyDescent="0.2">
      <c r="C924" s="10"/>
      <c r="D924" s="10"/>
      <c r="O924"/>
      <c r="Q924"/>
      <c r="S924"/>
      <c r="Z924"/>
      <c r="AB924"/>
      <c r="AD924"/>
      <c r="AE924"/>
    </row>
    <row r="925" spans="3:31" x14ac:dyDescent="0.2">
      <c r="C925" s="10"/>
      <c r="D925" s="10"/>
      <c r="O925"/>
      <c r="Q925"/>
      <c r="S925"/>
      <c r="Z925"/>
      <c r="AB925"/>
      <c r="AD925"/>
      <c r="AE925"/>
    </row>
    <row r="926" spans="3:31" x14ac:dyDescent="0.2">
      <c r="C926" s="10"/>
      <c r="D926" s="10"/>
      <c r="O926"/>
      <c r="Q926"/>
      <c r="S926"/>
      <c r="Z926"/>
      <c r="AB926"/>
      <c r="AD926"/>
      <c r="AE926"/>
    </row>
    <row r="927" spans="3:31" x14ac:dyDescent="0.2">
      <c r="C927" s="10"/>
      <c r="D927" s="10"/>
      <c r="O927"/>
      <c r="Q927"/>
      <c r="S927"/>
      <c r="Z927"/>
      <c r="AB927"/>
      <c r="AD927"/>
      <c r="AE927"/>
    </row>
    <row r="928" spans="3:31" x14ac:dyDescent="0.2">
      <c r="C928" s="10"/>
      <c r="D928" s="10"/>
      <c r="O928"/>
      <c r="Q928"/>
      <c r="S928"/>
      <c r="Z928"/>
      <c r="AB928"/>
      <c r="AD928"/>
      <c r="AE928"/>
    </row>
    <row r="929" spans="3:31" x14ac:dyDescent="0.2">
      <c r="C929" s="10"/>
      <c r="D929" s="10"/>
      <c r="O929"/>
      <c r="Q929"/>
      <c r="S929"/>
      <c r="Z929"/>
      <c r="AB929"/>
      <c r="AD929"/>
      <c r="AE929"/>
    </row>
    <row r="930" spans="3:31" x14ac:dyDescent="0.2">
      <c r="C930" s="10"/>
      <c r="D930" s="10"/>
      <c r="O930"/>
      <c r="Q930"/>
      <c r="S930"/>
      <c r="Z930"/>
      <c r="AB930"/>
      <c r="AD930"/>
      <c r="AE930"/>
    </row>
    <row r="931" spans="3:31" x14ac:dyDescent="0.2">
      <c r="C931" s="10"/>
      <c r="D931" s="10"/>
      <c r="O931"/>
      <c r="Q931"/>
      <c r="S931"/>
      <c r="Z931"/>
      <c r="AB931"/>
      <c r="AD931"/>
      <c r="AE931"/>
    </row>
    <row r="932" spans="3:31" x14ac:dyDescent="0.2">
      <c r="C932" s="10"/>
      <c r="D932" s="10"/>
      <c r="O932"/>
      <c r="Q932"/>
      <c r="S932"/>
      <c r="Z932"/>
      <c r="AB932"/>
      <c r="AD932"/>
      <c r="AE932"/>
    </row>
    <row r="933" spans="3:31" x14ac:dyDescent="0.2">
      <c r="C933" s="10"/>
      <c r="D933" s="10"/>
      <c r="O933"/>
      <c r="Q933"/>
      <c r="S933"/>
      <c r="Z933"/>
      <c r="AB933"/>
      <c r="AD933"/>
      <c r="AE933"/>
    </row>
    <row r="934" spans="3:31" x14ac:dyDescent="0.2">
      <c r="C934" s="10"/>
      <c r="D934" s="10"/>
      <c r="O934"/>
      <c r="Q934"/>
      <c r="S934"/>
      <c r="Z934"/>
      <c r="AB934"/>
      <c r="AD934"/>
      <c r="AE934"/>
    </row>
    <row r="935" spans="3:31" x14ac:dyDescent="0.2">
      <c r="C935" s="10"/>
      <c r="D935" s="10"/>
      <c r="O935"/>
      <c r="Q935"/>
      <c r="S935"/>
      <c r="Z935"/>
      <c r="AB935"/>
      <c r="AD935"/>
      <c r="AE935"/>
    </row>
    <row r="936" spans="3:31" x14ac:dyDescent="0.2">
      <c r="C936" s="10"/>
      <c r="D936" s="10"/>
      <c r="O936"/>
      <c r="Q936"/>
      <c r="S936"/>
      <c r="Z936"/>
      <c r="AB936"/>
      <c r="AD936"/>
      <c r="AE936"/>
    </row>
    <row r="937" spans="3:31" x14ac:dyDescent="0.2">
      <c r="C937" s="10"/>
      <c r="D937" s="10"/>
      <c r="O937"/>
      <c r="Q937"/>
      <c r="S937"/>
      <c r="Z937"/>
      <c r="AB937"/>
      <c r="AD937"/>
      <c r="AE937"/>
    </row>
    <row r="938" spans="3:31" x14ac:dyDescent="0.2">
      <c r="C938" s="10"/>
      <c r="D938" s="10"/>
      <c r="O938"/>
      <c r="Q938"/>
      <c r="S938"/>
      <c r="Z938"/>
      <c r="AB938"/>
      <c r="AD938"/>
      <c r="AE938"/>
    </row>
    <row r="939" spans="3:31" x14ac:dyDescent="0.2">
      <c r="C939" s="10"/>
      <c r="D939" s="10"/>
      <c r="O939"/>
      <c r="Q939"/>
      <c r="S939"/>
      <c r="Z939"/>
      <c r="AB939"/>
      <c r="AD939"/>
      <c r="AE939"/>
    </row>
    <row r="940" spans="3:31" x14ac:dyDescent="0.2">
      <c r="C940" s="10"/>
      <c r="D940" s="10"/>
      <c r="O940"/>
      <c r="Q940"/>
      <c r="S940"/>
      <c r="Z940"/>
      <c r="AB940"/>
      <c r="AD940"/>
      <c r="AE940"/>
    </row>
    <row r="941" spans="3:31" x14ac:dyDescent="0.2">
      <c r="C941" s="10"/>
      <c r="D941" s="10"/>
      <c r="O941"/>
      <c r="Q941"/>
      <c r="S941"/>
      <c r="Z941"/>
      <c r="AB941"/>
      <c r="AD941"/>
      <c r="AE941"/>
    </row>
    <row r="942" spans="3:31" x14ac:dyDescent="0.2">
      <c r="C942" s="10"/>
      <c r="D942" s="10"/>
      <c r="O942"/>
      <c r="Q942"/>
      <c r="S942"/>
      <c r="Z942"/>
      <c r="AB942"/>
      <c r="AD942"/>
      <c r="AE942"/>
    </row>
    <row r="943" spans="3:31" x14ac:dyDescent="0.2">
      <c r="C943" s="10"/>
      <c r="D943" s="10"/>
      <c r="O943"/>
      <c r="Q943"/>
      <c r="S943"/>
      <c r="Z943"/>
      <c r="AB943"/>
      <c r="AD943"/>
      <c r="AE943"/>
    </row>
    <row r="944" spans="3:31" x14ac:dyDescent="0.2">
      <c r="C944" s="10"/>
      <c r="D944" s="10"/>
      <c r="O944"/>
      <c r="Q944"/>
      <c r="S944"/>
      <c r="Z944"/>
      <c r="AB944"/>
      <c r="AD944"/>
      <c r="AE944"/>
    </row>
    <row r="945" spans="3:31" x14ac:dyDescent="0.2">
      <c r="C945" s="10"/>
      <c r="D945" s="10"/>
      <c r="O945"/>
      <c r="Q945"/>
      <c r="S945"/>
      <c r="Z945"/>
      <c r="AB945"/>
      <c r="AD945"/>
      <c r="AE945"/>
    </row>
    <row r="946" spans="3:31" x14ac:dyDescent="0.2">
      <c r="C946" s="10"/>
      <c r="D946" s="10"/>
      <c r="O946"/>
      <c r="Q946"/>
      <c r="S946"/>
      <c r="Z946"/>
      <c r="AB946"/>
      <c r="AD946"/>
      <c r="AE946"/>
    </row>
    <row r="947" spans="3:31" x14ac:dyDescent="0.2">
      <c r="C947" s="10"/>
      <c r="D947" s="10"/>
      <c r="O947"/>
      <c r="Q947"/>
      <c r="S947"/>
      <c r="Z947"/>
      <c r="AB947"/>
      <c r="AD947"/>
      <c r="AE947"/>
    </row>
    <row r="948" spans="3:31" x14ac:dyDescent="0.2">
      <c r="C948" s="10"/>
      <c r="D948" s="10"/>
      <c r="O948"/>
      <c r="Q948"/>
      <c r="S948"/>
      <c r="Z948"/>
      <c r="AB948"/>
      <c r="AD948"/>
      <c r="AE948"/>
    </row>
    <row r="949" spans="3:31" x14ac:dyDescent="0.2">
      <c r="C949" s="10"/>
      <c r="D949" s="10"/>
      <c r="O949"/>
      <c r="Q949"/>
      <c r="S949"/>
      <c r="Z949"/>
      <c r="AB949"/>
      <c r="AD949"/>
      <c r="AE949"/>
    </row>
    <row r="950" spans="3:31" x14ac:dyDescent="0.2">
      <c r="C950" s="10"/>
      <c r="D950" s="10"/>
      <c r="O950"/>
      <c r="Q950"/>
      <c r="S950"/>
      <c r="Z950"/>
      <c r="AB950"/>
      <c r="AD950"/>
      <c r="AE950"/>
    </row>
    <row r="951" spans="3:31" x14ac:dyDescent="0.2">
      <c r="C951" s="10"/>
      <c r="D951" s="10"/>
      <c r="O951"/>
      <c r="Q951"/>
      <c r="S951"/>
      <c r="Z951"/>
      <c r="AB951"/>
      <c r="AD951"/>
      <c r="AE951"/>
    </row>
    <row r="952" spans="3:31" x14ac:dyDescent="0.2">
      <c r="C952" s="10"/>
      <c r="D952" s="10"/>
      <c r="O952"/>
      <c r="Q952"/>
      <c r="S952"/>
      <c r="Z952"/>
      <c r="AB952"/>
      <c r="AD952"/>
      <c r="AE952"/>
    </row>
    <row r="953" spans="3:31" x14ac:dyDescent="0.2">
      <c r="C953" s="10"/>
      <c r="D953" s="10"/>
      <c r="O953"/>
      <c r="Q953"/>
      <c r="S953"/>
      <c r="Z953"/>
      <c r="AB953"/>
      <c r="AD953"/>
      <c r="AE953"/>
    </row>
    <row r="954" spans="3:31" x14ac:dyDescent="0.2">
      <c r="C954" s="10"/>
      <c r="D954" s="10"/>
      <c r="O954"/>
      <c r="Q954"/>
      <c r="S954"/>
      <c r="Z954"/>
      <c r="AB954"/>
      <c r="AD954"/>
      <c r="AE954"/>
    </row>
    <row r="955" spans="3:31" x14ac:dyDescent="0.2">
      <c r="C955" s="10"/>
      <c r="D955" s="10"/>
      <c r="O955"/>
      <c r="Q955"/>
      <c r="S955"/>
      <c r="Z955"/>
      <c r="AB955"/>
      <c r="AD955"/>
      <c r="AE955"/>
    </row>
    <row r="956" spans="3:31" x14ac:dyDescent="0.2">
      <c r="C956" s="10"/>
      <c r="D956" s="10"/>
      <c r="O956"/>
      <c r="Q956"/>
      <c r="S956"/>
      <c r="Z956"/>
      <c r="AB956"/>
      <c r="AD956"/>
      <c r="AE956"/>
    </row>
    <row r="957" spans="3:31" x14ac:dyDescent="0.2">
      <c r="C957" s="10"/>
      <c r="D957" s="10"/>
      <c r="O957"/>
      <c r="Q957"/>
      <c r="S957"/>
      <c r="Z957"/>
      <c r="AB957"/>
      <c r="AD957"/>
      <c r="AE957"/>
    </row>
    <row r="958" spans="3:31" x14ac:dyDescent="0.2">
      <c r="C958" s="10"/>
      <c r="D958" s="10"/>
      <c r="O958"/>
      <c r="Q958"/>
      <c r="S958"/>
      <c r="Z958"/>
      <c r="AB958"/>
      <c r="AD958"/>
      <c r="AE958"/>
    </row>
    <row r="959" spans="3:31" x14ac:dyDescent="0.2">
      <c r="C959" s="10"/>
      <c r="D959" s="10"/>
      <c r="O959"/>
      <c r="Q959"/>
      <c r="S959"/>
      <c r="Z959"/>
      <c r="AB959"/>
      <c r="AD959"/>
      <c r="AE959"/>
    </row>
    <row r="960" spans="3:31" x14ac:dyDescent="0.2">
      <c r="C960" s="10"/>
      <c r="D960" s="10"/>
      <c r="O960"/>
      <c r="Q960"/>
      <c r="S960"/>
      <c r="Z960"/>
      <c r="AB960"/>
      <c r="AD960"/>
      <c r="AE960"/>
    </row>
    <row r="961" spans="3:31" x14ac:dyDescent="0.2">
      <c r="C961" s="10"/>
      <c r="D961" s="10"/>
      <c r="O961"/>
      <c r="Q961"/>
      <c r="S961"/>
      <c r="Z961"/>
      <c r="AB961"/>
      <c r="AD961"/>
      <c r="AE961"/>
    </row>
    <row r="962" spans="3:31" x14ac:dyDescent="0.2">
      <c r="C962" s="10"/>
      <c r="D962" s="10"/>
      <c r="O962"/>
      <c r="Q962"/>
      <c r="S962"/>
      <c r="Z962"/>
      <c r="AB962"/>
      <c r="AD962"/>
      <c r="AE962"/>
    </row>
    <row r="963" spans="3:31" x14ac:dyDescent="0.2">
      <c r="C963" s="10"/>
      <c r="D963" s="10"/>
      <c r="O963"/>
      <c r="Q963"/>
      <c r="S963"/>
      <c r="Z963"/>
      <c r="AB963"/>
      <c r="AD963"/>
      <c r="AE963"/>
    </row>
    <row r="964" spans="3:31" x14ac:dyDescent="0.2">
      <c r="C964" s="10"/>
      <c r="D964" s="10"/>
      <c r="O964"/>
      <c r="Q964"/>
      <c r="S964"/>
      <c r="Z964"/>
      <c r="AB964"/>
      <c r="AD964"/>
      <c r="AE964"/>
    </row>
    <row r="965" spans="3:31" x14ac:dyDescent="0.2">
      <c r="C965" s="10"/>
      <c r="D965" s="10"/>
      <c r="O965"/>
      <c r="Q965"/>
      <c r="S965"/>
      <c r="Z965"/>
      <c r="AB965"/>
      <c r="AD965"/>
      <c r="AE965"/>
    </row>
    <row r="966" spans="3:31" x14ac:dyDescent="0.2">
      <c r="C966" s="10"/>
      <c r="D966" s="10"/>
      <c r="O966"/>
      <c r="Q966"/>
      <c r="S966"/>
      <c r="Z966"/>
      <c r="AB966"/>
      <c r="AD966"/>
      <c r="AE966"/>
    </row>
    <row r="967" spans="3:31" x14ac:dyDescent="0.2">
      <c r="C967" s="10"/>
      <c r="D967" s="10"/>
      <c r="O967"/>
      <c r="Q967"/>
      <c r="S967"/>
      <c r="Z967"/>
      <c r="AB967"/>
      <c r="AD967"/>
      <c r="AE967"/>
    </row>
    <row r="968" spans="3:31" x14ac:dyDescent="0.2">
      <c r="C968" s="10"/>
      <c r="D968" s="10"/>
      <c r="O968"/>
      <c r="Q968"/>
      <c r="S968"/>
      <c r="Z968"/>
      <c r="AB968"/>
      <c r="AD968"/>
      <c r="AE968"/>
    </row>
    <row r="969" spans="3:31" x14ac:dyDescent="0.2">
      <c r="C969" s="10"/>
      <c r="D969" s="10"/>
      <c r="O969"/>
      <c r="Q969"/>
      <c r="S969"/>
      <c r="Z969"/>
      <c r="AB969"/>
      <c r="AD969"/>
      <c r="AE969"/>
    </row>
    <row r="970" spans="3:31" x14ac:dyDescent="0.2">
      <c r="C970" s="10"/>
      <c r="D970" s="10"/>
      <c r="O970"/>
      <c r="Q970"/>
      <c r="S970"/>
      <c r="Z970"/>
      <c r="AB970"/>
      <c r="AD970"/>
      <c r="AE970"/>
    </row>
    <row r="971" spans="3:31" x14ac:dyDescent="0.2">
      <c r="C971" s="10"/>
      <c r="D971" s="10"/>
      <c r="O971"/>
      <c r="Q971"/>
      <c r="S971"/>
      <c r="Z971"/>
      <c r="AB971"/>
      <c r="AD971"/>
      <c r="AE971"/>
    </row>
    <row r="972" spans="3:31" x14ac:dyDescent="0.2">
      <c r="C972" s="10"/>
      <c r="D972" s="10"/>
      <c r="O972"/>
      <c r="Q972"/>
      <c r="S972"/>
      <c r="Z972"/>
      <c r="AB972"/>
      <c r="AD972"/>
      <c r="AE972"/>
    </row>
    <row r="973" spans="3:31" x14ac:dyDescent="0.2">
      <c r="C973" s="10"/>
      <c r="D973" s="10"/>
      <c r="O973"/>
      <c r="Q973"/>
      <c r="S973"/>
      <c r="Z973"/>
      <c r="AB973"/>
      <c r="AD973"/>
      <c r="AE973"/>
    </row>
    <row r="974" spans="3:31" x14ac:dyDescent="0.2">
      <c r="C974" s="10"/>
      <c r="D974" s="10"/>
      <c r="O974"/>
      <c r="Q974"/>
      <c r="S974"/>
      <c r="Z974"/>
      <c r="AB974"/>
      <c r="AD974"/>
      <c r="AE974"/>
    </row>
    <row r="975" spans="3:31" x14ac:dyDescent="0.2">
      <c r="C975" s="10"/>
      <c r="D975" s="10"/>
      <c r="O975"/>
      <c r="Q975"/>
      <c r="S975"/>
      <c r="Z975"/>
      <c r="AB975"/>
      <c r="AD975"/>
      <c r="AE975"/>
    </row>
    <row r="976" spans="3:31" x14ac:dyDescent="0.2">
      <c r="C976" s="10"/>
      <c r="D976" s="10"/>
      <c r="O976"/>
      <c r="Q976"/>
      <c r="S976"/>
      <c r="Z976"/>
      <c r="AB976"/>
      <c r="AD976"/>
      <c r="AE976"/>
    </row>
    <row r="977" spans="3:31" x14ac:dyDescent="0.2">
      <c r="C977" s="10"/>
      <c r="D977" s="10"/>
      <c r="O977"/>
      <c r="Q977"/>
      <c r="S977"/>
      <c r="Z977"/>
      <c r="AB977"/>
      <c r="AD977"/>
      <c r="AE977"/>
    </row>
    <row r="978" spans="3:31" x14ac:dyDescent="0.2">
      <c r="C978" s="10"/>
      <c r="D978" s="10"/>
      <c r="O978"/>
      <c r="Q978"/>
      <c r="S978"/>
      <c r="Z978"/>
      <c r="AB978"/>
      <c r="AD978"/>
      <c r="AE978"/>
    </row>
    <row r="979" spans="3:31" x14ac:dyDescent="0.2">
      <c r="C979" s="10"/>
      <c r="D979" s="10"/>
      <c r="O979"/>
      <c r="Q979"/>
      <c r="S979"/>
      <c r="Z979"/>
      <c r="AB979"/>
      <c r="AD979"/>
      <c r="AE979"/>
    </row>
    <row r="980" spans="3:31" x14ac:dyDescent="0.2">
      <c r="C980" s="10"/>
      <c r="D980" s="10"/>
      <c r="O980"/>
      <c r="Q980"/>
      <c r="S980"/>
      <c r="Z980"/>
      <c r="AB980"/>
      <c r="AD980"/>
      <c r="AE980"/>
    </row>
    <row r="981" spans="3:31" x14ac:dyDescent="0.2">
      <c r="C981" s="10"/>
      <c r="D981" s="10"/>
      <c r="O981"/>
      <c r="Q981"/>
      <c r="S981"/>
      <c r="Z981"/>
      <c r="AB981"/>
      <c r="AD981"/>
      <c r="AE981"/>
    </row>
    <row r="982" spans="3:31" x14ac:dyDescent="0.2">
      <c r="C982" s="10"/>
      <c r="D982" s="10"/>
      <c r="O982"/>
      <c r="Q982"/>
      <c r="S982"/>
      <c r="Z982"/>
      <c r="AB982"/>
      <c r="AD982"/>
      <c r="AE982"/>
    </row>
    <row r="983" spans="3:31" x14ac:dyDescent="0.2">
      <c r="C983" s="10"/>
      <c r="D983" s="10"/>
      <c r="O983"/>
      <c r="Q983"/>
      <c r="S983"/>
      <c r="Z983"/>
      <c r="AB983"/>
      <c r="AD983"/>
      <c r="AE983"/>
    </row>
    <row r="984" spans="3:31" x14ac:dyDescent="0.2">
      <c r="C984" s="10"/>
      <c r="D984" s="10"/>
      <c r="O984"/>
      <c r="Q984"/>
      <c r="S984"/>
      <c r="Z984"/>
      <c r="AB984"/>
      <c r="AD984"/>
      <c r="AE984"/>
    </row>
    <row r="985" spans="3:31" x14ac:dyDescent="0.2">
      <c r="C985" s="10"/>
      <c r="D985" s="10"/>
      <c r="O985"/>
      <c r="Q985"/>
      <c r="S985"/>
      <c r="Z985"/>
      <c r="AB985"/>
      <c r="AD985"/>
      <c r="AE985"/>
    </row>
    <row r="986" spans="3:31" x14ac:dyDescent="0.2">
      <c r="C986" s="10"/>
      <c r="D986" s="10"/>
      <c r="O986"/>
      <c r="Q986"/>
      <c r="S986"/>
      <c r="Z986"/>
      <c r="AB986"/>
      <c r="AD986"/>
      <c r="AE986"/>
    </row>
    <row r="987" spans="3:31" x14ac:dyDescent="0.2">
      <c r="C987" s="10"/>
      <c r="D987" s="10"/>
      <c r="O987"/>
      <c r="Q987"/>
      <c r="S987"/>
      <c r="Z987"/>
      <c r="AB987"/>
      <c r="AD987"/>
      <c r="AE987"/>
    </row>
    <row r="988" spans="3:31" x14ac:dyDescent="0.2">
      <c r="C988" s="10"/>
      <c r="D988" s="10"/>
      <c r="O988"/>
      <c r="Q988"/>
      <c r="S988"/>
      <c r="Z988"/>
      <c r="AB988"/>
      <c r="AD988"/>
      <c r="AE988"/>
    </row>
    <row r="989" spans="3:31" x14ac:dyDescent="0.2">
      <c r="C989" s="10"/>
      <c r="D989" s="10"/>
      <c r="O989"/>
      <c r="Q989"/>
      <c r="S989"/>
      <c r="Z989"/>
      <c r="AB989"/>
      <c r="AD989"/>
      <c r="AE989"/>
    </row>
    <row r="990" spans="3:31" x14ac:dyDescent="0.2">
      <c r="C990" s="10"/>
      <c r="D990" s="10"/>
      <c r="O990"/>
      <c r="Q990"/>
      <c r="S990"/>
      <c r="Z990"/>
      <c r="AB990"/>
      <c r="AD990"/>
      <c r="AE990"/>
    </row>
    <row r="991" spans="3:31" x14ac:dyDescent="0.2">
      <c r="C991" s="10"/>
      <c r="D991" s="10"/>
      <c r="O991"/>
      <c r="Q991"/>
      <c r="S991"/>
      <c r="Z991"/>
      <c r="AB991"/>
      <c r="AD991"/>
      <c r="AE991"/>
    </row>
    <row r="992" spans="3:31" x14ac:dyDescent="0.2">
      <c r="C992" s="10"/>
      <c r="D992" s="10"/>
      <c r="O992"/>
      <c r="Q992"/>
      <c r="S992"/>
      <c r="Z992"/>
      <c r="AB992"/>
      <c r="AD992"/>
      <c r="AE992"/>
    </row>
    <row r="993" spans="3:31" x14ac:dyDescent="0.2">
      <c r="C993" s="10"/>
      <c r="D993" s="10"/>
      <c r="O993"/>
      <c r="Q993"/>
      <c r="S993"/>
      <c r="Z993"/>
      <c r="AB993"/>
      <c r="AD993"/>
      <c r="AE993"/>
    </row>
    <row r="994" spans="3:31" x14ac:dyDescent="0.2">
      <c r="C994" s="10"/>
      <c r="D994" s="10"/>
      <c r="O994"/>
      <c r="Q994"/>
      <c r="S994"/>
      <c r="Z994"/>
      <c r="AB994"/>
      <c r="AD994"/>
      <c r="AE994"/>
    </row>
    <row r="995" spans="3:31" x14ac:dyDescent="0.2">
      <c r="C995" s="10"/>
      <c r="D995" s="10"/>
      <c r="O995"/>
      <c r="Q995"/>
      <c r="S995"/>
      <c r="Z995"/>
      <c r="AB995"/>
      <c r="AD995"/>
      <c r="AE995"/>
    </row>
    <row r="996" spans="3:31" x14ac:dyDescent="0.2">
      <c r="C996" s="10"/>
      <c r="D996" s="10"/>
      <c r="O996"/>
      <c r="Q996"/>
      <c r="S996"/>
      <c r="Z996"/>
      <c r="AB996"/>
      <c r="AD996"/>
      <c r="AE996"/>
    </row>
    <row r="997" spans="3:31" x14ac:dyDescent="0.2">
      <c r="C997" s="10"/>
      <c r="D997" s="10"/>
      <c r="O997"/>
      <c r="Q997"/>
      <c r="S997"/>
      <c r="Z997"/>
      <c r="AB997"/>
      <c r="AD997"/>
      <c r="AE997"/>
    </row>
    <row r="998" spans="3:31" x14ac:dyDescent="0.2">
      <c r="C998" s="10"/>
      <c r="D998" s="10"/>
      <c r="O998"/>
      <c r="Q998"/>
      <c r="S998"/>
      <c r="Z998"/>
      <c r="AB998"/>
      <c r="AD998"/>
      <c r="AE998"/>
    </row>
    <row r="999" spans="3:31" x14ac:dyDescent="0.2">
      <c r="C999" s="10"/>
      <c r="D999" s="10"/>
      <c r="O999"/>
      <c r="Q999"/>
      <c r="S999"/>
      <c r="Z999"/>
      <c r="AB999"/>
      <c r="AD999"/>
      <c r="AE999"/>
    </row>
  </sheetData>
  <sortState xmlns:xlrd2="http://schemas.microsoft.com/office/spreadsheetml/2017/richdata2" ref="K5:L85">
    <sortCondition ref="L5:L85"/>
  </sortState>
  <conditionalFormatting sqref="G3:G9">
    <cfRule type="duplicateValues" dxfId="6" priority="6"/>
    <cfRule type="duplicateValues" dxfId="5" priority="7"/>
  </conditionalFormatting>
  <conditionalFormatting sqref="AR5:AR32">
    <cfRule type="cellIs" dxfId="4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Z27:AG50"/>
  <sheetViews>
    <sheetView workbookViewId="0">
      <selection activeCell="C12" sqref="C12"/>
    </sheetView>
  </sheetViews>
  <sheetFormatPr defaultColWidth="12.42578125" defaultRowHeight="15.75" customHeight="1" x14ac:dyDescent="0.2"/>
  <cols>
    <col min="1" max="1" width="3" customWidth="1"/>
    <col min="2" max="2" width="29.42578125" customWidth="1"/>
    <col min="3" max="3" width="33.42578125" customWidth="1"/>
    <col min="4" max="4" width="13.7109375" customWidth="1"/>
    <col min="29" max="29" width="38.42578125" customWidth="1"/>
    <col min="33" max="33" width="36.28515625" customWidth="1"/>
  </cols>
  <sheetData>
    <row r="27" spans="26:33" ht="15.75" customHeight="1" thickBot="1" x14ac:dyDescent="0.25"/>
    <row r="28" spans="26:33" ht="15.75" customHeight="1" x14ac:dyDescent="0.2">
      <c r="Z28" s="1"/>
      <c r="AC28" s="3"/>
      <c r="AE28" s="6"/>
      <c r="AG28" s="9"/>
    </row>
    <row r="29" spans="26:33" ht="15.75" customHeight="1" x14ac:dyDescent="0.2">
      <c r="Z29" s="2"/>
      <c r="AA29" s="1"/>
      <c r="AC29" s="4"/>
      <c r="AE29" s="7"/>
      <c r="AG29" s="9"/>
    </row>
    <row r="30" spans="26:33" ht="15.75" customHeight="1" x14ac:dyDescent="0.2">
      <c r="AA30" s="1"/>
      <c r="AC30" s="4"/>
      <c r="AE30" s="7"/>
      <c r="AG30" s="9"/>
    </row>
    <row r="31" spans="26:33" ht="15.75" customHeight="1" x14ac:dyDescent="0.2">
      <c r="AA31" s="1"/>
      <c r="AC31" s="4"/>
      <c r="AE31" s="7"/>
      <c r="AG31" s="9"/>
    </row>
    <row r="32" spans="26:33" ht="15.75" customHeight="1" x14ac:dyDescent="0.2">
      <c r="AA32" s="1"/>
      <c r="AC32" s="4"/>
      <c r="AE32" s="7"/>
      <c r="AG32" s="9"/>
    </row>
    <row r="33" spans="27:33" ht="15.75" customHeight="1" x14ac:dyDescent="0.2">
      <c r="AA33" s="1"/>
      <c r="AC33" s="4"/>
      <c r="AE33" s="7"/>
      <c r="AG33" s="9"/>
    </row>
    <row r="34" spans="27:33" ht="15.75" customHeight="1" thickBot="1" x14ac:dyDescent="0.25">
      <c r="AC34" s="4"/>
      <c r="AE34" s="8"/>
      <c r="AG34" s="9"/>
    </row>
    <row r="35" spans="27:33" ht="15.75" customHeight="1" x14ac:dyDescent="0.2">
      <c r="AC35" s="4"/>
      <c r="AG35" s="9"/>
    </row>
    <row r="36" spans="27:33" ht="15.75" customHeight="1" x14ac:dyDescent="0.2">
      <c r="AC36" s="4"/>
      <c r="AG36" s="9"/>
    </row>
    <row r="37" spans="27:33" ht="15.75" customHeight="1" x14ac:dyDescent="0.2">
      <c r="AC37" s="4"/>
      <c r="AG37" s="9"/>
    </row>
    <row r="38" spans="27:33" ht="15.75" customHeight="1" x14ac:dyDescent="0.2">
      <c r="AC38" s="4"/>
      <c r="AG38" s="9"/>
    </row>
    <row r="39" spans="27:33" ht="15.75" customHeight="1" x14ac:dyDescent="0.2">
      <c r="AC39" s="4"/>
    </row>
    <row r="40" spans="27:33" ht="15.75" customHeight="1" x14ac:dyDescent="0.2">
      <c r="AC40" s="4"/>
    </row>
    <row r="41" spans="27:33" ht="15.75" customHeight="1" x14ac:dyDescent="0.2">
      <c r="AC41" s="4"/>
    </row>
    <row r="42" spans="27:33" ht="15.75" customHeight="1" x14ac:dyDescent="0.2">
      <c r="AC42" s="4"/>
    </row>
    <row r="43" spans="27:33" ht="15.75" customHeight="1" x14ac:dyDescent="0.2">
      <c r="AC43" s="4"/>
    </row>
    <row r="44" spans="27:33" ht="15.75" customHeight="1" x14ac:dyDescent="0.2">
      <c r="AC44" s="4"/>
    </row>
    <row r="45" spans="27:33" ht="15.75" customHeight="1" x14ac:dyDescent="0.2">
      <c r="AC45" s="4"/>
    </row>
    <row r="46" spans="27:33" ht="15.75" customHeight="1" x14ac:dyDescent="0.2">
      <c r="AC46" s="4"/>
    </row>
    <row r="47" spans="27:33" ht="15.75" customHeight="1" x14ac:dyDescent="0.2">
      <c r="AC47" s="4"/>
    </row>
    <row r="48" spans="27:33" ht="15.75" customHeight="1" x14ac:dyDescent="0.2">
      <c r="AC48" s="4"/>
    </row>
    <row r="49" spans="29:29" ht="15.75" customHeight="1" x14ac:dyDescent="0.2">
      <c r="AC49" s="4"/>
    </row>
    <row r="50" spans="29:29" ht="15.75" customHeight="1" thickBot="1" x14ac:dyDescent="0.25">
      <c r="AC50" s="5"/>
    </row>
  </sheetData>
  <conditionalFormatting sqref="AC28:AC50">
    <cfRule type="duplicateValues" dxfId="3" priority="3"/>
    <cfRule type="duplicateValues" dxfId="2" priority="4"/>
  </conditionalFormatting>
  <conditionalFormatting sqref="AE28:AE34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ФСД.Площадки</vt:lpstr>
      <vt:lpstr>Справочники</vt:lpstr>
      <vt:lpstr>Лист3</vt:lpstr>
      <vt:lpstr>ФСД.Площадки!Область_печати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Глухов Юрий Олегович</dc:creator>
  <cp:lastModifiedBy>Данила Чепурко</cp:lastModifiedBy>
  <dcterms:created xsi:type="dcterms:W3CDTF">2024-01-29T14:02:09Z</dcterms:created>
  <dcterms:modified xsi:type="dcterms:W3CDTF">2025-03-06T09:53:19Z</dcterms:modified>
</cp:coreProperties>
</file>
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field-parser\src\test\resources\"/>
    </mc:Choice>
  </mc:AlternateContent>
  <xr:revisionPtr revIDLastSave="0" documentId="13_ncr:1_{374FE0DB-353E-4347-B083-255F1C88DA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ФСД НСИ.Месторождения" sheetId="1" r:id="rId1"/>
    <sheet name="Справочники" sheetId="2" r:id="rId2"/>
    <sheet name="Лист3" sheetId="3" state="hidden" r:id="rId3"/>
  </sheets>
  <definedNames>
    <definedName name="_xlnm._FilterDatabase" localSheetId="2" hidden="1">Лист3!$B$7:$D$8</definedName>
    <definedName name="_xlnm.Print_Area" localSheetId="0">'ФСД НСИ.Месторождения'!$A$1:$H$48</definedName>
  </definedNames>
  <calcPr calcId="181029"/>
</workbook>
</file>

<file path=xl/calcChain.xml><?xml version="1.0" encoding="utf-8"?>
<calcChain xmlns="http://schemas.openxmlformats.org/spreadsheetml/2006/main">
  <c r="Q5" i="2" l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4" i="2"/>
  <c r="M159" i="2" l="1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</calcChain>
</file>

<file path=xl/sharedStrings.xml><?xml version="1.0" encoding="utf-8"?>
<sst xmlns="http://schemas.openxmlformats.org/spreadsheetml/2006/main" count="1338" uniqueCount="571">
  <si>
    <t>добыча газа, млн м3</t>
  </si>
  <si>
    <t>добыча ГК, тыс. Т</t>
  </si>
  <si>
    <t>добыча нефти, тыс. Т</t>
  </si>
  <si>
    <t>добыча попутного нефтяного газа, млн м3</t>
  </si>
  <si>
    <t xml:space="preserve">производственная себестоимость добычи газа, тыс. руб. / млн м3 </t>
  </si>
  <si>
    <t xml:space="preserve">производственная себестоимость добычи ГК, тыс. руб. / тыс. Т </t>
  </si>
  <si>
    <t>Эксплуатационные обьекты</t>
  </si>
  <si>
    <t>Показатели:</t>
  </si>
  <si>
    <t>ООО "Газпром добыча Ямбург"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</si>
  <si>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</si>
  <si>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</si>
  <si>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</si>
  <si>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Краснодар"</t>
  </si>
  <si>
    <t>ООО "Газпром добыча Астрахань"</t>
  </si>
  <si>
    <t>ЗАО "Пургаз"</t>
  </si>
  <si>
    <t>ГДО:</t>
  </si>
  <si>
    <t>Сценарий:</t>
  </si>
  <si>
    <t>среднесуточная добыча газа, млн м3</t>
  </si>
  <si>
    <t>Месторождения:</t>
  </si>
  <si>
    <t>Годы</t>
  </si>
  <si>
    <t>Версии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</si>
  <si>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</si>
  <si>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</si>
  <si>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</si>
  <si>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</si>
  <si>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</si>
  <si>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</si>
  <si>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</si>
  <si>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</si>
  <si>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</si>
  <si>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</si>
  <si>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</si>
  <si>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</si>
  <si>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Бованенковское</t>
  </si>
  <si>
    <t>Вынгапуровское</t>
  </si>
  <si>
    <t>Вынгаяхинское</t>
  </si>
  <si>
    <t>Губкинское</t>
  </si>
  <si>
    <t>Ен-Яхинское</t>
  </si>
  <si>
    <t>Еты-Пуровское</t>
  </si>
  <si>
    <t>Западно-Таркосалинское</t>
  </si>
  <si>
    <t>Заполярное</t>
  </si>
  <si>
    <t>Комсомольское</t>
  </si>
  <si>
    <t>Медвежье</t>
  </si>
  <si>
    <t>Оренбургское НГКМ</t>
  </si>
  <si>
    <t>Северо-Уренгойское</t>
  </si>
  <si>
    <t>Уренгойское</t>
  </si>
  <si>
    <t>Юбилейное</t>
  </si>
  <si>
    <t>Южно-Русское НГКМ</t>
  </si>
  <si>
    <t>Ямбургское</t>
  </si>
  <si>
    <t>Ямсовейское</t>
  </si>
  <si>
    <t>Наименование месторождения</t>
  </si>
  <si>
    <t>Площадка</t>
  </si>
  <si>
    <t>Объект разработки</t>
  </si>
  <si>
    <t>ярус</t>
  </si>
  <si>
    <t>Расшифровка яруса</t>
  </si>
  <si>
    <t>Гелогический горизонт</t>
  </si>
  <si>
    <t>Площадь</t>
  </si>
  <si>
    <t>УКПГ-2</t>
  </si>
  <si>
    <t>ПК1</t>
  </si>
  <si>
    <t>K2s</t>
  </si>
  <si>
    <t>Сеноман-апт</t>
  </si>
  <si>
    <t>УКПГ-3</t>
  </si>
  <si>
    <t>ПК10</t>
  </si>
  <si>
    <t>K1a</t>
  </si>
  <si>
    <t>УКПГ-1</t>
  </si>
  <si>
    <t>ПК9</t>
  </si>
  <si>
    <t>ТП1-6</t>
  </si>
  <si>
    <t>ТП7-11</t>
  </si>
  <si>
    <t>ХМ1-2</t>
  </si>
  <si>
    <t>K1al</t>
  </si>
  <si>
    <t>УКПГ</t>
  </si>
  <si>
    <t>I</t>
  </si>
  <si>
    <t>Сеноман</t>
  </si>
  <si>
    <t>УППГ</t>
  </si>
  <si>
    <t>МУПН</t>
  </si>
  <si>
    <t>K1g</t>
  </si>
  <si>
    <t>Неоком</t>
  </si>
  <si>
    <t>УКПГ-11В</t>
  </si>
  <si>
    <t xml:space="preserve"> II</t>
  </si>
  <si>
    <t>III</t>
  </si>
  <si>
    <t>K1v</t>
  </si>
  <si>
    <t>IV</t>
  </si>
  <si>
    <t>УКПГиК</t>
  </si>
  <si>
    <t>II</t>
  </si>
  <si>
    <t>K1br</t>
  </si>
  <si>
    <t>VI</t>
  </si>
  <si>
    <t>VII</t>
  </si>
  <si>
    <t>УКПГ-1В</t>
  </si>
  <si>
    <t>УКПГ-2В</t>
  </si>
  <si>
    <t>Участок ОПР нефтяной оторочки пласта БТ100 Газпром нефть</t>
  </si>
  <si>
    <t>УКПГ-1С</t>
  </si>
  <si>
    <t>УКПГ-2С</t>
  </si>
  <si>
    <t>УКПГ-3С</t>
  </si>
  <si>
    <t>УППГ СК</t>
  </si>
  <si>
    <t>УППГ ЗК</t>
  </si>
  <si>
    <t>сборный пункт</t>
  </si>
  <si>
    <t>УКПГ-Н</t>
  </si>
  <si>
    <t>1а</t>
  </si>
  <si>
    <t>1б</t>
  </si>
  <si>
    <t>1в</t>
  </si>
  <si>
    <t>1г</t>
  </si>
  <si>
    <t>1д</t>
  </si>
  <si>
    <t>K1vAch</t>
  </si>
  <si>
    <t>Ачимовский</t>
  </si>
  <si>
    <t>1н</t>
  </si>
  <si>
    <t>2а</t>
  </si>
  <si>
    <t>K2st</t>
  </si>
  <si>
    <t>11а</t>
  </si>
  <si>
    <t>5 (сеноман)</t>
  </si>
  <si>
    <t>УКПГ-4</t>
  </si>
  <si>
    <t>УКПГ-5</t>
  </si>
  <si>
    <t>УКПГ-6</t>
  </si>
  <si>
    <t>УКПГ-7</t>
  </si>
  <si>
    <t>УКПГ-8</t>
  </si>
  <si>
    <t>УКПГ-9</t>
  </si>
  <si>
    <t>Р5-А3</t>
  </si>
  <si>
    <t>УКПГ-10</t>
  </si>
  <si>
    <t>Р4+5+6</t>
  </si>
  <si>
    <t>УКПГ-14</t>
  </si>
  <si>
    <t>УКПГ-12</t>
  </si>
  <si>
    <t>Р3</t>
  </si>
  <si>
    <t>УКПГ-15</t>
  </si>
  <si>
    <t>MSK_BSHK</t>
  </si>
  <si>
    <t>А1/1-А4/1</t>
  </si>
  <si>
    <t>Р7</t>
  </si>
  <si>
    <t>А0-А2</t>
  </si>
  <si>
    <t>P5-A3</t>
  </si>
  <si>
    <t>УКПГ-15 ЗАПАДНЫЙ КУПОЛ</t>
  </si>
  <si>
    <t>K2s пл. ПК1</t>
  </si>
  <si>
    <t>УКПГ-15 ВОСТОЧНЫЙ КУПОЛ</t>
  </si>
  <si>
    <t>УКПГ-15 западный КУПОЛ</t>
  </si>
  <si>
    <t>УКПГ-31</t>
  </si>
  <si>
    <t>2a+3a</t>
  </si>
  <si>
    <t>Участок 1А</t>
  </si>
  <si>
    <t>УКПГ-22</t>
  </si>
  <si>
    <t>Участок 2А</t>
  </si>
  <si>
    <t>УКПГ-21</t>
  </si>
  <si>
    <t>УКПГ-41</t>
  </si>
  <si>
    <t>Участок 4А</t>
  </si>
  <si>
    <t>УКПГ-51</t>
  </si>
  <si>
    <t>Участок 5А</t>
  </si>
  <si>
    <t>Уренгойская</t>
  </si>
  <si>
    <t>УКПГ-10 ТАБ-ЯХИНСКИЙ УЧАСТОК</t>
  </si>
  <si>
    <t>УКПГ-11</t>
  </si>
  <si>
    <t>Ен-яхинская</t>
  </si>
  <si>
    <t>УКПГ-13</t>
  </si>
  <si>
    <t>УКПГ-16 ПЕСЦОВАЯ ПЛОЩАДЬ</t>
  </si>
  <si>
    <t>Песцовая</t>
  </si>
  <si>
    <t>УКПГ-1АС</t>
  </si>
  <si>
    <t>УКПГ-16 ЗАПАДНО-ПЕСЦ. ПЛОЩАДЬ</t>
  </si>
  <si>
    <t>Западно-Песцовая</t>
  </si>
  <si>
    <t>УКПГ-НТС</t>
  </si>
  <si>
    <t>K2t</t>
  </si>
  <si>
    <t>Турон</t>
  </si>
  <si>
    <t>УППГ-3В</t>
  </si>
  <si>
    <t>УППГ-2В</t>
  </si>
  <si>
    <t>Ямбургская</t>
  </si>
  <si>
    <t>УППГ-8</t>
  </si>
  <si>
    <t>Харвутинская</t>
  </si>
  <si>
    <t>УППГ-4А</t>
  </si>
  <si>
    <t>Анерьяхинская</t>
  </si>
  <si>
    <t>УКПГ-9 (Уч-11)</t>
  </si>
  <si>
    <t>УППГ-10 (Уч-10)</t>
  </si>
  <si>
    <t>ТП-9 (Уч-9)</t>
  </si>
  <si>
    <t>Т1</t>
  </si>
  <si>
    <t>К1al</t>
  </si>
  <si>
    <t>К1g</t>
  </si>
  <si>
    <t>Апт</t>
  </si>
  <si>
    <t>Альп</t>
  </si>
  <si>
    <t>Готтерив</t>
  </si>
  <si>
    <t>Валажин</t>
  </si>
  <si>
    <t>Борем</t>
  </si>
  <si>
    <t>Сенон</t>
  </si>
  <si>
    <t>Площадки</t>
  </si>
  <si>
    <t>Бованенковское.Сеноман-апт.УКПГ-2</t>
  </si>
  <si>
    <t>Бованенковское.Сеноман-апт.УКПГ-3</t>
  </si>
  <si>
    <t>Бованенковское.Сеноман-апт.УКПГ-1</t>
  </si>
  <si>
    <t>Вынгапуровское.Сеноман.УКПГ</t>
  </si>
  <si>
    <t>Вынгаяхинское.Сеноман.УКПГ</t>
  </si>
  <si>
    <t>Губкинское.Сеноман.УКПГ</t>
  </si>
  <si>
    <t>Губкинское.Сеноман.УППГ</t>
  </si>
  <si>
    <t>Ен-Яхинское.Неоком.МУПН</t>
  </si>
  <si>
    <t>Ен-Яхинское.Неоком.УКПГ-11В</t>
  </si>
  <si>
    <t>Еты-Пуровское.Сеноман.УППГ</t>
  </si>
  <si>
    <t>Западно-Таркосалинское.Неоком.УКПГиК</t>
  </si>
  <si>
    <t>Западно-Таркосалинское.Сеноман.УКПГ</t>
  </si>
  <si>
    <t>Заполярное.Неоком.УКПГ-1В</t>
  </si>
  <si>
    <t>Заполярное.Неоком.УКПГ-2В</t>
  </si>
  <si>
    <t>Заполярное.Неоком.Участок ОПР нефтяной оторочки пласта БТ100 Газпром нефть</t>
  </si>
  <si>
    <t>Заполярное.Сеноман.УКПГ-1С</t>
  </si>
  <si>
    <t>Заполярное.Сеноман.УКПГ-2С</t>
  </si>
  <si>
    <t>Заполярное.Сеноман.УКПГ-3С</t>
  </si>
  <si>
    <t>Комсомольское.Сеноман.УКПГ</t>
  </si>
  <si>
    <t>Комсомольское.Сеноман.УППГ СК</t>
  </si>
  <si>
    <t>Комсомольское.Сеноман.УППГ ЗК</t>
  </si>
  <si>
    <t>Комсомольское.Сеноман.сборный пункт</t>
  </si>
  <si>
    <t>Медвежье.Неоком.УКПГ-Н</t>
  </si>
  <si>
    <t>Медвежье.Ачимовский.УКПГ-Н</t>
  </si>
  <si>
    <t>Медвежье.Неоком.УКПГ-1</t>
  </si>
  <si>
    <t>Медвежье.Неоком.УКПГ-2</t>
  </si>
  <si>
    <t>Медвежье.Неоком.УКПГ-3</t>
  </si>
  <si>
    <t>Медвежье.Неоком.УКПГ-4</t>
  </si>
  <si>
    <t>Медвежье.Неоком.УКПГ-5</t>
  </si>
  <si>
    <t>Медвежье.Неоком.УКПГ-6</t>
  </si>
  <si>
    <t>Медвежье.Неоком.УКПГ-7</t>
  </si>
  <si>
    <t>Медвежье.Неоком.УКПГ-8</t>
  </si>
  <si>
    <t>Медвежье.Неоком.УКПГ-9</t>
  </si>
  <si>
    <t>Оренбургское НГКМ..УКПГ-2</t>
  </si>
  <si>
    <t>Оренбургское НГКМ..УКПГ-10</t>
  </si>
  <si>
    <t>Оренбургское НГКМ..УКПГ-1</t>
  </si>
  <si>
    <t>Оренбургское НГКМ..УКПГ-14</t>
  </si>
  <si>
    <t>Оренбургское НГКМ..УКПГ-12</t>
  </si>
  <si>
    <t>Оренбургское НГКМ..УКПГ-3</t>
  </si>
  <si>
    <t>Оренбургское НГКМ..УКПГ-6</t>
  </si>
  <si>
    <t>Оренбургское НГКМ..УКПГ-15</t>
  </si>
  <si>
    <t>Оренбургское НГКМ..УКПГ-7</t>
  </si>
  <si>
    <t>Оренбургское НГКМ..УКПГ-8</t>
  </si>
  <si>
    <t>Оренбургское НГКМ..MSK_BSHK</t>
  </si>
  <si>
    <t>Оренбургское НГКМ..УКПГ-9</t>
  </si>
  <si>
    <t>Северо-Уренгойское.Сеноман.УКПГ-15 ЗАПАДНЫЙ КУПОЛ</t>
  </si>
  <si>
    <t>Северо-Уренгойское.Сеноман.УКПГ-15 ВОСТОЧНЫЙ КУПОЛ</t>
  </si>
  <si>
    <t>Уренгойское.Ачимовский.УКПГ-31</t>
  </si>
  <si>
    <t>Уренгойское.Ачимовский.УКПГ-22</t>
  </si>
  <si>
    <t>Уренгойское.Ачимовский.УКПГ-21</t>
  </si>
  <si>
    <t>Уренгойское.Ачимовский.УКПГ-41</t>
  </si>
  <si>
    <t>Уренгойское.Ачимовский.УКПГ-51</t>
  </si>
  <si>
    <t>Уренгойское.Сеноман.УКПГ-1</t>
  </si>
  <si>
    <t>Уренгойское.Сеноман.УКПГ-3</t>
  </si>
  <si>
    <t>Уренгойское.Сеноман.УКПГ-4</t>
  </si>
  <si>
    <t>Уренгойское.Сеноман.УКПГ-6</t>
  </si>
  <si>
    <t>Уренгойское.Сеноман.УКПГ-7</t>
  </si>
  <si>
    <t>Уренгойское.Сеноман.УКПГ-2</t>
  </si>
  <si>
    <t>Уренгойское.Сеноман.УКПГ-5</t>
  </si>
  <si>
    <t>Уренгойское.Сеноман.УКПГ-8</t>
  </si>
  <si>
    <t>Уренгойское.Сеноман.УКПГ-10</t>
  </si>
  <si>
    <t>Уренгойское.Сеноман.УКПГ-10 ТАБ-ЯХИНСКИЙ УЧАСТОК</t>
  </si>
  <si>
    <t>Уренгойское.Сеноман.УКПГ-11</t>
  </si>
  <si>
    <t>Уренгойское.Сеноман.УКПГ-12</t>
  </si>
  <si>
    <t>Уренгойское.Сеноман.УКПГ-13</t>
  </si>
  <si>
    <t>Уренгойское.Сеноман.УКПГ-16 ПЕСЦОВАЯ ПЛОЩАДЬ</t>
  </si>
  <si>
    <t>Уренгойское.Сеноман.УКПГ-9</t>
  </si>
  <si>
    <t>Уренгойское.Сеноман.УКПГ-1АС</t>
  </si>
  <si>
    <t>Уренгойское.Сеноман.УКПГ-16 ЗАПАДНО-ПЕСЦ. ПЛОЩАДЬ</t>
  </si>
  <si>
    <t>Юбилейное.Неоком.УКПГ-НТС</t>
  </si>
  <si>
    <t>Юбилейное.Сеноман.УКПГ</t>
  </si>
  <si>
    <t>Южно-Русское НГКМ.Турон.УКПГ</t>
  </si>
  <si>
    <t>Южно-Русское НГКМ.Сеноман.УКПГ</t>
  </si>
  <si>
    <t>Ямбургское.Неоком.УКПГ-1В</t>
  </si>
  <si>
    <t>Ямбургское.Неоком.УППГ-3В</t>
  </si>
  <si>
    <t>Ямбургское.Неоком.УППГ-2В</t>
  </si>
  <si>
    <t>Ямбургское.Сеноман.УКПГ-1</t>
  </si>
  <si>
    <t>Ямбургское.Сеноман.УКПГ-2</t>
  </si>
  <si>
    <t>Ямбургское.Сеноман.УКПГ-3</t>
  </si>
  <si>
    <t>Ямбургское.Сеноман.УКПГ-4</t>
  </si>
  <si>
    <t>Ямбургское.Сеноман.УКПГ-5</t>
  </si>
  <si>
    <t>Ямбургское.Сеноман.УКПГ-6</t>
  </si>
  <si>
    <t>Ямбургское.Сеноман.УКПГ-7</t>
  </si>
  <si>
    <t>Ямбургское.Сеноман.УППГ-8</t>
  </si>
  <si>
    <t>Ямбургское.Сеноман.УППГ-4А</t>
  </si>
  <si>
    <t>Ямбургское.Сеноман.УКПГ-9 (Уч-11)</t>
  </si>
  <si>
    <t>Ямбургское.Сеноман.УППГ-10 (Уч-10)</t>
  </si>
  <si>
    <t>Ямбургское.Сеноман.ТП-9 (Уч-9)</t>
  </si>
  <si>
    <t>Ямсовейское.Сеноман.УКПГ-1</t>
  </si>
  <si>
    <t>Заполярное.Турон.УКПГ-2С</t>
  </si>
  <si>
    <t>Уренгойское.Неоком.</t>
  </si>
  <si>
    <t>Способ разработки на заключительной фазе ЖЦ месторождения</t>
  </si>
  <si>
    <t>Потенциал</t>
  </si>
  <si>
    <t>Минимальный оптимальный</t>
  </si>
  <si>
    <t>Минимальный эксплуатационный</t>
  </si>
  <si>
    <t>Мероприятие</t>
  </si>
  <si>
    <t>Тип периода</t>
  </si>
  <si>
    <t>Квартал</t>
  </si>
  <si>
    <t>Месяц</t>
  </si>
  <si>
    <t>Периоды</t>
  </si>
  <si>
    <t>1 кв.</t>
  </si>
  <si>
    <t>3 кв.</t>
  </si>
  <si>
    <t>2 кв.</t>
  </si>
  <si>
    <t>4 кв.</t>
  </si>
  <si>
    <t>Тип</t>
  </si>
  <si>
    <t>Горизонт</t>
  </si>
  <si>
    <t>Стройка</t>
  </si>
  <si>
    <t>Установка КЛК УКПГ-1 1 скв.</t>
  </si>
  <si>
    <t>Установка КЛК УКПГ-2 5 скв.</t>
  </si>
  <si>
    <t>Установка КЛК УКПГ-3 4 скв.</t>
  </si>
  <si>
    <t>Установка КЛК УКПГ-5 3 скв.</t>
  </si>
  <si>
    <t>Установка КЛК УКПГ-7 3 скв.</t>
  </si>
  <si>
    <t>Установка КЛК УКПГ-2 1 скв.</t>
  </si>
  <si>
    <t>Установка КЛК УКПГ-3 9 скв.</t>
  </si>
  <si>
    <t>Установка КЛК УКПГ-5 2 скв.</t>
  </si>
  <si>
    <t>Установка КЛК УКПГ-1 2 скв.</t>
  </si>
  <si>
    <t>Установка КЛК УКПГ-2 2 скв.</t>
  </si>
  <si>
    <t>Установка КЛК УКПГ-4 1 скв.</t>
  </si>
  <si>
    <t>Установка КЛК УКПГ-6 2 скв.</t>
  </si>
  <si>
    <t>Установка КЛК УКПГ-7 1 скв.</t>
  </si>
  <si>
    <t>Установка КЛК УППГ-8 1 скв.</t>
  </si>
  <si>
    <t>Установка КЛК УКПГ-3 3 скв.</t>
  </si>
  <si>
    <t>Установка КЛК УКПГ-4 3 скв.</t>
  </si>
  <si>
    <t>Установка КЛК УКПГ-6 1 скв.</t>
  </si>
  <si>
    <t>Установка КЛК УКПГ-7 4 скв.</t>
  </si>
  <si>
    <t>Установка КЛК УКПГ-2 3 скв.</t>
  </si>
  <si>
    <t>Установка КЛК УКПГ-5 1 скв.</t>
  </si>
  <si>
    <t>Установка КЛК УКПГ-7 2 скв.</t>
  </si>
  <si>
    <t>Бованенковское.Сеноман-апт..ПК1</t>
  </si>
  <si>
    <t>Бованенковское.Сеноман-апт..ПК10</t>
  </si>
  <si>
    <t>Бованенковское.Сеноман-апт..ПК9</t>
  </si>
  <si>
    <t>Бованенковское.Сеноман-апт..ТП1-6</t>
  </si>
  <si>
    <t>Бованенковское.Сеноман-апт..ТП7-11</t>
  </si>
  <si>
    <t>Бованенковское.Сеноман-апт..ХМ1-2</t>
  </si>
  <si>
    <t>Вынгапуровское.Сеноман..I</t>
  </si>
  <si>
    <t>Вынгаяхинское.Сеноман..I</t>
  </si>
  <si>
    <t>Губкинское.Сеноман..I</t>
  </si>
  <si>
    <t>Ен-Яхинское.Неоком..I</t>
  </si>
  <si>
    <t>Ен-Яхинское.Неоком.. II</t>
  </si>
  <si>
    <t>Ен-Яхинское.Неоком..III</t>
  </si>
  <si>
    <t>Ен-Яхинское.Неоком..IV</t>
  </si>
  <si>
    <t>Еты-Пуровское.Сеноман..I</t>
  </si>
  <si>
    <t>Западно-Таркосалинское.Неоком..II</t>
  </si>
  <si>
    <t>Западно-Таркосалинское.Неоком..IV</t>
  </si>
  <si>
    <t>Западно-Таркосалинское.Неоком..VI</t>
  </si>
  <si>
    <t>Западно-Таркосалинское.Неоком..VII</t>
  </si>
  <si>
    <t>Западно-Таркосалинское.Сеноман..I</t>
  </si>
  <si>
    <t>Заполярное.Неоком..1</t>
  </si>
  <si>
    <t>Заполярное.Неоком..2</t>
  </si>
  <si>
    <t>Заполярное.Сеноман..ПК1</t>
  </si>
  <si>
    <t>Комсомольское.Сеноман..I</t>
  </si>
  <si>
    <t>Медвежье.Неоком..1</t>
  </si>
  <si>
    <t>Медвежье.Неоком..1а</t>
  </si>
  <si>
    <t>Медвежье.Неоком..1б</t>
  </si>
  <si>
    <t>Медвежье.Неоком..1в</t>
  </si>
  <si>
    <t>Медвежье.Неоком..1г</t>
  </si>
  <si>
    <t>Медвежье.Ачимовский..1д</t>
  </si>
  <si>
    <t>Медвежье.Ачимовский..1н</t>
  </si>
  <si>
    <t>Медвежье.Неоком..2</t>
  </si>
  <si>
    <t>Медвежье.Неоком..2а</t>
  </si>
  <si>
    <t>Медвежье.Неоком..3</t>
  </si>
  <si>
    <t>Медвежье.Неоком..4</t>
  </si>
  <si>
    <t>Медвежье.Неоком..6</t>
  </si>
  <si>
    <t>Медвежье.Неоком..7</t>
  </si>
  <si>
    <t>Медвежье.Неоком..8</t>
  </si>
  <si>
    <t>Медвежье.Неоком..9</t>
  </si>
  <si>
    <t>Медвежье.Неоком..10</t>
  </si>
  <si>
    <t>Медвежье.Неоком..11</t>
  </si>
  <si>
    <t>Медвежье.Неоком..11а</t>
  </si>
  <si>
    <t>Медвежье.Неоком..5 (сеноман)</t>
  </si>
  <si>
    <t>Оренбургское НГКМ...Р5-А3</t>
  </si>
  <si>
    <t>Оренбургское НГКМ...Р4+5+6</t>
  </si>
  <si>
    <t>Оренбургское НГКМ...Р3</t>
  </si>
  <si>
    <t>Оренбургское НГКМ...А1/1-А4/1</t>
  </si>
  <si>
    <t>Оренбургское НГКМ...Р7</t>
  </si>
  <si>
    <t>Оренбургское НГКМ...А0-А2</t>
  </si>
  <si>
    <t>Оренбургское НГКМ...P5-A3</t>
  </si>
  <si>
    <t>Северо-Уренгойское.Сеноман..K2s пл. ПК1</t>
  </si>
  <si>
    <t>Уренгойское.Ачимовский.Участок 1А.2a+3a</t>
  </si>
  <si>
    <t>Уренгойское.Ачимовский.Участок 2А.2a+3a</t>
  </si>
  <si>
    <t>Уренгойское.Ачимовский.Участок 4А.2a+3a</t>
  </si>
  <si>
    <t>Уренгойское.Ачимовский.Участок 5А.2a+3a</t>
  </si>
  <si>
    <t>Уренгойское.Сеноман.Уренгойская.K2s пл. ПК1</t>
  </si>
  <si>
    <t>Уренгойское.Сеноман.Ен-яхинская.K2s пл. ПК1</t>
  </si>
  <si>
    <t>Уренгойское.Сеноман.Песцовая.K2s пл. ПК1</t>
  </si>
  <si>
    <t>Уренгойское.Сеноман.Западно-Песцовая.K2s пл. ПК1</t>
  </si>
  <si>
    <t>Юбилейное.Неоком..2</t>
  </si>
  <si>
    <t>Юбилейное.Неоком..3</t>
  </si>
  <si>
    <t>Юбилейное.Сеноман..1</t>
  </si>
  <si>
    <t>Южно-Русское НГКМ.Турон..1</t>
  </si>
  <si>
    <t>Южно-Русское НГКМ.Сеноман..2</t>
  </si>
  <si>
    <t>Ямбургское.Неоком..I</t>
  </si>
  <si>
    <t>Ямбургское.Неоком..II</t>
  </si>
  <si>
    <t>Ямбургское.Сеноман.Ямбургская.ПК1</t>
  </si>
  <si>
    <t>Ямбургское.Сеноман.Харвутинская.ПК1</t>
  </si>
  <si>
    <t>Ямбургское.Сеноман.Анерьяхинская.ПК1</t>
  </si>
  <si>
    <t>Ямсовейское.Сеноман..1</t>
  </si>
  <si>
    <t>Заполярное.Турон..Т1</t>
  </si>
  <si>
    <t>Уренгойское.Неоком..1</t>
  </si>
  <si>
    <t>Уренгойское.Неоком..2</t>
  </si>
  <si>
    <t>Уренгойское.Неоком..3</t>
  </si>
  <si>
    <t>Уренгойское.Неоком..4</t>
  </si>
  <si>
    <t>Уренгойское.Неоком..5</t>
  </si>
  <si>
    <t>Редакция 1Г.Эт1.1</t>
  </si>
  <si>
    <t>Редакция 1Г.Эт1.2</t>
  </si>
  <si>
    <t>Редакция 1Г.Эт1.3</t>
  </si>
  <si>
    <t>Редакция 1Г.Эт1.4</t>
  </si>
  <si>
    <t>Редакция 1Г.Эт1.5</t>
  </si>
  <si>
    <t>Редакция 1Г.Эт2.1</t>
  </si>
  <si>
    <t>Редакция 1Г.Эт2.2</t>
  </si>
  <si>
    <t>Редакция 1Г.Эт2.3</t>
  </si>
  <si>
    <t>Редакция 1Г.Эт2.4</t>
  </si>
  <si>
    <t>Редакция 1Г.Эт2.5</t>
  </si>
  <si>
    <t>Редакция 1Г.Эт3.1</t>
  </si>
  <si>
    <t>Редакция 1Г.Эт3.2</t>
  </si>
  <si>
    <t>Редакция 1Г.Эт3.3</t>
  </si>
  <si>
    <t>Редакция 1Г.Эт3.4</t>
  </si>
  <si>
    <t>Редакция 1Г.Эт3.5</t>
  </si>
  <si>
    <t>Редакция 1Г.Эт4.1</t>
  </si>
  <si>
    <t>Редакция 1Г.Эт4.2</t>
  </si>
  <si>
    <t>Редакция 1Г.Эт4.3</t>
  </si>
  <si>
    <t>Редакция 1Г.Эт4.4</t>
  </si>
  <si>
    <t>Редакция 1Г.Эт4.5</t>
  </si>
  <si>
    <t>Редакция 1Г.Эт5.1</t>
  </si>
  <si>
    <t>Редакция 1Г.Эт5.2</t>
  </si>
  <si>
    <t>Редакция 1Г.Эт5.3</t>
  </si>
  <si>
    <t>Редакция 1Г.Эт5.4</t>
  </si>
  <si>
    <t>Редакция 1Г.Эт5.5</t>
  </si>
  <si>
    <t>Редакция 3Г.Эт1.1</t>
  </si>
  <si>
    <t>Редакция 3Г.Эт1.2</t>
  </si>
  <si>
    <t>Редакция 3Г.Эт1.3</t>
  </si>
  <si>
    <t>Редакция 3Г.Эт1.4</t>
  </si>
  <si>
    <t>Редакция 3Г.Эт1.5</t>
  </si>
  <si>
    <t>Редакция 3Г.Эт2.1</t>
  </si>
  <si>
    <t>Редакция 3Г.Эт2.2</t>
  </si>
  <si>
    <t>Редакция 3Г.Эт2.3</t>
  </si>
  <si>
    <t>Редакция 3Г.Эт2.4</t>
  </si>
  <si>
    <t>Редакция 3Г.Эт2.5</t>
  </si>
  <si>
    <t>Редакция 3Г.Эт3.1</t>
  </si>
  <si>
    <t>Редакция 3Г.Эт3.2</t>
  </si>
  <si>
    <t>Редакция 3Г.Эт3.3</t>
  </si>
  <si>
    <t>Редакция 3Г.Эт3.4</t>
  </si>
  <si>
    <t>Редакция 3Г.Эт3.5</t>
  </si>
  <si>
    <t>Редакция 3Г.Эт4.1</t>
  </si>
  <si>
    <t>Редакция 3Г.Эт4.2</t>
  </si>
  <si>
    <t>Редакция 3Г.Эт4.3</t>
  </si>
  <si>
    <t>Редакция 3Г.Эт4.4</t>
  </si>
  <si>
    <t>Редакция 3Г.Эт4.5</t>
  </si>
  <si>
    <t>Редакция 3Г.Эт5.1</t>
  </si>
  <si>
    <t>Редакция 3Г.Эт5.2</t>
  </si>
  <si>
    <t>Редакция 3Г.Эт5.3</t>
  </si>
  <si>
    <t>Редакция 3Г.Эт5.4</t>
  </si>
  <si>
    <t>Редакция 3Г.Эт5.5</t>
  </si>
  <si>
    <t>Этап 1</t>
  </si>
  <si>
    <t>Этап 2</t>
  </si>
  <si>
    <t>Этап 3</t>
  </si>
  <si>
    <t>Этап 4</t>
  </si>
  <si>
    <t>Этап 5</t>
  </si>
  <si>
    <t>Бованенковское.Сеноман-апт</t>
  </si>
  <si>
    <t>Вынгапуровское.Сеноман</t>
  </si>
  <si>
    <t>Вынгаяхинское.Сеноман</t>
  </si>
  <si>
    <t>Губкинское.Сеноман</t>
  </si>
  <si>
    <t>Ен-Яхинское.Неоком</t>
  </si>
  <si>
    <t>Еты-Пуровское.Сеноман</t>
  </si>
  <si>
    <t>Западно-Таркосалинское.Неоком</t>
  </si>
  <si>
    <t>Западно-Таркосалинское.Сеноман</t>
  </si>
  <si>
    <t>Заполярное.Неоком</t>
  </si>
  <si>
    <t>Заполярное.Сеноман</t>
  </si>
  <si>
    <t>Комсомольское.Сеноман</t>
  </si>
  <si>
    <t>Медвежье.Неоком</t>
  </si>
  <si>
    <t>Медвежье.Ачимовский</t>
  </si>
  <si>
    <t>Оренбургское НГКМ.</t>
  </si>
  <si>
    <t>Северо-Уренгойское.Сеноман</t>
  </si>
  <si>
    <t>Уренгойское.Ачимовский</t>
  </si>
  <si>
    <t>Уренгойское.Сеноман</t>
  </si>
  <si>
    <t>Юбилейное.Неоком</t>
  </si>
  <si>
    <t>Юбилейное.Сеноман</t>
  </si>
  <si>
    <t>Южно-Русское НГКМ.Турон</t>
  </si>
  <si>
    <t>Южно-Русское НГКМ.Сеноман</t>
  </si>
  <si>
    <t>Ямбургское.Неоком</t>
  </si>
  <si>
    <t>Ямбургское.Сеноман</t>
  </si>
  <si>
    <t>Ямсовейское.Сеноман</t>
  </si>
  <si>
    <t>Заполярное.Турон</t>
  </si>
  <si>
    <t>Уренгойское.Неоком</t>
  </si>
  <si>
    <t>Месторождения</t>
  </si>
  <si>
    <t>Регион</t>
  </si>
  <si>
    <t>ГДО</t>
  </si>
  <si>
    <t>Лицензии</t>
  </si>
  <si>
    <t>Признак ЕСГ / не в ЕСГ</t>
  </si>
  <si>
    <t>Республика Бурятия</t>
  </si>
  <si>
    <t>Карачаево-Черкесская Республика</t>
  </si>
  <si>
    <t>Сахалинская обл.</t>
  </si>
  <si>
    <t>Воронежская обл.</t>
  </si>
  <si>
    <t>Томская обл.</t>
  </si>
  <si>
    <t>Новосибирская обл.</t>
  </si>
  <si>
    <t>Ненецкий АО</t>
  </si>
  <si>
    <t>Магаданская обл.</t>
  </si>
  <si>
    <t>Камчатский край</t>
  </si>
  <si>
    <t>Приморский край</t>
  </si>
  <si>
    <t>Ставропольский край</t>
  </si>
  <si>
    <t>Республика Алтай</t>
  </si>
  <si>
    <t>г. Москва</t>
  </si>
  <si>
    <t>Республика Тыва</t>
  </si>
  <si>
    <t>Тамбовская обл.</t>
  </si>
  <si>
    <t>Свердловская обл.</t>
  </si>
  <si>
    <t>Ханты-Мансийский АО - Югра</t>
  </si>
  <si>
    <t>Чукотский АО</t>
  </si>
  <si>
    <t>Тюменская обл.</t>
  </si>
  <si>
    <t>Владимирская обл.</t>
  </si>
  <si>
    <t>Московская обл.</t>
  </si>
  <si>
    <t>Волгоградская обл.</t>
  </si>
  <si>
    <t>Оренбургская обл.</t>
  </si>
  <si>
    <t>Самарская обл.</t>
  </si>
  <si>
    <t>Астраханская обл.</t>
  </si>
  <si>
    <t>Республика Адыгея (Адыгея)</t>
  </si>
  <si>
    <t>Луганская народная республика</t>
  </si>
  <si>
    <t>Красноярский край</t>
  </si>
  <si>
    <t>Ростовская обл.</t>
  </si>
  <si>
    <t>Мурманская обл.</t>
  </si>
  <si>
    <t>Псковская обл.</t>
  </si>
  <si>
    <t>г. Санкт-Петербург</t>
  </si>
  <si>
    <t>Ленинградская обл.</t>
  </si>
  <si>
    <t>Республика Татарстан (Татарстан)</t>
  </si>
  <si>
    <t>Кировская обл.</t>
  </si>
  <si>
    <t>Костромская обл.</t>
  </si>
  <si>
    <t>Тверская обл.</t>
  </si>
  <si>
    <t>Тульская обл.</t>
  </si>
  <si>
    <t>Калужская обл.</t>
  </si>
  <si>
    <t>Ульяновская обл.</t>
  </si>
  <si>
    <t>Республика Марий Эл</t>
  </si>
  <si>
    <t>Смоленская обл.</t>
  </si>
  <si>
    <t>Пермский край</t>
  </si>
  <si>
    <t>Ивановская обл.</t>
  </si>
  <si>
    <t>Чувашская Республика - Чувашия</t>
  </si>
  <si>
    <t>Республика Северная Осетия - Алания</t>
  </si>
  <si>
    <t>Брянская обл.</t>
  </si>
  <si>
    <t>Пензенская обл.</t>
  </si>
  <si>
    <t>Белгородская обл.</t>
  </si>
  <si>
    <t>Липецкая обл.</t>
  </si>
  <si>
    <t>Новгородская обл.</t>
  </si>
  <si>
    <t>Архангельская обл.</t>
  </si>
  <si>
    <t>Нижегородская обл.</t>
  </si>
  <si>
    <t>Курганская обл.</t>
  </si>
  <si>
    <t>Курская обл.</t>
  </si>
  <si>
    <t>Забайкальский край</t>
  </si>
  <si>
    <t>Рязанская обл.</t>
  </si>
  <si>
    <t>Ямало-Ненецкий АО</t>
  </si>
  <si>
    <t>Республика Дагестан</t>
  </si>
  <si>
    <t>Омская обл.</t>
  </si>
  <si>
    <t>Чеченская Республика</t>
  </si>
  <si>
    <t>Кабардино-Балкарская Республика</t>
  </si>
  <si>
    <t>Саратовская обл.</t>
  </si>
  <si>
    <t>Калининградская обл.</t>
  </si>
  <si>
    <t>Орловская обл.</t>
  </si>
  <si>
    <t>Иркутская обл.</t>
  </si>
  <si>
    <t>Амурская обл.</t>
  </si>
  <si>
    <t>Еврейская АО</t>
  </si>
  <si>
    <t>Хабаровский край</t>
  </si>
  <si>
    <t>Кемеровская обл. - Кузбасс</t>
  </si>
  <si>
    <t>Ярославская обл.</t>
  </si>
  <si>
    <t>Удмуртская Республика</t>
  </si>
  <si>
    <t>Вологодская обл.</t>
  </si>
  <si>
    <t>Республика Ингушетия</t>
  </si>
  <si>
    <t>Челябинская обл.</t>
  </si>
  <si>
    <t>Республика Башкортостан</t>
  </si>
  <si>
    <t>Донецкая народная республика</t>
  </si>
  <si>
    <t>Херсонская обл.</t>
  </si>
  <si>
    <t>Запорожская обл.</t>
  </si>
  <si>
    <t>Республика Крым</t>
  </si>
  <si>
    <t>Форма сбора данных НСИ. Месторождения</t>
  </si>
  <si>
    <t>Сценарий</t>
  </si>
  <si>
    <t>ООО "Газпром добыча Уренгой"</t>
  </si>
  <si>
    <t>ООО "Севернефтегазпром"</t>
  </si>
  <si>
    <t>АО "Газпром добыча Томск"</t>
  </si>
  <si>
    <t>ООО "Газпром добыча Тамбей"</t>
  </si>
  <si>
    <t>ПАО "Газпром нефть"</t>
  </si>
  <si>
    <t>ООО "Газпромнефть-Заполярье"</t>
  </si>
  <si>
    <t>Оренбургское</t>
  </si>
  <si>
    <t>Каменномысское-море</t>
  </si>
  <si>
    <t>Северо-Каменномысское</t>
  </si>
  <si>
    <t>Песцовое</t>
  </si>
  <si>
    <t>Харасавэйское</t>
  </si>
  <si>
    <t>Марковское</t>
  </si>
  <si>
    <t>Мирненское</t>
  </si>
  <si>
    <t>Вуктыльское</t>
  </si>
  <si>
    <t>Западно-Соплесское</t>
  </si>
  <si>
    <t>Югидское</t>
  </si>
  <si>
    <t>Печорокожвинское</t>
  </si>
  <si>
    <t>Астраханское</t>
  </si>
  <si>
    <t>Южно-Русское</t>
  </si>
  <si>
    <t>Тамбейское</t>
  </si>
  <si>
    <t>Да</t>
  </si>
  <si>
    <t>газоконденсатное</t>
  </si>
  <si>
    <t>АСТ14553НЭ 20.08.2008</t>
  </si>
  <si>
    <t>год открытия меторождения</t>
  </si>
  <si>
    <t>реализация продукции</t>
  </si>
  <si>
    <t>местное обеспечение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</si>
</sst>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8"/>
      <color indexed="8"/>
      <name val="Times New Roman Cyr"/>
      <family val="1"/>
      <charset val="204"/>
    </font>
    <font>
      <b/>
      <sz val="11"/>
      <name val="Calibri"/>
      <family val="2"/>
      <charset val="20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4" borderId="4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0" borderId="10" xfId="0" applyBorder="1"/>
    <xf numFmtId="0" fontId="0" fillId="3" borderId="10" xfId="0" applyFill="1" applyBorder="1"/>
    <xf numFmtId="0" fontId="0" fillId="3" borderId="0" xfId="0" applyFill="1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8" fillId="5" borderId="1" xfId="0" applyFont="1" applyFill="1" applyBorder="1" applyAlignment="1">
      <alignment horizontal="right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48"/>
  <sheetViews>
    <sheetView showGridLines="0" tabSelected="1" view="pageBreakPreview" zoomScaleNormal="100" zoomScaleSheetLayoutView="100" workbookViewId="0">
      <selection activeCell="H7" sqref="H7"/>
    </sheetView>
  </sheetViews>
  <sheetFormatPr defaultColWidth="12.42578125" defaultRowHeight="15" x14ac:dyDescent="0.25"/>
  <cols>
    <col min="1" max="1" width="3" style="30" customWidth="1"/>
    <col min="2" max="2" width="38.140625" style="30" customWidth="1"/>
    <col min="3" max="3" width="36.7109375" style="30" customWidth="1"/>
    <col min="4" max="4" width="22" style="30" customWidth="1"/>
    <col min="5" max="6" width="26.42578125" style="30" customWidth="1"/>
    <col min="7" max="7" width="22" style="30" customWidth="1"/>
    <col min="8" max="8" width="26.42578125" style="30" customWidth="1"/>
    <col min="9" max="16384" width="12.42578125" style="30"/>
  </cols>
  <sheetData>
    <row r="1" spans="2:8" ht="15.75" customHeight="1" x14ac:dyDescent="0.25">
      <c r="B1" s="29" t="s">
        <v>543</v>
      </c>
    </row>
    <row r="2" spans="2:8" ht="15.75" customHeight="1" x14ac:dyDescent="0.25"/>
    <row r="3" spans="2:8" ht="15.75" customHeight="1" x14ac:dyDescent="0.25">
      <c r="B3" s="31" t="s">
        <v>544</v>
      </c>
      <c r="C3" s="28" t="s">
        <v>458</v>
      </c>
    </row>
    <row r="4" spans="2:8" ht="15.75" customHeight="1" x14ac:dyDescent="0.25">
      <c r="B4" s="31" t="s">
        <v>460</v>
      </c>
      <c r="C4" s="28" t="s">
        <v>13</v>
      </c>
    </row>
    <row r="6" spans="2:8" ht="28.5" x14ac:dyDescent="0.25">
      <c r="B6" s="32" t="s">
        <v>50</v>
      </c>
      <c r="C6" s="32" t="s">
        <v>459</v>
      </c>
      <c r="D6" s="32" t="s">
        <v>278</v>
      </c>
      <c r="E6" s="32" t="s">
        <v>568</v>
      </c>
      <c r="F6" s="32" t="s">
        <v>461</v>
      </c>
      <c r="G6" s="32" t="s">
        <v>462</v>
      </c>
      <c r="H6" s="32" t="s">
        <v>569</v>
      </c>
    </row>
    <row r="7" spans="2:8" ht="15.75" customHeight="1" x14ac:dyDescent="0.25">
      <c r="B7" s="28" t="s">
        <v>562</v>
      </c>
      <c r="C7" s="28" t="s">
        <v>487</v>
      </c>
      <c r="D7" s="28" t="s">
        <v>566</v>
      </c>
      <c r="E7" s="28">
        <v>2025</v>
      </c>
      <c r="F7" s="28" t="s">
        <v>567</v>
      </c>
      <c r="G7" s="28" t="s">
        <v>565</v>
      </c>
      <c r="H7" s="28" t="s">
        <v>570</v>
      </c>
    </row>
    <row r="8" spans="2:8" ht="15.75" customHeight="1" x14ac:dyDescent="0.25">
      <c r="B8" s="28"/>
      <c r="C8" s="28"/>
      <c r="D8" s="28"/>
      <c r="E8" s="28"/>
      <c r="F8" s="28"/>
      <c r="G8" s="28"/>
      <c r="H8" s="28"/>
    </row>
    <row r="9" spans="2:8" ht="15.75" customHeight="1" x14ac:dyDescent="0.25">
      <c r="B9" s="28"/>
      <c r="C9" s="28"/>
      <c r="D9" s="28"/>
      <c r="E9" s="28"/>
      <c r="F9" s="28"/>
      <c r="G9" s="28"/>
      <c r="H9" s="28"/>
    </row>
    <row r="10" spans="2:8" ht="15.75" customHeight="1" x14ac:dyDescent="0.25">
      <c r="B10" s="28"/>
      <c r="C10" s="28"/>
      <c r="D10" s="28"/>
      <c r="E10" s="28"/>
      <c r="F10" s="28"/>
      <c r="G10" s="28"/>
      <c r="H10" s="28"/>
    </row>
    <row r="11" spans="2:8" ht="15.75" customHeight="1" x14ac:dyDescent="0.25">
      <c r="B11" s="28"/>
      <c r="C11" s="28"/>
      <c r="D11" s="28"/>
      <c r="E11" s="28"/>
      <c r="F11" s="28"/>
      <c r="G11" s="28"/>
      <c r="H11" s="28"/>
    </row>
    <row r="12" spans="2:8" ht="15.75" customHeight="1" x14ac:dyDescent="0.25">
      <c r="B12" s="28"/>
      <c r="C12" s="28"/>
      <c r="D12" s="28"/>
      <c r="E12" s="28"/>
      <c r="F12" s="28"/>
      <c r="G12" s="28"/>
      <c r="H12" s="28"/>
    </row>
    <row r="13" spans="2:8" ht="15.75" customHeight="1" x14ac:dyDescent="0.25">
      <c r="B13" s="28"/>
      <c r="C13" s="28"/>
      <c r="D13" s="28"/>
      <c r="E13" s="28"/>
      <c r="F13" s="28"/>
      <c r="G13" s="28"/>
      <c r="H13" s="28"/>
    </row>
    <row r="14" spans="2:8" ht="15.75" customHeight="1" x14ac:dyDescent="0.25">
      <c r="B14" s="28"/>
      <c r="C14" s="28"/>
      <c r="D14" s="28"/>
      <c r="E14" s="28"/>
      <c r="F14" s="28"/>
      <c r="G14" s="28"/>
      <c r="H14" s="28"/>
    </row>
    <row r="15" spans="2:8" ht="15.75" customHeight="1" x14ac:dyDescent="0.25">
      <c r="B15" s="28"/>
      <c r="C15" s="28"/>
      <c r="D15" s="28"/>
      <c r="E15" s="28"/>
      <c r="F15" s="28"/>
      <c r="G15" s="28"/>
      <c r="H15" s="28"/>
    </row>
    <row r="16" spans="2:8" ht="15.75" customHeight="1" x14ac:dyDescent="0.25">
      <c r="B16" s="28"/>
      <c r="C16" s="28"/>
      <c r="D16" s="28"/>
      <c r="E16" s="28"/>
      <c r="F16" s="28"/>
      <c r="G16" s="28"/>
      <c r="H16" s="28"/>
    </row>
    <row r="17" spans="2:8" ht="15.75" customHeight="1" x14ac:dyDescent="0.25">
      <c r="B17" s="28"/>
      <c r="C17" s="28"/>
      <c r="D17" s="28"/>
      <c r="E17" s="28"/>
      <c r="F17" s="28"/>
      <c r="G17" s="28"/>
      <c r="H17" s="28"/>
    </row>
    <row r="18" spans="2:8" ht="15.75" customHeight="1" x14ac:dyDescent="0.25">
      <c r="B18" s="28"/>
      <c r="C18" s="28"/>
      <c r="D18" s="28"/>
      <c r="E18" s="28"/>
      <c r="F18" s="28"/>
      <c r="G18" s="28"/>
      <c r="H18" s="28"/>
    </row>
    <row r="19" spans="2:8" ht="15.75" customHeight="1" x14ac:dyDescent="0.25">
      <c r="B19" s="28"/>
      <c r="C19" s="28"/>
      <c r="D19" s="28"/>
      <c r="E19" s="28"/>
      <c r="F19" s="28"/>
      <c r="G19" s="28"/>
      <c r="H19" s="28"/>
    </row>
    <row r="20" spans="2:8" ht="15.75" customHeight="1" x14ac:dyDescent="0.25">
      <c r="B20" s="28"/>
      <c r="C20" s="28"/>
      <c r="D20" s="28"/>
      <c r="E20" s="28"/>
      <c r="F20" s="28"/>
      <c r="G20" s="28"/>
      <c r="H20" s="28"/>
    </row>
    <row r="21" spans="2:8" ht="15.75" customHeight="1" x14ac:dyDescent="0.25">
      <c r="B21" s="28"/>
      <c r="C21" s="28"/>
      <c r="D21" s="28"/>
      <c r="E21" s="28"/>
      <c r="F21" s="28"/>
      <c r="G21" s="28"/>
      <c r="H21" s="28"/>
    </row>
    <row r="22" spans="2:8" ht="15.75" customHeight="1" x14ac:dyDescent="0.25">
      <c r="B22" s="28"/>
      <c r="C22" s="28"/>
      <c r="D22" s="28"/>
      <c r="E22" s="28"/>
      <c r="F22" s="28"/>
      <c r="G22" s="28"/>
      <c r="H22" s="28"/>
    </row>
    <row r="23" spans="2:8" ht="15.75" customHeight="1" x14ac:dyDescent="0.25">
      <c r="B23" s="28"/>
      <c r="C23" s="28"/>
      <c r="D23" s="28"/>
      <c r="E23" s="28"/>
      <c r="F23" s="28"/>
      <c r="G23" s="28"/>
      <c r="H23" s="28"/>
    </row>
    <row r="24" spans="2:8" x14ac:dyDescent="0.25">
      <c r="B24" s="28"/>
      <c r="C24" s="28"/>
      <c r="D24" s="28"/>
      <c r="E24" s="28"/>
      <c r="F24" s="28"/>
      <c r="G24" s="28"/>
      <c r="H24" s="28"/>
    </row>
    <row r="25" spans="2:8" x14ac:dyDescent="0.25">
      <c r="B25" s="28"/>
      <c r="C25" s="28"/>
      <c r="D25" s="28"/>
      <c r="E25" s="28"/>
      <c r="F25" s="28"/>
      <c r="G25" s="28"/>
      <c r="H25" s="28"/>
    </row>
    <row r="26" spans="2:8" ht="15.75" customHeight="1" x14ac:dyDescent="0.25">
      <c r="B26" s="28"/>
      <c r="C26" s="28"/>
      <c r="D26" s="28"/>
      <c r="E26" s="28"/>
      <c r="F26" s="28"/>
      <c r="G26" s="28"/>
      <c r="H26" s="28"/>
    </row>
    <row r="27" spans="2:8" ht="15.75" customHeight="1" x14ac:dyDescent="0.25">
      <c r="B27" s="28"/>
      <c r="C27" s="28"/>
      <c r="D27" s="28"/>
      <c r="E27" s="28"/>
      <c r="F27" s="28"/>
      <c r="G27" s="28"/>
      <c r="H27" s="28"/>
    </row>
    <row r="28" spans="2:8" ht="15.75" customHeight="1" x14ac:dyDescent="0.25">
      <c r="B28" s="28"/>
      <c r="C28" s="28"/>
      <c r="D28" s="28"/>
      <c r="E28" s="28"/>
      <c r="F28" s="28"/>
      <c r="G28" s="28"/>
      <c r="H28" s="28"/>
    </row>
    <row r="29" spans="2:8" ht="15.75" customHeight="1" x14ac:dyDescent="0.25">
      <c r="B29" s="28"/>
      <c r="C29" s="28"/>
      <c r="D29" s="28"/>
      <c r="E29" s="28"/>
      <c r="F29" s="28"/>
      <c r="G29" s="28"/>
      <c r="H29" s="28"/>
    </row>
    <row r="30" spans="2:8" ht="15.75" customHeight="1" x14ac:dyDescent="0.25">
      <c r="B30" s="28"/>
      <c r="C30" s="28"/>
      <c r="D30" s="28"/>
      <c r="E30" s="28"/>
      <c r="F30" s="28"/>
      <c r="G30" s="28"/>
      <c r="H30" s="28"/>
    </row>
    <row r="31" spans="2:8" ht="15.75" customHeight="1" x14ac:dyDescent="0.25">
      <c r="B31" s="28"/>
      <c r="C31" s="28"/>
      <c r="D31" s="28"/>
      <c r="E31" s="28"/>
      <c r="F31" s="28"/>
      <c r="G31" s="28"/>
      <c r="H31" s="28"/>
    </row>
    <row r="32" spans="2:8" ht="15.75" customHeight="1" x14ac:dyDescent="0.25">
      <c r="B32" s="28"/>
      <c r="C32" s="28"/>
      <c r="D32" s="28"/>
      <c r="E32" s="28"/>
      <c r="F32" s="28"/>
      <c r="G32" s="28"/>
      <c r="H32" s="28"/>
    </row>
    <row r="33" spans="2:8" ht="15.75" customHeight="1" x14ac:dyDescent="0.25">
      <c r="B33" s="28"/>
      <c r="C33" s="28"/>
      <c r="D33" s="28"/>
      <c r="E33" s="28"/>
      <c r="F33" s="28"/>
      <c r="G33" s="28"/>
      <c r="H33" s="28"/>
    </row>
    <row r="34" spans="2:8" ht="15.75" customHeight="1" x14ac:dyDescent="0.25">
      <c r="B34" s="28"/>
      <c r="C34" s="28"/>
      <c r="D34" s="28"/>
      <c r="E34" s="28"/>
      <c r="F34" s="28"/>
      <c r="G34" s="28"/>
      <c r="H34" s="28"/>
    </row>
    <row r="35" spans="2:8" ht="15.75" customHeight="1" x14ac:dyDescent="0.25">
      <c r="B35" s="28"/>
      <c r="C35" s="28"/>
      <c r="D35" s="28"/>
      <c r="E35" s="28"/>
      <c r="F35" s="28"/>
      <c r="G35" s="28"/>
      <c r="H35" s="28"/>
    </row>
    <row r="36" spans="2:8" ht="15.75" customHeight="1" x14ac:dyDescent="0.25">
      <c r="B36" s="28"/>
      <c r="C36" s="28"/>
      <c r="D36" s="28"/>
      <c r="E36" s="28"/>
      <c r="F36" s="28"/>
      <c r="G36" s="28"/>
      <c r="H36" s="28"/>
    </row>
    <row r="37" spans="2:8" ht="15.75" customHeight="1" x14ac:dyDescent="0.25">
      <c r="B37" s="28"/>
      <c r="C37" s="28"/>
      <c r="D37" s="28"/>
      <c r="E37" s="28"/>
      <c r="F37" s="28"/>
      <c r="G37" s="28"/>
      <c r="H37" s="28"/>
    </row>
    <row r="38" spans="2:8" ht="15.75" customHeight="1" x14ac:dyDescent="0.25">
      <c r="B38" s="28"/>
      <c r="C38" s="28"/>
      <c r="D38" s="28"/>
      <c r="E38" s="28"/>
      <c r="F38" s="28"/>
      <c r="G38" s="28"/>
      <c r="H38" s="28"/>
    </row>
    <row r="39" spans="2:8" ht="15.75" customHeight="1" x14ac:dyDescent="0.25">
      <c r="B39" s="28"/>
      <c r="C39" s="28"/>
      <c r="D39" s="28"/>
      <c r="E39" s="28"/>
      <c r="F39" s="28"/>
      <c r="G39" s="28"/>
      <c r="H39" s="28"/>
    </row>
    <row r="40" spans="2:8" ht="15.75" customHeight="1" x14ac:dyDescent="0.25">
      <c r="B40" s="28"/>
      <c r="C40" s="28"/>
      <c r="D40" s="28"/>
      <c r="E40" s="28"/>
      <c r="F40" s="28"/>
      <c r="G40" s="28"/>
      <c r="H40" s="28"/>
    </row>
    <row r="41" spans="2:8" ht="15.75" customHeight="1" x14ac:dyDescent="0.25">
      <c r="B41" s="28"/>
      <c r="C41" s="28"/>
      <c r="D41" s="28"/>
      <c r="E41" s="28"/>
      <c r="F41" s="28"/>
      <c r="G41" s="28"/>
      <c r="H41" s="28"/>
    </row>
    <row r="42" spans="2:8" ht="15.75" customHeight="1" x14ac:dyDescent="0.25">
      <c r="B42" s="28"/>
      <c r="C42" s="28"/>
      <c r="D42" s="28"/>
      <c r="E42" s="28"/>
      <c r="F42" s="28"/>
      <c r="G42" s="28"/>
      <c r="H42" s="28"/>
    </row>
    <row r="43" spans="2:8" ht="15.75" customHeight="1" x14ac:dyDescent="0.25">
      <c r="B43" s="28"/>
      <c r="C43" s="28"/>
      <c r="D43" s="28"/>
      <c r="E43" s="28"/>
      <c r="F43" s="28"/>
      <c r="G43" s="28"/>
      <c r="H43" s="28"/>
    </row>
    <row r="44" spans="2:8" ht="15.75" customHeight="1" x14ac:dyDescent="0.25">
      <c r="B44" s="28"/>
      <c r="C44" s="28"/>
      <c r="D44" s="28"/>
      <c r="E44" s="28"/>
      <c r="F44" s="28"/>
      <c r="G44" s="28"/>
      <c r="H44" s="28"/>
    </row>
    <row r="45" spans="2:8" ht="15.75" customHeight="1" x14ac:dyDescent="0.25">
      <c r="B45" s="28"/>
      <c r="C45" s="28"/>
      <c r="D45" s="28"/>
      <c r="E45" s="28"/>
      <c r="F45" s="28"/>
      <c r="G45" s="28"/>
      <c r="H45" s="28"/>
    </row>
    <row r="46" spans="2:8" ht="15.75" customHeight="1" x14ac:dyDescent="0.25">
      <c r="B46" s="28"/>
      <c r="C46" s="28"/>
      <c r="D46" s="28"/>
      <c r="E46" s="28"/>
      <c r="F46" s="28"/>
      <c r="G46" s="28"/>
      <c r="H46" s="28"/>
    </row>
    <row r="47" spans="2:8" ht="15.75" customHeight="1" x14ac:dyDescent="0.25">
      <c r="B47" s="28"/>
      <c r="C47" s="28"/>
      <c r="D47" s="28"/>
      <c r="E47" s="28"/>
      <c r="F47" s="28"/>
      <c r="G47" s="28"/>
      <c r="H47" s="28"/>
    </row>
    <row r="48" spans="2:8" ht="15.75" customHeight="1" x14ac:dyDescent="0.25">
      <c r="B48" s="28"/>
      <c r="C48" s="28"/>
      <c r="D48" s="28"/>
      <c r="E48" s="28"/>
      <c r="F48" s="28"/>
      <c r="G48" s="28"/>
      <c r="H48" s="28"/>
    </row>
  </sheetData>
  <dataValidations count="2">
    <dataValidation type="list" allowBlank="1" showInputMessage="1" showErrorMessage="1" sqref="G7:G48" xr:uid="{00000000-0002-0000-0000-000000000000}">
      <formula1>"Да,Нет"</formula1>
    </dataValidation>
    <dataValidation type="list" allowBlank="1" showInputMessage="1" showErrorMessage="1" sqref="D7:D48" xr:uid="{00000000-0002-0000-0000-000001000000}">
      <formula1>"газовое,газоконденсатное,нефтегазовое,нефтегазоконденсатное"</formula1>
    </dataValidation>
  </dataValidations>
  <pageMargins left="0.7" right="0.7" top="0.75" bottom="0.75" header="0.3" footer="0.3"/>
  <pageSetup paperSize="9" scale="31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Справочники!$B$3:$B$90</xm:f>
          </x14:formula1>
          <xm:sqref>C7:C48</xm:sqref>
        </x14:dataValidation>
        <x14:dataValidation type="list" allowBlank="1" showInputMessage="1" showErrorMessage="1" xr:uid="{00000000-0002-0000-0000-000003000000}">
          <x14:formula1>
            <xm:f>Справочники!$G$3:$G$15</xm:f>
          </x14:formula1>
          <xm:sqref>C4</xm:sqref>
        </x14:dataValidation>
        <x14:dataValidation type="list" allowBlank="1" showInputMessage="1" showErrorMessage="1" xr:uid="{00000000-0002-0000-0000-000004000000}">
          <x14:formula1>
            <xm:f>Справочники!$I$3</xm:f>
          </x14:formula1>
          <xm:sqref>C3</xm:sqref>
        </x14:dataValidation>
        <x14:dataValidation type="list" allowBlank="1" showInputMessage="1" showErrorMessage="1" xr:uid="{00000000-0002-0000-0000-000005000000}">
          <x14:formula1>
            <xm:f>Справочники!$K$3:$K$35</xm:f>
          </x14:formula1>
          <xm:sqref>B7:B48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999"/>
  <sheetViews>
    <sheetView topLeftCell="F23" workbookViewId="0">
      <selection activeCell="K32" sqref="K32"/>
    </sheetView>
  </sheetViews>
  <sheetFormatPr defaultColWidth="12.42578125" defaultRowHeight="12.75" x14ac:dyDescent="0.2"/>
  <cols>
    <col min="1" max="1" width="12.42578125" style="11"/>
    <col min="2" max="2" width="20.85546875" style="11" customWidth="1"/>
    <col min="3" max="3" width="9" style="11" customWidth="1"/>
    <col min="4" max="4" width="12.42578125" style="11"/>
    <col min="5" max="5" width="42" style="11" customWidth="1"/>
    <col min="6" max="6" width="12.42578125" style="11"/>
    <col min="7" max="7" width="36.42578125" style="11" customWidth="1"/>
    <col min="8" max="8" width="12.42578125" style="11"/>
    <col min="9" max="10" width="17.85546875" style="11" customWidth="1"/>
    <col min="11" max="11" width="31.140625" style="11" customWidth="1"/>
    <col min="12" max="12" width="20.7109375" style="11" customWidth="1"/>
    <col min="13" max="17" width="33.7109375" style="11" customWidth="1"/>
    <col min="18" max="24" width="19.85546875" style="11" customWidth="1"/>
    <col min="25" max="28" width="12.42578125" style="11"/>
    <col min="29" max="29" width="18.85546875" style="11" customWidth="1"/>
    <col min="30" max="36" width="12.42578125" style="11"/>
    <col min="37" max="37" width="28.42578125" style="1" customWidth="1"/>
    <col min="38" max="16384" width="12.42578125" style="11"/>
  </cols>
  <sheetData>
    <row r="1" spans="1:43" x14ac:dyDescent="0.2">
      <c r="C1" s="10"/>
      <c r="D1" s="10"/>
      <c r="E1" s="10"/>
      <c r="F1" s="10"/>
    </row>
    <row r="2" spans="1:43" ht="25.5" x14ac:dyDescent="0.2">
      <c r="C2" s="2"/>
      <c r="D2" s="2"/>
      <c r="E2" s="2"/>
      <c r="F2" s="2"/>
      <c r="G2" s="12"/>
      <c r="H2" s="12"/>
      <c r="I2" s="12"/>
      <c r="J2" s="12"/>
      <c r="K2" s="12"/>
      <c r="L2" s="11" t="s">
        <v>6</v>
      </c>
      <c r="M2" s="12"/>
      <c r="N2" s="2" t="s">
        <v>173</v>
      </c>
      <c r="O2" s="12"/>
      <c r="P2" s="12" t="s">
        <v>279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43" ht="90" x14ac:dyDescent="0.25">
      <c r="A3" s="12" t="s">
        <v>459</v>
      </c>
      <c r="B3" s="12" t="s">
        <v>463</v>
      </c>
      <c r="C3" s="2"/>
      <c r="D3" s="12" t="s">
        <v>7</v>
      </c>
      <c r="E3" s="2" t="s">
        <v>0</v>
      </c>
      <c r="F3" s="2" t="s">
        <v>15</v>
      </c>
      <c r="G3" s="28" t="s">
        <v>8</v>
      </c>
      <c r="H3" s="12" t="s">
        <v>16</v>
      </c>
      <c r="I3" s="12" t="s">
        <v>458</v>
      </c>
      <c r="J3" s="12" t="s">
        <v>18</v>
      </c>
      <c r="K3" s="12" t="s">
        <v>48</v>
      </c>
      <c r="L3" s="12" t="s">
        <v>302</v>
      </c>
      <c r="M3" s="2" t="s">
        <v>6</v>
      </c>
      <c r="N3" s="2" t="s">
        <v>174</v>
      </c>
      <c r="P3" s="2" t="s">
        <v>432</v>
      </c>
      <c r="R3" s="13" t="s">
        <v>50</v>
      </c>
      <c r="S3" s="13" t="s">
        <v>51</v>
      </c>
      <c r="T3" s="14" t="s">
        <v>52</v>
      </c>
      <c r="U3" t="s">
        <v>53</v>
      </c>
      <c r="V3" t="s">
        <v>54</v>
      </c>
      <c r="W3" t="s">
        <v>55</v>
      </c>
      <c r="X3" t="s">
        <v>56</v>
      </c>
      <c r="Y3" s="12" t="s">
        <v>19</v>
      </c>
      <c r="Z3" s="12">
        <v>2024</v>
      </c>
      <c r="AA3" s="12"/>
      <c r="AB3" s="12" t="s">
        <v>20</v>
      </c>
      <c r="AC3" s="12" t="s">
        <v>427</v>
      </c>
      <c r="AD3" s="12" t="s">
        <v>265</v>
      </c>
      <c r="AE3" s="12" t="s">
        <v>266</v>
      </c>
      <c r="AF3" s="12"/>
      <c r="AG3" s="12" t="s">
        <v>270</v>
      </c>
      <c r="AI3" s="12" t="s">
        <v>273</v>
      </c>
      <c r="AJ3" s="1" t="s">
        <v>269</v>
      </c>
      <c r="AP3" s="12" t="s">
        <v>20</v>
      </c>
      <c r="AQ3" s="12" t="s">
        <v>377</v>
      </c>
    </row>
    <row r="4" spans="1:43" ht="39" x14ac:dyDescent="0.25">
      <c r="B4" s="12" t="s">
        <v>464</v>
      </c>
      <c r="C4" s="2"/>
      <c r="D4" s="12"/>
      <c r="E4" s="2" t="s">
        <v>17</v>
      </c>
      <c r="F4" s="12"/>
      <c r="G4" s="28" t="s">
        <v>545</v>
      </c>
      <c r="H4" s="2"/>
      <c r="I4" s="12"/>
      <c r="J4" s="12"/>
      <c r="K4" s="12" t="s">
        <v>40</v>
      </c>
      <c r="L4" s="12" t="s">
        <v>303</v>
      </c>
      <c r="M4" s="2" t="str">
        <f>CONCATENATE(R4,".",W4,".",X4,".",T4)</f>
        <v>Бованенковское.Сеноман-апт..ПК1</v>
      </c>
      <c r="N4" s="2" t="s">
        <v>175</v>
      </c>
      <c r="O4" s="2" t="str">
        <f>CONCATENATE(R4,".",W4,".",S4)</f>
        <v>Бованенковское.Сеноман-апт.УКПГ-2</v>
      </c>
      <c r="P4" s="2" t="s">
        <v>433</v>
      </c>
      <c r="Q4" s="2" t="str">
        <f>CONCATENATE(R4,".",W4)</f>
        <v>Бованенковское.Сеноман-апт</v>
      </c>
      <c r="R4" s="15" t="s">
        <v>33</v>
      </c>
      <c r="S4" s="16" t="s">
        <v>57</v>
      </c>
      <c r="T4" s="17" t="s">
        <v>58</v>
      </c>
      <c r="U4" t="s">
        <v>59</v>
      </c>
      <c r="V4" t="s">
        <v>72</v>
      </c>
      <c r="W4" t="s">
        <v>60</v>
      </c>
      <c r="X4"/>
      <c r="Y4" s="12"/>
      <c r="Z4" s="12">
        <v>2025</v>
      </c>
      <c r="AA4" s="12"/>
      <c r="AB4" s="12"/>
      <c r="AC4" s="12" t="s">
        <v>428</v>
      </c>
      <c r="AD4" s="12"/>
      <c r="AE4" s="12" t="s">
        <v>267</v>
      </c>
      <c r="AF4" s="12"/>
      <c r="AG4" s="12" t="s">
        <v>271</v>
      </c>
      <c r="AI4" s="12" t="s">
        <v>274</v>
      </c>
      <c r="AL4" s="1" t="s">
        <v>278</v>
      </c>
      <c r="AM4" s="1" t="s">
        <v>279</v>
      </c>
      <c r="AN4" s="1" t="s">
        <v>280</v>
      </c>
      <c r="AQ4" s="12" t="s">
        <v>378</v>
      </c>
    </row>
    <row r="5" spans="1:43" ht="51.75" x14ac:dyDescent="0.25">
      <c r="B5" s="11" t="s">
        <v>465</v>
      </c>
      <c r="C5" s="2"/>
      <c r="D5" s="12"/>
      <c r="E5" s="2" t="s">
        <v>1</v>
      </c>
      <c r="F5" s="12"/>
      <c r="G5" s="28" t="s">
        <v>9</v>
      </c>
      <c r="H5" s="12"/>
      <c r="I5" s="12"/>
      <c r="J5" s="12"/>
      <c r="K5" s="12" t="s">
        <v>552</v>
      </c>
      <c r="L5" s="12" t="s">
        <v>304</v>
      </c>
      <c r="M5" s="2" t="str">
        <f t="shared" ref="M5:M68" si="0">CONCATENATE(R5,".",W5,".",X5,".",T5)</f>
        <v>Бованенковское.Сеноман-апт..ПК1</v>
      </c>
      <c r="N5" s="2" t="s">
        <v>176</v>
      </c>
      <c r="O5" s="2" t="str">
        <f t="shared" ref="O5:O68" si="1">CONCATENATE(R5,".",W5,".",S5)</f>
        <v>Бованенковское.Сеноман-апт.УКПГ-3</v>
      </c>
      <c r="P5" s="2" t="s">
        <v>434</v>
      </c>
      <c r="Q5" s="2" t="str">
        <f t="shared" ref="Q5:Q68" si="2">CONCATENATE(R5,".",W5)</f>
        <v>Бованенковское.Сеноман-апт</v>
      </c>
      <c r="R5" s="18" t="s">
        <v>33</v>
      </c>
      <c r="S5" s="19" t="s">
        <v>61</v>
      </c>
      <c r="T5" s="20" t="s">
        <v>58</v>
      </c>
      <c r="U5" t="s">
        <v>59</v>
      </c>
      <c r="V5" t="s">
        <v>72</v>
      </c>
      <c r="W5" t="s">
        <v>60</v>
      </c>
      <c r="X5"/>
      <c r="Y5" s="12"/>
      <c r="Z5" s="12">
        <v>2026</v>
      </c>
      <c r="AA5" s="12"/>
      <c r="AB5" s="12"/>
      <c r="AC5" s="12" t="s">
        <v>429</v>
      </c>
      <c r="AD5" s="12"/>
      <c r="AE5" s="12" t="s">
        <v>268</v>
      </c>
      <c r="AF5" s="12"/>
      <c r="AG5" s="12" t="s">
        <v>272</v>
      </c>
      <c r="AI5" s="12" t="s">
        <v>276</v>
      </c>
      <c r="AK5" s="1" t="s">
        <v>281</v>
      </c>
      <c r="AQ5" s="12" t="s">
        <v>379</v>
      </c>
    </row>
    <row r="6" spans="1:43" ht="26.25" x14ac:dyDescent="0.25">
      <c r="B6" s="11" t="s">
        <v>466</v>
      </c>
      <c r="C6" s="2"/>
      <c r="D6" s="12"/>
      <c r="E6" s="2" t="s">
        <v>2</v>
      </c>
      <c r="F6" s="12"/>
      <c r="G6" s="28" t="s">
        <v>10</v>
      </c>
      <c r="H6" s="12"/>
      <c r="I6" s="12"/>
      <c r="J6" s="12"/>
      <c r="K6" s="12" t="s">
        <v>553</v>
      </c>
      <c r="L6" s="12" t="s">
        <v>305</v>
      </c>
      <c r="M6" s="2" t="str">
        <f t="shared" si="0"/>
        <v>Бованенковское.Сеноман-апт..ПК10</v>
      </c>
      <c r="N6" s="2" t="s">
        <v>177</v>
      </c>
      <c r="O6" s="2" t="str">
        <f t="shared" si="1"/>
        <v>Бованенковское.Сеноман-апт.УКПГ-2</v>
      </c>
      <c r="P6" s="2" t="s">
        <v>435</v>
      </c>
      <c r="Q6" s="2" t="str">
        <f t="shared" si="2"/>
        <v>Бованенковское.Сеноман-апт</v>
      </c>
      <c r="R6" s="21" t="s">
        <v>33</v>
      </c>
      <c r="S6" s="22" t="s">
        <v>57</v>
      </c>
      <c r="T6" s="23" t="s">
        <v>62</v>
      </c>
      <c r="U6" s="24" t="s">
        <v>63</v>
      </c>
      <c r="V6" t="s">
        <v>167</v>
      </c>
      <c r="W6" t="s">
        <v>60</v>
      </c>
      <c r="X6"/>
      <c r="Y6" s="12"/>
      <c r="Z6" s="12">
        <v>2027</v>
      </c>
      <c r="AA6" s="12"/>
      <c r="AB6" s="12"/>
      <c r="AC6" s="12" t="s">
        <v>430</v>
      </c>
      <c r="AD6" s="12"/>
      <c r="AE6" s="12"/>
      <c r="AF6" s="12"/>
      <c r="AG6" s="12"/>
      <c r="AI6" s="12" t="s">
        <v>275</v>
      </c>
      <c r="AK6" s="1" t="s">
        <v>282</v>
      </c>
      <c r="AQ6" s="12" t="s">
        <v>380</v>
      </c>
    </row>
    <row r="7" spans="1:43" ht="26.25" x14ac:dyDescent="0.25">
      <c r="B7" s="11" t="s">
        <v>467</v>
      </c>
      <c r="C7" s="2"/>
      <c r="D7" s="12"/>
      <c r="E7" s="2" t="s">
        <v>3</v>
      </c>
      <c r="F7" s="12"/>
      <c r="G7" s="28" t="s">
        <v>11</v>
      </c>
      <c r="H7" s="12"/>
      <c r="I7" s="12"/>
      <c r="J7" s="12"/>
      <c r="K7" s="12" t="s">
        <v>45</v>
      </c>
      <c r="L7" s="12" t="s">
        <v>306</v>
      </c>
      <c r="M7" s="2" t="str">
        <f t="shared" si="0"/>
        <v>Бованенковское.Сеноман-апт..ПК9</v>
      </c>
      <c r="N7" s="2" t="s">
        <v>178</v>
      </c>
      <c r="O7" s="2" t="str">
        <f t="shared" si="1"/>
        <v>Бованенковское.Сеноман-апт.УКПГ-1</v>
      </c>
      <c r="P7" s="2" t="s">
        <v>436</v>
      </c>
      <c r="Q7" s="2" t="str">
        <f t="shared" si="2"/>
        <v>Бованенковское.Сеноман-апт</v>
      </c>
      <c r="R7" s="18" t="s">
        <v>33</v>
      </c>
      <c r="S7" s="19" t="s">
        <v>64</v>
      </c>
      <c r="T7" s="20" t="s">
        <v>65</v>
      </c>
      <c r="U7" s="24" t="s">
        <v>63</v>
      </c>
      <c r="V7" t="s">
        <v>167</v>
      </c>
      <c r="W7" t="s">
        <v>60</v>
      </c>
      <c r="X7"/>
      <c r="Y7" s="12"/>
      <c r="Z7" s="12">
        <v>2028</v>
      </c>
      <c r="AA7" s="12"/>
      <c r="AB7" s="12"/>
      <c r="AC7" s="12" t="s">
        <v>431</v>
      </c>
      <c r="AD7" s="12"/>
      <c r="AE7" s="12"/>
      <c r="AF7" s="12"/>
      <c r="AG7" s="12"/>
      <c r="AI7" s="12" t="s">
        <v>277</v>
      </c>
      <c r="AK7" s="1" t="s">
        <v>283</v>
      </c>
      <c r="AQ7" s="12" t="s">
        <v>381</v>
      </c>
    </row>
    <row r="8" spans="1:43" ht="26.25" x14ac:dyDescent="0.25">
      <c r="B8" s="11" t="s">
        <v>468</v>
      </c>
      <c r="C8" s="2"/>
      <c r="D8" s="12"/>
      <c r="E8" s="2" t="s">
        <v>4</v>
      </c>
      <c r="F8" s="12"/>
      <c r="G8" s="28" t="s">
        <v>12</v>
      </c>
      <c r="H8" s="12"/>
      <c r="I8" s="12"/>
      <c r="J8" s="12"/>
      <c r="K8" s="12" t="s">
        <v>44</v>
      </c>
      <c r="L8" s="12" t="s">
        <v>307</v>
      </c>
      <c r="M8" s="2" t="str">
        <f t="shared" si="0"/>
        <v>Бованенковское.Сеноман-апт..ПК9</v>
      </c>
      <c r="N8" s="2" t="s">
        <v>179</v>
      </c>
      <c r="O8" s="2" t="str">
        <f t="shared" si="1"/>
        <v>Бованенковское.Сеноман-апт.УКПГ-2</v>
      </c>
      <c r="P8" s="2" t="s">
        <v>437</v>
      </c>
      <c r="Q8" s="2" t="str">
        <f t="shared" si="2"/>
        <v>Бованенковское.Сеноман-апт</v>
      </c>
      <c r="R8" s="21" t="s">
        <v>33</v>
      </c>
      <c r="S8" s="22" t="s">
        <v>57</v>
      </c>
      <c r="T8" s="23" t="s">
        <v>65</v>
      </c>
      <c r="U8" s="24" t="s">
        <v>63</v>
      </c>
      <c r="V8" t="s">
        <v>167</v>
      </c>
      <c r="W8" t="s">
        <v>60</v>
      </c>
      <c r="X8"/>
      <c r="Y8" s="12"/>
      <c r="Z8" s="12">
        <v>2029</v>
      </c>
      <c r="AA8" s="12"/>
      <c r="AB8" s="12"/>
      <c r="AC8" s="12"/>
      <c r="AD8" s="12"/>
      <c r="AE8" s="12"/>
      <c r="AF8" s="12"/>
      <c r="AG8" s="12"/>
      <c r="AI8" s="12" t="s">
        <v>21</v>
      </c>
      <c r="AK8" s="1" t="s">
        <v>284</v>
      </c>
      <c r="AQ8" s="12" t="s">
        <v>382</v>
      </c>
    </row>
    <row r="9" spans="1:43" ht="26.25" x14ac:dyDescent="0.25">
      <c r="B9" s="11" t="s">
        <v>469</v>
      </c>
      <c r="C9" s="2"/>
      <c r="D9" s="12"/>
      <c r="E9" s="2" t="s">
        <v>5</v>
      </c>
      <c r="F9" s="12"/>
      <c r="G9" s="28" t="s">
        <v>13</v>
      </c>
      <c r="H9" s="12"/>
      <c r="I9" s="12"/>
      <c r="J9" s="12"/>
      <c r="K9" s="12" t="s">
        <v>37</v>
      </c>
      <c r="L9" s="12" t="s">
        <v>308</v>
      </c>
      <c r="M9" s="2" t="str">
        <f t="shared" si="0"/>
        <v>Бованенковское.Сеноман-апт..ТП1-6</v>
      </c>
      <c r="N9" s="2" t="s">
        <v>180</v>
      </c>
      <c r="O9" s="2" t="str">
        <f t="shared" si="1"/>
        <v>Бованенковское.Сеноман-апт.УКПГ-2</v>
      </c>
      <c r="P9" s="2" t="s">
        <v>438</v>
      </c>
      <c r="Q9" s="2" t="str">
        <f t="shared" si="2"/>
        <v>Бованенковское.Сеноман-апт</v>
      </c>
      <c r="R9" s="18" t="s">
        <v>33</v>
      </c>
      <c r="S9" s="19" t="s">
        <v>57</v>
      </c>
      <c r="T9" s="20" t="s">
        <v>66</v>
      </c>
      <c r="U9" s="24" t="s">
        <v>63</v>
      </c>
      <c r="V9" t="s">
        <v>167</v>
      </c>
      <c r="W9" t="s">
        <v>60</v>
      </c>
      <c r="X9"/>
      <c r="Y9" s="12"/>
      <c r="Z9" s="12">
        <v>2030</v>
      </c>
      <c r="AA9" s="12"/>
      <c r="AB9" s="12"/>
      <c r="AC9" s="12"/>
      <c r="AD9" s="12"/>
      <c r="AE9" s="12"/>
      <c r="AF9" s="12"/>
      <c r="AG9" s="12"/>
      <c r="AI9" s="12" t="s">
        <v>22</v>
      </c>
      <c r="AK9" s="1" t="s">
        <v>285</v>
      </c>
      <c r="AQ9" s="12" t="s">
        <v>383</v>
      </c>
    </row>
    <row r="10" spans="1:43" ht="26.25" x14ac:dyDescent="0.25">
      <c r="B10" s="11" t="s">
        <v>470</v>
      </c>
      <c r="C10" s="2"/>
      <c r="D10" s="12"/>
      <c r="E10" s="2"/>
      <c r="F10" s="2"/>
      <c r="G10" s="28" t="s">
        <v>14</v>
      </c>
      <c r="H10" s="12"/>
      <c r="I10" s="12"/>
      <c r="J10" s="12"/>
      <c r="K10" s="12" t="s">
        <v>554</v>
      </c>
      <c r="L10" s="12" t="s">
        <v>309</v>
      </c>
      <c r="M10" s="2" t="str">
        <f t="shared" si="0"/>
        <v>Бованенковское.Сеноман-апт..ТП1-6</v>
      </c>
      <c r="N10" s="2" t="s">
        <v>181</v>
      </c>
      <c r="O10" s="2" t="str">
        <f t="shared" si="1"/>
        <v>Бованенковское.Сеноман-апт.УКПГ-1</v>
      </c>
      <c r="P10" s="2" t="s">
        <v>439</v>
      </c>
      <c r="Q10" s="2" t="str">
        <f t="shared" si="2"/>
        <v>Бованенковское.Сеноман-апт</v>
      </c>
      <c r="R10" s="21" t="s">
        <v>33</v>
      </c>
      <c r="S10" s="22" t="s">
        <v>64</v>
      </c>
      <c r="T10" s="23" t="s">
        <v>66</v>
      </c>
      <c r="U10" s="24" t="s">
        <v>63</v>
      </c>
      <c r="V10" t="s">
        <v>167</v>
      </c>
      <c r="W10" t="s">
        <v>60</v>
      </c>
      <c r="X10"/>
      <c r="Y10" s="12"/>
      <c r="Z10" s="12">
        <v>2031</v>
      </c>
      <c r="AA10" s="12"/>
      <c r="AB10" s="12"/>
      <c r="AC10" s="12"/>
      <c r="AD10" s="12"/>
      <c r="AE10" s="12"/>
      <c r="AF10" s="12"/>
      <c r="AG10" s="12"/>
      <c r="AI10" s="12" t="s">
        <v>23</v>
      </c>
      <c r="AK10" s="1" t="s">
        <v>286</v>
      </c>
      <c r="AQ10" s="12" t="s">
        <v>384</v>
      </c>
    </row>
    <row r="11" spans="1:43" ht="26.25" x14ac:dyDescent="0.25">
      <c r="B11" s="11" t="s">
        <v>471</v>
      </c>
      <c r="C11" s="2"/>
      <c r="D11" s="12"/>
      <c r="E11" s="2"/>
      <c r="F11" s="12"/>
      <c r="G11" s="28" t="s">
        <v>546</v>
      </c>
      <c r="H11" s="12"/>
      <c r="I11" s="12"/>
      <c r="J11" s="12"/>
      <c r="K11" s="12" t="s">
        <v>42</v>
      </c>
      <c r="L11" s="12" t="s">
        <v>310</v>
      </c>
      <c r="M11" s="2" t="str">
        <f t="shared" si="0"/>
        <v>Бованенковское.Сеноман-апт..ТП1-6</v>
      </c>
      <c r="N11" s="2" t="s">
        <v>182</v>
      </c>
      <c r="O11" s="2" t="str">
        <f t="shared" si="1"/>
        <v>Бованенковское.Сеноман-апт.УКПГ-3</v>
      </c>
      <c r="P11" s="2" t="s">
        <v>440</v>
      </c>
      <c r="Q11" s="2" t="str">
        <f t="shared" si="2"/>
        <v>Бованенковское.Сеноман-апт</v>
      </c>
      <c r="R11" s="18" t="s">
        <v>33</v>
      </c>
      <c r="S11" s="19" t="s">
        <v>61</v>
      </c>
      <c r="T11" s="20" t="s">
        <v>66</v>
      </c>
      <c r="U11" s="24" t="s">
        <v>63</v>
      </c>
      <c r="V11" t="s">
        <v>167</v>
      </c>
      <c r="W11" t="s">
        <v>60</v>
      </c>
      <c r="X11"/>
      <c r="Y11" s="12"/>
      <c r="Z11" s="12">
        <v>2032</v>
      </c>
      <c r="AA11" s="12"/>
      <c r="AB11" s="12"/>
      <c r="AC11" s="12"/>
      <c r="AD11" s="12"/>
      <c r="AE11" s="12"/>
      <c r="AF11" s="12"/>
      <c r="AG11" s="12"/>
      <c r="AI11" s="12" t="s">
        <v>24</v>
      </c>
      <c r="AK11" s="1" t="s">
        <v>287</v>
      </c>
      <c r="AQ11" s="12" t="s">
        <v>385</v>
      </c>
    </row>
    <row r="12" spans="1:43" ht="26.25" x14ac:dyDescent="0.25">
      <c r="B12" s="11" t="s">
        <v>472</v>
      </c>
      <c r="C12" s="2"/>
      <c r="D12" s="2"/>
      <c r="E12" s="12"/>
      <c r="F12" s="12"/>
      <c r="G12" s="28" t="s">
        <v>547</v>
      </c>
      <c r="H12" s="12"/>
      <c r="I12" s="12"/>
      <c r="J12" s="12"/>
      <c r="K12" s="12" t="s">
        <v>46</v>
      </c>
      <c r="L12" s="12" t="s">
        <v>311</v>
      </c>
      <c r="M12" s="2" t="str">
        <f t="shared" si="0"/>
        <v>Бованенковское.Сеноман-апт..ТП7-11</v>
      </c>
      <c r="N12" s="2" t="s">
        <v>183</v>
      </c>
      <c r="O12" s="2" t="str">
        <f t="shared" si="1"/>
        <v>Бованенковское.Сеноман-апт.УКПГ-2</v>
      </c>
      <c r="P12" s="2" t="s">
        <v>441</v>
      </c>
      <c r="Q12" s="2" t="str">
        <f t="shared" si="2"/>
        <v>Бованенковское.Сеноман-апт</v>
      </c>
      <c r="R12" s="21" t="s">
        <v>33</v>
      </c>
      <c r="S12" s="22" t="s">
        <v>57</v>
      </c>
      <c r="T12" s="23" t="s">
        <v>67</v>
      </c>
      <c r="U12" s="24" t="s">
        <v>63</v>
      </c>
      <c r="V12" t="s">
        <v>167</v>
      </c>
      <c r="W12" t="s">
        <v>60</v>
      </c>
      <c r="X12"/>
      <c r="Y12" s="12"/>
      <c r="Z12" s="12">
        <v>2033</v>
      </c>
      <c r="AA12" s="12"/>
      <c r="AB12" s="12"/>
      <c r="AC12" s="12"/>
      <c r="AD12" s="12"/>
      <c r="AE12" s="12"/>
      <c r="AF12" s="12"/>
      <c r="AG12" s="12"/>
      <c r="AI12" s="12" t="s">
        <v>25</v>
      </c>
      <c r="AK12" s="1" t="s">
        <v>288</v>
      </c>
      <c r="AQ12" s="12" t="s">
        <v>386</v>
      </c>
    </row>
    <row r="13" spans="1:43" ht="26.25" x14ac:dyDescent="0.25">
      <c r="B13" s="11" t="s">
        <v>473</v>
      </c>
      <c r="C13" s="2"/>
      <c r="D13" s="2"/>
      <c r="E13" s="12"/>
      <c r="F13" s="12"/>
      <c r="G13" s="28" t="s">
        <v>548</v>
      </c>
      <c r="H13" s="12"/>
      <c r="I13" s="12"/>
      <c r="J13" s="12"/>
      <c r="K13" s="12" t="s">
        <v>49</v>
      </c>
      <c r="L13" s="12" t="s">
        <v>312</v>
      </c>
      <c r="M13" s="2" t="str">
        <f t="shared" si="0"/>
        <v>Бованенковское.Сеноман-апт..ТП7-11</v>
      </c>
      <c r="N13" s="2" t="s">
        <v>184</v>
      </c>
      <c r="O13" s="2" t="str">
        <f t="shared" si="1"/>
        <v>Бованенковское.Сеноман-апт.УКПГ-1</v>
      </c>
      <c r="P13" s="2" t="s">
        <v>442</v>
      </c>
      <c r="Q13" s="2" t="str">
        <f t="shared" si="2"/>
        <v>Бованенковское.Сеноман-апт</v>
      </c>
      <c r="R13" s="18" t="s">
        <v>33</v>
      </c>
      <c r="S13" s="19" t="s">
        <v>64</v>
      </c>
      <c r="T13" s="20" t="s">
        <v>67</v>
      </c>
      <c r="U13" s="24" t="s">
        <v>63</v>
      </c>
      <c r="V13" t="s">
        <v>167</v>
      </c>
      <c r="W13" t="s">
        <v>60</v>
      </c>
      <c r="X13"/>
      <c r="Y13" s="12"/>
      <c r="Z13" s="12">
        <v>2034</v>
      </c>
      <c r="AA13" s="12"/>
      <c r="AB13" s="12"/>
      <c r="AC13" s="12"/>
      <c r="AD13" s="12"/>
      <c r="AE13" s="12"/>
      <c r="AF13" s="12"/>
      <c r="AG13" s="12"/>
      <c r="AI13" s="12" t="s">
        <v>26</v>
      </c>
      <c r="AK13" s="1" t="s">
        <v>289</v>
      </c>
      <c r="AQ13" s="12" t="s">
        <v>387</v>
      </c>
    </row>
    <row r="14" spans="1:43" ht="26.25" x14ac:dyDescent="0.25">
      <c r="B14" s="11" t="s">
        <v>474</v>
      </c>
      <c r="C14" s="2"/>
      <c r="D14" s="2"/>
      <c r="E14" s="12"/>
      <c r="F14" s="12"/>
      <c r="G14" s="28" t="s">
        <v>549</v>
      </c>
      <c r="H14" s="12"/>
      <c r="I14" s="12"/>
      <c r="J14" s="12"/>
      <c r="K14" s="12" t="s">
        <v>33</v>
      </c>
      <c r="L14" s="12" t="s">
        <v>313</v>
      </c>
      <c r="M14" s="2" t="str">
        <f t="shared" si="0"/>
        <v>Бованенковское.Сеноман-апт..ХМ1-2</v>
      </c>
      <c r="N14" s="2" t="s">
        <v>185</v>
      </c>
      <c r="O14" s="2" t="str">
        <f t="shared" si="1"/>
        <v>Бованенковское.Сеноман-апт.УКПГ-2</v>
      </c>
      <c r="P14" s="2" t="s">
        <v>443</v>
      </c>
      <c r="Q14" s="2" t="str">
        <f t="shared" si="2"/>
        <v>Бованенковское.Сеноман-апт</v>
      </c>
      <c r="R14" s="21" t="s">
        <v>33</v>
      </c>
      <c r="S14" s="22" t="s">
        <v>57</v>
      </c>
      <c r="T14" s="23" t="s">
        <v>68</v>
      </c>
      <c r="U14" t="s">
        <v>69</v>
      </c>
      <c r="V14" t="s">
        <v>168</v>
      </c>
      <c r="W14" t="s">
        <v>60</v>
      </c>
      <c r="X14"/>
      <c r="Y14" s="12"/>
      <c r="Z14" s="12">
        <v>2035</v>
      </c>
      <c r="AA14" s="12"/>
      <c r="AB14" s="12"/>
      <c r="AC14" s="12"/>
      <c r="AD14" s="12"/>
      <c r="AE14" s="12"/>
      <c r="AF14" s="12"/>
      <c r="AG14" s="12"/>
      <c r="AI14" s="12" t="s">
        <v>27</v>
      </c>
      <c r="AK14" s="1" t="s">
        <v>290</v>
      </c>
      <c r="AQ14" s="12" t="s">
        <v>388</v>
      </c>
    </row>
    <row r="15" spans="1:43" ht="26.25" x14ac:dyDescent="0.25">
      <c r="B15" s="11" t="s">
        <v>475</v>
      </c>
      <c r="C15" s="2"/>
      <c r="D15" s="2"/>
      <c r="E15" s="12"/>
      <c r="F15" s="12"/>
      <c r="G15" s="28" t="s">
        <v>550</v>
      </c>
      <c r="H15" s="12"/>
      <c r="I15" s="12"/>
      <c r="J15" s="12"/>
      <c r="K15" s="12" t="s">
        <v>555</v>
      </c>
      <c r="L15" s="12" t="s">
        <v>314</v>
      </c>
      <c r="M15" s="2" t="str">
        <f t="shared" si="0"/>
        <v>Бованенковское.Сеноман-апт..ХМ1-2</v>
      </c>
      <c r="N15" s="2" t="s">
        <v>186</v>
      </c>
      <c r="O15" s="2" t="str">
        <f t="shared" si="1"/>
        <v>Бованенковское.Сеноман-апт.УКПГ-1</v>
      </c>
      <c r="P15" s="2" t="s">
        <v>444</v>
      </c>
      <c r="Q15" s="2" t="str">
        <f t="shared" si="2"/>
        <v>Бованенковское.Сеноман-апт</v>
      </c>
      <c r="R15" s="18" t="s">
        <v>33</v>
      </c>
      <c r="S15" s="19" t="s">
        <v>64</v>
      </c>
      <c r="T15" s="20" t="s">
        <v>68</v>
      </c>
      <c r="U15" t="s">
        <v>69</v>
      </c>
      <c r="V15" t="s">
        <v>168</v>
      </c>
      <c r="W15" t="s">
        <v>60</v>
      </c>
      <c r="X15"/>
      <c r="Y15" s="12"/>
      <c r="Z15" s="12">
        <v>2036</v>
      </c>
      <c r="AA15" s="12"/>
      <c r="AC15" s="12"/>
      <c r="AI15" s="12" t="s">
        <v>28</v>
      </c>
      <c r="AK15" s="1" t="s">
        <v>291</v>
      </c>
      <c r="AQ15" s="12" t="s">
        <v>389</v>
      </c>
    </row>
    <row r="16" spans="1:43" ht="25.5" x14ac:dyDescent="0.2">
      <c r="B16" s="11" t="s">
        <v>476</v>
      </c>
      <c r="C16" s="2"/>
      <c r="D16" s="2"/>
      <c r="E16" s="12"/>
      <c r="F16" s="12"/>
      <c r="G16" s="12"/>
      <c r="H16" s="12"/>
      <c r="I16" s="12"/>
      <c r="J16" s="12"/>
      <c r="K16" s="12" t="s">
        <v>34</v>
      </c>
      <c r="L16" s="12" t="s">
        <v>315</v>
      </c>
      <c r="M16" s="2" t="str">
        <f t="shared" si="0"/>
        <v>Бованенковское.Сеноман-апт..ХМ1-2</v>
      </c>
      <c r="N16" s="2" t="s">
        <v>187</v>
      </c>
      <c r="O16" s="2" t="str">
        <f t="shared" si="1"/>
        <v>Бованенковское.Сеноман-апт.УКПГ-3</v>
      </c>
      <c r="P16" s="2" t="s">
        <v>445</v>
      </c>
      <c r="Q16" s="2" t="str">
        <f t="shared" si="2"/>
        <v>Бованенковское.Сеноман-апт</v>
      </c>
      <c r="R16" s="21" t="s">
        <v>33</v>
      </c>
      <c r="S16" s="22" t="s">
        <v>61</v>
      </c>
      <c r="T16" s="23" t="s">
        <v>68</v>
      </c>
      <c r="U16" t="s">
        <v>69</v>
      </c>
      <c r="V16" t="s">
        <v>168</v>
      </c>
      <c r="W16" t="s">
        <v>60</v>
      </c>
      <c r="X16"/>
      <c r="Y16" s="12"/>
      <c r="Z16" s="12">
        <v>2037</v>
      </c>
      <c r="AA16" s="12"/>
      <c r="AC16" s="12"/>
      <c r="AI16" s="12" t="s">
        <v>29</v>
      </c>
      <c r="AK16" s="1" t="s">
        <v>288</v>
      </c>
      <c r="AQ16" s="12" t="s">
        <v>390</v>
      </c>
    </row>
    <row r="17" spans="2:43" ht="38.25" x14ac:dyDescent="0.2">
      <c r="B17" s="11" t="s">
        <v>477</v>
      </c>
      <c r="C17" s="2"/>
      <c r="D17" s="2"/>
      <c r="E17" s="12"/>
      <c r="F17" s="12"/>
      <c r="G17" s="12"/>
      <c r="H17" s="12"/>
      <c r="I17" s="12"/>
      <c r="J17" s="12"/>
      <c r="K17" s="12" t="s">
        <v>41</v>
      </c>
      <c r="L17" s="12" t="s">
        <v>316</v>
      </c>
      <c r="M17" s="2" t="str">
        <f t="shared" si="0"/>
        <v>Вынгапуровское.Сеноман..I</v>
      </c>
      <c r="N17" s="2" t="s">
        <v>188</v>
      </c>
      <c r="O17" s="2" t="str">
        <f t="shared" si="1"/>
        <v>Вынгапуровское.Сеноман.УКПГ</v>
      </c>
      <c r="P17" s="2" t="s">
        <v>446</v>
      </c>
      <c r="Q17" s="2" t="str">
        <f t="shared" si="2"/>
        <v>Вынгапуровское.Сеноман</v>
      </c>
      <c r="R17" s="18" t="s">
        <v>34</v>
      </c>
      <c r="S17" s="19" t="s">
        <v>70</v>
      </c>
      <c r="T17" s="20" t="s">
        <v>71</v>
      </c>
      <c r="U17" s="25" t="s">
        <v>59</v>
      </c>
      <c r="V17" t="s">
        <v>72</v>
      </c>
      <c r="W17" t="s">
        <v>72</v>
      </c>
      <c r="X17"/>
      <c r="Y17" s="12"/>
      <c r="Z17" s="12">
        <v>2038</v>
      </c>
      <c r="AA17" s="12"/>
      <c r="AC17" s="12"/>
      <c r="AI17" s="12" t="s">
        <v>30</v>
      </c>
      <c r="AK17" s="1" t="s">
        <v>292</v>
      </c>
      <c r="AQ17" s="12" t="s">
        <v>391</v>
      </c>
    </row>
    <row r="18" spans="2:43" ht="38.25" x14ac:dyDescent="0.2">
      <c r="B18" s="11" t="s">
        <v>478</v>
      </c>
      <c r="C18" s="2"/>
      <c r="D18" s="2"/>
      <c r="E18" s="12"/>
      <c r="F18" s="12"/>
      <c r="G18" s="12"/>
      <c r="H18" s="12"/>
      <c r="I18" s="12"/>
      <c r="J18" s="12"/>
      <c r="K18" s="12" t="s">
        <v>35</v>
      </c>
      <c r="L18" s="11" t="s">
        <v>317</v>
      </c>
      <c r="M18" s="2" t="str">
        <f t="shared" si="0"/>
        <v>Вынгаяхинское.Сеноман..I</v>
      </c>
      <c r="N18" s="2" t="s">
        <v>189</v>
      </c>
      <c r="O18" s="2" t="str">
        <f t="shared" si="1"/>
        <v>Вынгаяхинское.Сеноман.УКПГ</v>
      </c>
      <c r="P18" s="2" t="s">
        <v>447</v>
      </c>
      <c r="Q18" s="2" t="str">
        <f t="shared" si="2"/>
        <v>Вынгаяхинское.Сеноман</v>
      </c>
      <c r="R18" s="21" t="s">
        <v>35</v>
      </c>
      <c r="S18" s="22" t="s">
        <v>70</v>
      </c>
      <c r="T18" s="23" t="s">
        <v>71</v>
      </c>
      <c r="U18" s="25" t="s">
        <v>59</v>
      </c>
      <c r="V18" t="s">
        <v>72</v>
      </c>
      <c r="W18" t="s">
        <v>72</v>
      </c>
      <c r="X18"/>
      <c r="Y18" s="12"/>
      <c r="Z18" s="12">
        <v>2039</v>
      </c>
      <c r="AA18" s="12"/>
      <c r="AC18" s="12"/>
      <c r="AI18" s="12" t="s">
        <v>31</v>
      </c>
      <c r="AK18" s="1" t="s">
        <v>293</v>
      </c>
      <c r="AQ18" s="12" t="s">
        <v>392</v>
      </c>
    </row>
    <row r="19" spans="2:43" ht="38.25" x14ac:dyDescent="0.2">
      <c r="B19" s="11" t="s">
        <v>479</v>
      </c>
      <c r="C19" s="2"/>
      <c r="D19" s="2"/>
      <c r="E19" s="12"/>
      <c r="F19" s="12"/>
      <c r="G19" s="12"/>
      <c r="H19" s="12"/>
      <c r="I19" s="12"/>
      <c r="J19" s="12"/>
      <c r="K19" s="12" t="s">
        <v>38</v>
      </c>
      <c r="L19" s="11" t="s">
        <v>318</v>
      </c>
      <c r="M19" s="2" t="str">
        <f t="shared" si="0"/>
        <v>Губкинское.Сеноман..I</v>
      </c>
      <c r="N19" s="2" t="s">
        <v>190</v>
      </c>
      <c r="O19" s="2" t="str">
        <f t="shared" si="1"/>
        <v>Губкинское.Сеноман.УКПГ</v>
      </c>
      <c r="P19" s="2" t="s">
        <v>448</v>
      </c>
      <c r="Q19" s="2" t="str">
        <f t="shared" si="2"/>
        <v>Губкинское.Сеноман</v>
      </c>
      <c r="R19" s="18" t="s">
        <v>36</v>
      </c>
      <c r="S19" s="19" t="s">
        <v>70</v>
      </c>
      <c r="T19" s="20" t="s">
        <v>71</v>
      </c>
      <c r="U19" s="25" t="s">
        <v>59</v>
      </c>
      <c r="V19" t="s">
        <v>72</v>
      </c>
      <c r="W19" t="s">
        <v>72</v>
      </c>
      <c r="X19"/>
      <c r="Y19" s="12"/>
      <c r="Z19" s="12">
        <v>2040</v>
      </c>
      <c r="AA19" s="12"/>
      <c r="AC19" s="12"/>
      <c r="AI19" s="12" t="s">
        <v>32</v>
      </c>
      <c r="AK19" s="1" t="s">
        <v>294</v>
      </c>
      <c r="AQ19" s="12" t="s">
        <v>393</v>
      </c>
    </row>
    <row r="20" spans="2:43" ht="38.25" x14ac:dyDescent="0.2">
      <c r="B20" s="11" t="s">
        <v>480</v>
      </c>
      <c r="C20" s="2"/>
      <c r="D20" s="2"/>
      <c r="E20" s="12"/>
      <c r="F20" s="12"/>
      <c r="G20" s="12"/>
      <c r="H20" s="12"/>
      <c r="I20" s="12"/>
      <c r="J20" s="12"/>
      <c r="K20" s="12" t="s">
        <v>39</v>
      </c>
      <c r="L20" s="11" t="s">
        <v>319</v>
      </c>
      <c r="M20" s="2" t="str">
        <f t="shared" si="0"/>
        <v>Губкинское.Сеноман..I</v>
      </c>
      <c r="N20" s="2" t="s">
        <v>191</v>
      </c>
      <c r="O20" s="2" t="str">
        <f t="shared" si="1"/>
        <v>Губкинское.Сеноман.УППГ</v>
      </c>
      <c r="P20" s="2" t="s">
        <v>449</v>
      </c>
      <c r="Q20" s="2" t="str">
        <f t="shared" si="2"/>
        <v>Губкинское.Сеноман</v>
      </c>
      <c r="R20" s="21" t="s">
        <v>36</v>
      </c>
      <c r="S20" s="22" t="s">
        <v>73</v>
      </c>
      <c r="T20" s="23" t="s">
        <v>71</v>
      </c>
      <c r="U20" s="25" t="s">
        <v>59</v>
      </c>
      <c r="V20" t="s">
        <v>72</v>
      </c>
      <c r="W20" t="s">
        <v>72</v>
      </c>
      <c r="X20"/>
      <c r="Y20" s="12"/>
      <c r="Z20" s="12">
        <v>2041</v>
      </c>
      <c r="AA20" s="12"/>
      <c r="AC20" s="12"/>
      <c r="AK20" s="1" t="s">
        <v>282</v>
      </c>
      <c r="AQ20" s="12" t="s">
        <v>394</v>
      </c>
    </row>
    <row r="21" spans="2:43" ht="38.25" x14ac:dyDescent="0.2">
      <c r="B21" s="11" t="s">
        <v>481</v>
      </c>
      <c r="C21" s="2"/>
      <c r="D21" s="2"/>
      <c r="E21" s="12"/>
      <c r="F21" s="12"/>
      <c r="G21" s="12"/>
      <c r="H21" s="12"/>
      <c r="I21" s="12"/>
      <c r="J21" s="12"/>
      <c r="K21" s="12" t="s">
        <v>551</v>
      </c>
      <c r="L21" s="11" t="s">
        <v>320</v>
      </c>
      <c r="M21" s="2" t="str">
        <f t="shared" si="0"/>
        <v>Ен-Яхинское.Неоком..I</v>
      </c>
      <c r="N21" s="2" t="s">
        <v>192</v>
      </c>
      <c r="O21" s="2" t="str">
        <f t="shared" si="1"/>
        <v>Ен-Яхинское.Неоком.МУПН</v>
      </c>
      <c r="P21" s="2" t="s">
        <v>450</v>
      </c>
      <c r="Q21" s="2" t="str">
        <f t="shared" si="2"/>
        <v>Ен-Яхинское.Неоком</v>
      </c>
      <c r="R21" s="18" t="s">
        <v>37</v>
      </c>
      <c r="S21" s="19" t="s">
        <v>74</v>
      </c>
      <c r="T21" s="20" t="s">
        <v>71</v>
      </c>
      <c r="U21" s="25" t="s">
        <v>75</v>
      </c>
      <c r="V21" t="s">
        <v>169</v>
      </c>
      <c r="W21" t="s">
        <v>76</v>
      </c>
      <c r="X21"/>
      <c r="Y21" s="12"/>
      <c r="Z21" s="12">
        <v>2042</v>
      </c>
      <c r="AA21" s="12"/>
      <c r="AC21" s="12"/>
      <c r="AK21" s="1" t="s">
        <v>295</v>
      </c>
      <c r="AQ21" s="12" t="s">
        <v>395</v>
      </c>
    </row>
    <row r="22" spans="2:43" ht="25.5" x14ac:dyDescent="0.2">
      <c r="B22" s="11" t="s">
        <v>482</v>
      </c>
      <c r="C22" s="2"/>
      <c r="D22" s="2"/>
      <c r="E22" s="12"/>
      <c r="F22" s="12"/>
      <c r="G22" s="12"/>
      <c r="H22" s="12"/>
      <c r="I22" s="12"/>
      <c r="J22" s="12"/>
      <c r="K22" s="12" t="s">
        <v>556</v>
      </c>
      <c r="L22" s="11" t="s">
        <v>321</v>
      </c>
      <c r="M22" s="2" t="str">
        <f t="shared" si="0"/>
        <v>Ен-Яхинское.Неоком.. II</v>
      </c>
      <c r="N22" s="2" t="s">
        <v>193</v>
      </c>
      <c r="O22" s="2" t="str">
        <f t="shared" si="1"/>
        <v>Ен-Яхинское.Неоком.УКПГ-11В</v>
      </c>
      <c r="P22" s="2" t="s">
        <v>451</v>
      </c>
      <c r="Q22" s="2" t="str">
        <f t="shared" si="2"/>
        <v>Ен-Яхинское.Неоком</v>
      </c>
      <c r="R22" s="21" t="s">
        <v>37</v>
      </c>
      <c r="S22" s="22" t="s">
        <v>77</v>
      </c>
      <c r="T22" s="23" t="s">
        <v>78</v>
      </c>
      <c r="U22" s="24" t="s">
        <v>75</v>
      </c>
      <c r="V22" t="s">
        <v>169</v>
      </c>
      <c r="W22" t="s">
        <v>76</v>
      </c>
      <c r="X22"/>
      <c r="Y22" s="12"/>
      <c r="Z22" s="12">
        <v>2043</v>
      </c>
      <c r="AA22" s="12"/>
      <c r="AC22" s="12"/>
      <c r="AK22" s="1" t="s">
        <v>296</v>
      </c>
      <c r="AQ22" s="12" t="s">
        <v>396</v>
      </c>
    </row>
    <row r="23" spans="2:43" ht="25.5" x14ac:dyDescent="0.2">
      <c r="B23" s="11" t="s">
        <v>483</v>
      </c>
      <c r="C23" s="2"/>
      <c r="D23" s="2"/>
      <c r="E23" s="12"/>
      <c r="F23" s="12"/>
      <c r="G23" s="12"/>
      <c r="H23" s="12"/>
      <c r="I23" s="12"/>
      <c r="J23" s="12"/>
      <c r="K23" s="12" t="s">
        <v>557</v>
      </c>
      <c r="L23" s="11" t="s">
        <v>322</v>
      </c>
      <c r="M23" s="2" t="str">
        <f t="shared" si="0"/>
        <v>Ен-Яхинское.Неоком..III</v>
      </c>
      <c r="N23" s="2" t="s">
        <v>194</v>
      </c>
      <c r="O23" s="2" t="str">
        <f t="shared" si="1"/>
        <v>Ен-Яхинское.Неоком.УКПГ-11В</v>
      </c>
      <c r="P23" s="2" t="s">
        <v>452</v>
      </c>
      <c r="Q23" s="2" t="str">
        <f t="shared" si="2"/>
        <v>Ен-Яхинское.Неоком</v>
      </c>
      <c r="R23" s="18" t="s">
        <v>37</v>
      </c>
      <c r="S23" s="19" t="s">
        <v>77</v>
      </c>
      <c r="T23" s="20" t="s">
        <v>79</v>
      </c>
      <c r="U23" s="25" t="s">
        <v>80</v>
      </c>
      <c r="V23" t="s">
        <v>170</v>
      </c>
      <c r="W23" t="s">
        <v>76</v>
      </c>
      <c r="X23"/>
      <c r="Y23" s="12"/>
      <c r="Z23" s="12">
        <v>2044</v>
      </c>
      <c r="AA23" s="12"/>
      <c r="AC23" s="12"/>
      <c r="AK23" s="1" t="s">
        <v>288</v>
      </c>
      <c r="AQ23" s="12" t="s">
        <v>397</v>
      </c>
    </row>
    <row r="24" spans="2:43" ht="25.5" x14ac:dyDescent="0.2">
      <c r="B24" s="11" t="s">
        <v>484</v>
      </c>
      <c r="C24" s="2"/>
      <c r="D24" s="2"/>
      <c r="E24" s="12"/>
      <c r="F24" s="12"/>
      <c r="G24" s="12"/>
      <c r="H24" s="12"/>
      <c r="I24" s="12"/>
      <c r="J24" s="12"/>
      <c r="K24" s="12" t="s">
        <v>558</v>
      </c>
      <c r="L24" s="11" t="s">
        <v>323</v>
      </c>
      <c r="M24" s="2" t="str">
        <f t="shared" si="0"/>
        <v>Ен-Яхинское.Неоком..IV</v>
      </c>
      <c r="N24" s="2" t="s">
        <v>195</v>
      </c>
      <c r="O24" s="2" t="str">
        <f t="shared" si="1"/>
        <v>Ен-Яхинское.Неоком.УКПГ-11В</v>
      </c>
      <c r="P24" s="2" t="s">
        <v>453</v>
      </c>
      <c r="Q24" s="2" t="str">
        <f t="shared" si="2"/>
        <v>Ен-Яхинское.Неоком</v>
      </c>
      <c r="R24" s="21" t="s">
        <v>37</v>
      </c>
      <c r="S24" s="22" t="s">
        <v>77</v>
      </c>
      <c r="T24" s="23" t="s">
        <v>81</v>
      </c>
      <c r="U24" s="24" t="s">
        <v>80</v>
      </c>
      <c r="V24" t="s">
        <v>170</v>
      </c>
      <c r="W24" t="s">
        <v>76</v>
      </c>
      <c r="X24"/>
      <c r="Y24" s="12"/>
      <c r="Z24" s="12">
        <v>2045</v>
      </c>
      <c r="AA24" s="12"/>
      <c r="AC24" s="12"/>
      <c r="AK24" s="1" t="s">
        <v>297</v>
      </c>
      <c r="AQ24" s="12" t="s">
        <v>398</v>
      </c>
    </row>
    <row r="25" spans="2:43" ht="25.5" x14ac:dyDescent="0.2">
      <c r="B25" s="11" t="s">
        <v>485</v>
      </c>
      <c r="C25" s="2"/>
      <c r="D25" s="2"/>
      <c r="E25" s="12"/>
      <c r="F25" s="12"/>
      <c r="G25" s="12"/>
      <c r="H25" s="12"/>
      <c r="I25" s="12"/>
      <c r="J25" s="12"/>
      <c r="K25" s="12" t="s">
        <v>559</v>
      </c>
      <c r="L25" s="11" t="s">
        <v>324</v>
      </c>
      <c r="M25" s="2" t="str">
        <f t="shared" si="0"/>
        <v>Ен-Яхинское.Неоком..IV</v>
      </c>
      <c r="N25" s="2" t="s">
        <v>196</v>
      </c>
      <c r="O25" s="2" t="str">
        <f t="shared" si="1"/>
        <v>Ен-Яхинское.Неоком.МУПН</v>
      </c>
      <c r="P25" s="2" t="s">
        <v>454</v>
      </c>
      <c r="Q25" s="2" t="str">
        <f t="shared" si="2"/>
        <v>Ен-Яхинское.Неоком</v>
      </c>
      <c r="R25" s="18" t="s">
        <v>37</v>
      </c>
      <c r="S25" s="19" t="s">
        <v>74</v>
      </c>
      <c r="T25" s="20" t="s">
        <v>81</v>
      </c>
      <c r="U25" s="24" t="s">
        <v>80</v>
      </c>
      <c r="V25" t="s">
        <v>170</v>
      </c>
      <c r="W25" t="s">
        <v>76</v>
      </c>
      <c r="X25"/>
      <c r="Y25" s="12"/>
      <c r="Z25" s="12">
        <v>2046</v>
      </c>
      <c r="AA25" s="12"/>
      <c r="AC25" s="12"/>
      <c r="AK25" s="1" t="s">
        <v>298</v>
      </c>
      <c r="AQ25" s="12" t="s">
        <v>399</v>
      </c>
    </row>
    <row r="26" spans="2:43" ht="25.5" x14ac:dyDescent="0.2">
      <c r="B26" s="11" t="s">
        <v>486</v>
      </c>
      <c r="C26" s="2"/>
      <c r="D26" s="2"/>
      <c r="E26" s="12"/>
      <c r="F26" s="12"/>
      <c r="G26" s="12"/>
      <c r="H26" s="12"/>
      <c r="I26" s="12"/>
      <c r="J26" s="12"/>
      <c r="K26" s="12" t="s">
        <v>560</v>
      </c>
      <c r="L26" s="11" t="s">
        <v>325</v>
      </c>
      <c r="M26" s="2" t="str">
        <f t="shared" si="0"/>
        <v>Еты-Пуровское.Сеноман..I</v>
      </c>
      <c r="N26" s="2" t="s">
        <v>197</v>
      </c>
      <c r="O26" s="2" t="str">
        <f t="shared" si="1"/>
        <v>Еты-Пуровское.Сеноман.УППГ</v>
      </c>
      <c r="P26" s="2" t="s">
        <v>455</v>
      </c>
      <c r="Q26" s="2" t="str">
        <f t="shared" si="2"/>
        <v>Еты-Пуровское.Сеноман</v>
      </c>
      <c r="R26" s="21" t="s">
        <v>38</v>
      </c>
      <c r="S26" s="22" t="s">
        <v>73</v>
      </c>
      <c r="T26" s="23" t="s">
        <v>71</v>
      </c>
      <c r="U26" s="25" t="s">
        <v>59</v>
      </c>
      <c r="V26" t="s">
        <v>72</v>
      </c>
      <c r="W26" t="s">
        <v>72</v>
      </c>
      <c r="X26"/>
      <c r="Y26" s="12"/>
      <c r="Z26" s="12">
        <v>2047</v>
      </c>
      <c r="AA26" s="12"/>
      <c r="AC26" s="12"/>
      <c r="AK26" s="1" t="s">
        <v>289</v>
      </c>
      <c r="AQ26" s="12" t="s">
        <v>400</v>
      </c>
    </row>
    <row r="27" spans="2:43" ht="25.5" x14ac:dyDescent="0.2">
      <c r="B27" s="11" t="s">
        <v>487</v>
      </c>
      <c r="C27" s="2"/>
      <c r="D27" s="2"/>
      <c r="E27" s="12"/>
      <c r="F27" s="12"/>
      <c r="G27" s="12"/>
      <c r="H27" s="12"/>
      <c r="I27" s="12"/>
      <c r="J27" s="12"/>
      <c r="K27" s="12" t="s">
        <v>561</v>
      </c>
      <c r="L27" s="11" t="s">
        <v>326</v>
      </c>
      <c r="M27" s="2" t="str">
        <f t="shared" si="0"/>
        <v>Западно-Таркосалинское.Неоком..II</v>
      </c>
      <c r="N27" s="2" t="s">
        <v>198</v>
      </c>
      <c r="O27" s="2" t="str">
        <f t="shared" si="1"/>
        <v>Западно-Таркосалинское.Неоком.УКПГиК</v>
      </c>
      <c r="P27" s="2" t="s">
        <v>456</v>
      </c>
      <c r="Q27" s="2" t="str">
        <f t="shared" si="2"/>
        <v>Западно-Таркосалинское.Неоком</v>
      </c>
      <c r="R27" s="18" t="s">
        <v>39</v>
      </c>
      <c r="S27" s="19" t="s">
        <v>82</v>
      </c>
      <c r="T27" s="20" t="s">
        <v>83</v>
      </c>
      <c r="U27" s="25" t="s">
        <v>84</v>
      </c>
      <c r="V27" t="s">
        <v>171</v>
      </c>
      <c r="W27" t="s">
        <v>76</v>
      </c>
      <c r="X27"/>
      <c r="Y27" s="12"/>
      <c r="Z27" s="12">
        <v>2048</v>
      </c>
      <c r="AA27" s="12"/>
      <c r="AC27" s="12"/>
      <c r="AK27" s="1" t="s">
        <v>299</v>
      </c>
      <c r="AQ27" s="12" t="s">
        <v>401</v>
      </c>
    </row>
    <row r="28" spans="2:43" ht="25.5" x14ac:dyDescent="0.2">
      <c r="B28" s="11" t="s">
        <v>488</v>
      </c>
      <c r="C28" s="2"/>
      <c r="D28" s="2"/>
      <c r="E28" s="12"/>
      <c r="F28" s="12"/>
      <c r="G28" s="12"/>
      <c r="H28" s="12"/>
      <c r="I28" s="12"/>
      <c r="J28" s="12"/>
      <c r="K28" s="1" t="s">
        <v>562</v>
      </c>
      <c r="L28" s="11" t="s">
        <v>327</v>
      </c>
      <c r="M28" s="2" t="str">
        <f t="shared" si="0"/>
        <v>Западно-Таркосалинское.Неоком..II</v>
      </c>
      <c r="N28" s="2" t="s">
        <v>199</v>
      </c>
      <c r="O28" s="2" t="str">
        <f t="shared" si="1"/>
        <v>Западно-Таркосалинское.Неоком.УКПГиК</v>
      </c>
      <c r="P28" s="2" t="s">
        <v>457</v>
      </c>
      <c r="Q28" s="2" t="str">
        <f t="shared" si="2"/>
        <v>Западно-Таркосалинское.Неоком</v>
      </c>
      <c r="R28" s="21" t="s">
        <v>39</v>
      </c>
      <c r="S28" s="22" t="s">
        <v>82</v>
      </c>
      <c r="T28" s="23" t="s">
        <v>83</v>
      </c>
      <c r="U28" s="24" t="s">
        <v>69</v>
      </c>
      <c r="V28" t="s">
        <v>168</v>
      </c>
      <c r="W28" t="s">
        <v>76</v>
      </c>
      <c r="X28"/>
      <c r="Y28" s="12"/>
      <c r="Z28" s="12">
        <v>2049</v>
      </c>
      <c r="AA28" s="12"/>
      <c r="AK28" s="1" t="s">
        <v>295</v>
      </c>
      <c r="AQ28" s="12" t="s">
        <v>402</v>
      </c>
    </row>
    <row r="29" spans="2:43" ht="25.5" x14ac:dyDescent="0.2">
      <c r="B29" s="11" t="s">
        <v>489</v>
      </c>
      <c r="C29" s="2"/>
      <c r="D29" s="2"/>
      <c r="E29" s="12"/>
      <c r="F29" s="12"/>
      <c r="G29" s="12"/>
      <c r="H29" s="12"/>
      <c r="I29" s="12"/>
      <c r="J29" s="12"/>
      <c r="K29" s="1" t="s">
        <v>36</v>
      </c>
      <c r="L29" s="11" t="s">
        <v>328</v>
      </c>
      <c r="M29" s="2" t="str">
        <f t="shared" si="0"/>
        <v>Западно-Таркосалинское.Неоком..II</v>
      </c>
      <c r="N29" s="2" t="s">
        <v>200</v>
      </c>
      <c r="O29" s="2" t="str">
        <f t="shared" si="1"/>
        <v>Западно-Таркосалинское.Неоком.УКПГиК</v>
      </c>
      <c r="P29"/>
      <c r="Q29" s="2" t="str">
        <f t="shared" si="2"/>
        <v>Западно-Таркосалинское.Неоком</v>
      </c>
      <c r="R29" s="18" t="s">
        <v>39</v>
      </c>
      <c r="S29" s="19" t="s">
        <v>82</v>
      </c>
      <c r="T29" s="20" t="s">
        <v>83</v>
      </c>
      <c r="U29" s="25" t="s">
        <v>63</v>
      </c>
      <c r="V29" t="s">
        <v>167</v>
      </c>
      <c r="W29" t="s">
        <v>76</v>
      </c>
      <c r="X29"/>
      <c r="Y29" s="12"/>
      <c r="Z29" s="12">
        <v>2050</v>
      </c>
      <c r="AA29" s="12"/>
      <c r="AK29" s="1" t="s">
        <v>300</v>
      </c>
      <c r="AQ29" s="12" t="s">
        <v>403</v>
      </c>
    </row>
    <row r="30" spans="2:43" ht="25.5" x14ac:dyDescent="0.2">
      <c r="B30" s="11" t="s">
        <v>490</v>
      </c>
      <c r="C30" s="10"/>
      <c r="D30" s="10"/>
      <c r="K30" s="1" t="s">
        <v>563</v>
      </c>
      <c r="L30" s="11" t="s">
        <v>329</v>
      </c>
      <c r="M30" s="2" t="str">
        <f t="shared" si="0"/>
        <v>Западно-Таркосалинское.Неоком..IV</v>
      </c>
      <c r="N30" s="2" t="s">
        <v>201</v>
      </c>
      <c r="O30" s="2" t="str">
        <f t="shared" si="1"/>
        <v>Западно-Таркосалинское.Неоком.УКПГиК</v>
      </c>
      <c r="P30"/>
      <c r="Q30" s="2" t="str">
        <f t="shared" si="2"/>
        <v>Западно-Таркосалинское.Неоком</v>
      </c>
      <c r="R30" s="21" t="s">
        <v>39</v>
      </c>
      <c r="S30" s="22" t="s">
        <v>82</v>
      </c>
      <c r="T30" s="23" t="s">
        <v>81</v>
      </c>
      <c r="U30" s="25" t="s">
        <v>80</v>
      </c>
      <c r="V30" t="s">
        <v>170</v>
      </c>
      <c r="W30" t="s">
        <v>76</v>
      </c>
      <c r="X30"/>
      <c r="Z30" s="12">
        <v>2051</v>
      </c>
      <c r="AK30" s="1" t="s">
        <v>297</v>
      </c>
      <c r="AQ30" s="12" t="s">
        <v>404</v>
      </c>
    </row>
    <row r="31" spans="2:43" ht="25.5" x14ac:dyDescent="0.2">
      <c r="B31" s="11" t="s">
        <v>491</v>
      </c>
      <c r="C31" s="10"/>
      <c r="D31" s="10"/>
      <c r="K31" s="1" t="s">
        <v>564</v>
      </c>
      <c r="L31" s="11" t="s">
        <v>330</v>
      </c>
      <c r="M31" s="2" t="str">
        <f t="shared" si="0"/>
        <v>Западно-Таркосалинское.Неоком..IV</v>
      </c>
      <c r="N31" s="2" t="s">
        <v>202</v>
      </c>
      <c r="O31" s="2" t="str">
        <f t="shared" si="1"/>
        <v>Западно-Таркосалинское.Неоком.УКПГиК</v>
      </c>
      <c r="P31"/>
      <c r="Q31" s="2" t="str">
        <f t="shared" si="2"/>
        <v>Западно-Таркосалинское.Неоком</v>
      </c>
      <c r="R31" s="18" t="s">
        <v>39</v>
      </c>
      <c r="S31" s="19" t="s">
        <v>82</v>
      </c>
      <c r="T31" s="20" t="s">
        <v>81</v>
      </c>
      <c r="U31" s="25" t="s">
        <v>80</v>
      </c>
      <c r="V31" t="s">
        <v>170</v>
      </c>
      <c r="W31" t="s">
        <v>76</v>
      </c>
      <c r="X31"/>
      <c r="Z31" s="12">
        <v>2052</v>
      </c>
      <c r="AK31" s="1" t="s">
        <v>301</v>
      </c>
      <c r="AQ31" s="12" t="s">
        <v>405</v>
      </c>
    </row>
    <row r="32" spans="2:43" ht="25.5" x14ac:dyDescent="0.2">
      <c r="B32" s="11" t="s">
        <v>492</v>
      </c>
      <c r="C32" s="10"/>
      <c r="D32" s="10"/>
      <c r="K32"/>
      <c r="L32" s="11" t="s">
        <v>331</v>
      </c>
      <c r="M32" s="2" t="str">
        <f t="shared" si="0"/>
        <v>Западно-Таркосалинское.Неоком..VI</v>
      </c>
      <c r="N32" s="2" t="s">
        <v>203</v>
      </c>
      <c r="O32" s="2" t="str">
        <f t="shared" si="1"/>
        <v>Западно-Таркосалинское.Неоком.УКПГиК</v>
      </c>
      <c r="P32"/>
      <c r="Q32" s="2" t="str">
        <f t="shared" si="2"/>
        <v>Западно-Таркосалинское.Неоком</v>
      </c>
      <c r="R32" s="21" t="s">
        <v>39</v>
      </c>
      <c r="S32" s="22" t="s">
        <v>82</v>
      </c>
      <c r="T32" s="23" t="s">
        <v>85</v>
      </c>
      <c r="U32" s="24" t="s">
        <v>80</v>
      </c>
      <c r="V32" t="s">
        <v>170</v>
      </c>
      <c r="W32" t="s">
        <v>76</v>
      </c>
      <c r="X32"/>
      <c r="Z32" s="12">
        <v>2053</v>
      </c>
      <c r="AK32" s="1" t="s">
        <v>294</v>
      </c>
      <c r="AQ32" s="12" t="s">
        <v>406</v>
      </c>
    </row>
    <row r="33" spans="2:43" ht="25.5" x14ac:dyDescent="0.2">
      <c r="B33" s="11" t="s">
        <v>493</v>
      </c>
      <c r="C33" s="10"/>
      <c r="D33" s="10"/>
      <c r="K33"/>
      <c r="L33" s="11" t="s">
        <v>332</v>
      </c>
      <c r="M33" s="2" t="str">
        <f t="shared" si="0"/>
        <v>Западно-Таркосалинское.Неоком..VI</v>
      </c>
      <c r="N33" s="2" t="s">
        <v>204</v>
      </c>
      <c r="O33" s="2" t="str">
        <f t="shared" si="1"/>
        <v>Западно-Таркосалинское.Неоком.УКПГиК</v>
      </c>
      <c r="P33"/>
      <c r="Q33" s="2" t="str">
        <f t="shared" si="2"/>
        <v>Западно-Таркосалинское.Неоком</v>
      </c>
      <c r="R33" s="18" t="s">
        <v>39</v>
      </c>
      <c r="S33" s="19" t="s">
        <v>82</v>
      </c>
      <c r="T33" s="20" t="s">
        <v>85</v>
      </c>
      <c r="U33" s="24" t="s">
        <v>80</v>
      </c>
      <c r="V33" t="s">
        <v>170</v>
      </c>
      <c r="W33" t="s">
        <v>76</v>
      </c>
      <c r="X33"/>
      <c r="Z33" s="12">
        <v>2054</v>
      </c>
      <c r="AQ33" s="12" t="s">
        <v>407</v>
      </c>
    </row>
    <row r="34" spans="2:43" ht="25.5" x14ac:dyDescent="0.2">
      <c r="B34" s="11" t="s">
        <v>494</v>
      </c>
      <c r="C34" s="10"/>
      <c r="D34" s="10"/>
      <c r="K34"/>
      <c r="L34" s="11" t="s">
        <v>333</v>
      </c>
      <c r="M34" s="2" t="str">
        <f t="shared" si="0"/>
        <v>Западно-Таркосалинское.Неоком..VII</v>
      </c>
      <c r="N34" s="2" t="s">
        <v>205</v>
      </c>
      <c r="O34" s="2" t="str">
        <f t="shared" si="1"/>
        <v>Западно-Таркосалинское.Неоком.УКПГиК</v>
      </c>
      <c r="P34"/>
      <c r="Q34" s="2" t="str">
        <f t="shared" si="2"/>
        <v>Западно-Таркосалинское.Неоком</v>
      </c>
      <c r="R34" s="21" t="s">
        <v>39</v>
      </c>
      <c r="S34" s="22" t="s">
        <v>82</v>
      </c>
      <c r="T34" s="23" t="s">
        <v>86</v>
      </c>
      <c r="U34" s="24" t="s">
        <v>80</v>
      </c>
      <c r="V34" t="s">
        <v>170</v>
      </c>
      <c r="W34" t="s">
        <v>76</v>
      </c>
      <c r="X34"/>
      <c r="Z34" s="12">
        <v>2055</v>
      </c>
      <c r="AQ34" s="12" t="s">
        <v>408</v>
      </c>
    </row>
    <row r="35" spans="2:43" ht="25.5" x14ac:dyDescent="0.2">
      <c r="B35" s="11" t="s">
        <v>495</v>
      </c>
      <c r="C35" s="10"/>
      <c r="D35" s="10"/>
      <c r="K35"/>
      <c r="L35" s="11" t="s">
        <v>334</v>
      </c>
      <c r="M35" s="2" t="str">
        <f t="shared" si="0"/>
        <v>Западно-Таркосалинское.Неоком..VII</v>
      </c>
      <c r="N35" s="2" t="s">
        <v>206</v>
      </c>
      <c r="O35" s="2" t="str">
        <f t="shared" si="1"/>
        <v>Западно-Таркосалинское.Неоком.УКПГиК</v>
      </c>
      <c r="P35"/>
      <c r="Q35" s="2" t="str">
        <f t="shared" si="2"/>
        <v>Западно-Таркосалинское.Неоком</v>
      </c>
      <c r="R35" s="18" t="s">
        <v>39</v>
      </c>
      <c r="S35" s="19" t="s">
        <v>82</v>
      </c>
      <c r="T35" s="20" t="s">
        <v>86</v>
      </c>
      <c r="U35" s="24" t="s">
        <v>80</v>
      </c>
      <c r="V35" t="s">
        <v>170</v>
      </c>
      <c r="W35" t="s">
        <v>76</v>
      </c>
      <c r="X35"/>
      <c r="AQ35" s="12" t="s">
        <v>409</v>
      </c>
    </row>
    <row r="36" spans="2:43" ht="25.5" x14ac:dyDescent="0.2">
      <c r="B36" s="11" t="s">
        <v>489</v>
      </c>
      <c r="C36" s="10"/>
      <c r="D36" s="10"/>
      <c r="K36"/>
      <c r="L36" s="11" t="s">
        <v>335</v>
      </c>
      <c r="M36" s="2" t="str">
        <f t="shared" si="0"/>
        <v>Западно-Таркосалинское.Сеноман..I</v>
      </c>
      <c r="N36" s="2" t="s">
        <v>207</v>
      </c>
      <c r="O36" s="2" t="str">
        <f t="shared" si="1"/>
        <v>Западно-Таркосалинское.Сеноман.УКПГ</v>
      </c>
      <c r="P36"/>
      <c r="Q36" s="2" t="str">
        <f t="shared" si="2"/>
        <v>Западно-Таркосалинское.Сеноман</v>
      </c>
      <c r="R36" s="21" t="s">
        <v>39</v>
      </c>
      <c r="S36" s="22" t="s">
        <v>70</v>
      </c>
      <c r="T36" s="23" t="s">
        <v>71</v>
      </c>
      <c r="U36" s="25" t="s">
        <v>59</v>
      </c>
      <c r="V36" t="s">
        <v>72</v>
      </c>
      <c r="W36" t="s">
        <v>72</v>
      </c>
      <c r="X36"/>
      <c r="AQ36" s="12" t="s">
        <v>410</v>
      </c>
    </row>
    <row r="37" spans="2:43" ht="25.5" x14ac:dyDescent="0.2">
      <c r="B37" s="11" t="s">
        <v>496</v>
      </c>
      <c r="C37" s="10"/>
      <c r="D37" s="10"/>
      <c r="K37"/>
      <c r="L37" s="11" t="s">
        <v>336</v>
      </c>
      <c r="M37" s="2" t="str">
        <f t="shared" si="0"/>
        <v>Заполярное.Неоком..1</v>
      </c>
      <c r="N37" s="2" t="s">
        <v>208</v>
      </c>
      <c r="O37" s="2" t="str">
        <f t="shared" si="1"/>
        <v>Заполярное.Неоком.УКПГ-1В</v>
      </c>
      <c r="P37"/>
      <c r="Q37" s="2" t="str">
        <f t="shared" si="2"/>
        <v>Заполярное.Неоком</v>
      </c>
      <c r="R37" s="18" t="s">
        <v>40</v>
      </c>
      <c r="S37" s="19" t="s">
        <v>87</v>
      </c>
      <c r="T37" s="20">
        <v>1</v>
      </c>
      <c r="U37" s="25" t="s">
        <v>84</v>
      </c>
      <c r="V37" t="s">
        <v>171</v>
      </c>
      <c r="W37" t="s">
        <v>76</v>
      </c>
      <c r="X37"/>
      <c r="AQ37" s="12" t="s">
        <v>411</v>
      </c>
    </row>
    <row r="38" spans="2:43" ht="25.5" x14ac:dyDescent="0.2">
      <c r="B38" s="11" t="s">
        <v>497</v>
      </c>
      <c r="C38" s="10"/>
      <c r="D38" s="10"/>
      <c r="K38"/>
      <c r="L38" s="11" t="s">
        <v>337</v>
      </c>
      <c r="M38" s="2" t="str">
        <f t="shared" si="0"/>
        <v>Заполярное.Неоком..1</v>
      </c>
      <c r="N38" s="2" t="s">
        <v>209</v>
      </c>
      <c r="O38" s="2" t="str">
        <f t="shared" si="1"/>
        <v>Заполярное.Неоком.УКПГ-2В</v>
      </c>
      <c r="P38"/>
      <c r="Q38" s="2" t="str">
        <f t="shared" si="2"/>
        <v>Заполярное.Неоком</v>
      </c>
      <c r="R38" s="21" t="s">
        <v>40</v>
      </c>
      <c r="S38" s="22" t="s">
        <v>88</v>
      </c>
      <c r="T38" s="23">
        <v>1</v>
      </c>
      <c r="U38" s="25" t="s">
        <v>84</v>
      </c>
      <c r="V38" t="s">
        <v>171</v>
      </c>
      <c r="W38" t="s">
        <v>76</v>
      </c>
      <c r="X38"/>
      <c r="AQ38" s="12" t="s">
        <v>412</v>
      </c>
    </row>
    <row r="39" spans="2:43" ht="25.5" x14ac:dyDescent="0.2">
      <c r="B39" s="11" t="s">
        <v>498</v>
      </c>
      <c r="C39" s="10"/>
      <c r="D39" s="10"/>
      <c r="K39"/>
      <c r="L39" s="11" t="s">
        <v>338</v>
      </c>
      <c r="M39" s="2" t="str">
        <f t="shared" si="0"/>
        <v>Заполярное.Неоком..2</v>
      </c>
      <c r="N39" s="2" t="s">
        <v>210</v>
      </c>
      <c r="O39" s="2" t="str">
        <f t="shared" si="1"/>
        <v>Заполярное.Неоком.УКПГ-1В</v>
      </c>
      <c r="P39"/>
      <c r="Q39" s="2" t="str">
        <f t="shared" si="2"/>
        <v>Заполярное.Неоком</v>
      </c>
      <c r="R39" s="18" t="s">
        <v>40</v>
      </c>
      <c r="S39" s="19" t="s">
        <v>87</v>
      </c>
      <c r="T39" s="20">
        <v>2</v>
      </c>
      <c r="U39" s="25" t="s">
        <v>80</v>
      </c>
      <c r="V39" t="s">
        <v>170</v>
      </c>
      <c r="W39" t="s">
        <v>76</v>
      </c>
      <c r="X39"/>
      <c r="AQ39" s="12" t="s">
        <v>413</v>
      </c>
    </row>
    <row r="40" spans="2:43" ht="25.5" x14ac:dyDescent="0.2">
      <c r="B40" s="11" t="s">
        <v>499</v>
      </c>
      <c r="C40" s="10"/>
      <c r="D40" s="10"/>
      <c r="K40"/>
      <c r="L40" s="11" t="s">
        <v>339</v>
      </c>
      <c r="M40" s="2" t="str">
        <f t="shared" si="0"/>
        <v>Заполярное.Неоком..2</v>
      </c>
      <c r="N40" s="2" t="s">
        <v>211</v>
      </c>
      <c r="O40" s="2" t="str">
        <f t="shared" si="1"/>
        <v>Заполярное.Неоком.УКПГ-2В</v>
      </c>
      <c r="P40"/>
      <c r="Q40" s="2" t="str">
        <f t="shared" si="2"/>
        <v>Заполярное.Неоком</v>
      </c>
      <c r="R40" s="21" t="s">
        <v>40</v>
      </c>
      <c r="S40" s="22" t="s">
        <v>88</v>
      </c>
      <c r="T40" s="23">
        <v>2</v>
      </c>
      <c r="U40" s="25" t="s">
        <v>80</v>
      </c>
      <c r="V40" t="s">
        <v>170</v>
      </c>
      <c r="W40" t="s">
        <v>76</v>
      </c>
      <c r="X40"/>
      <c r="AQ40" s="12" t="s">
        <v>414</v>
      </c>
    </row>
    <row r="41" spans="2:43" ht="38.25" x14ac:dyDescent="0.2">
      <c r="B41" s="11" t="s">
        <v>500</v>
      </c>
      <c r="C41" s="10"/>
      <c r="D41" s="10"/>
      <c r="K41"/>
      <c r="L41" s="11" t="s">
        <v>340</v>
      </c>
      <c r="M41" s="2" t="str">
        <f t="shared" si="0"/>
        <v>Заполярное.Неоком..2</v>
      </c>
      <c r="N41" s="2" t="s">
        <v>212</v>
      </c>
      <c r="O41" s="2" t="str">
        <f t="shared" si="1"/>
        <v>Заполярное.Неоком.Участок ОПР нефтяной оторочки пласта БТ100 Газпром нефть</v>
      </c>
      <c r="P41"/>
      <c r="Q41" s="2" t="str">
        <f t="shared" si="2"/>
        <v>Заполярное.Неоком</v>
      </c>
      <c r="R41" s="18" t="s">
        <v>40</v>
      </c>
      <c r="S41" s="19" t="s">
        <v>89</v>
      </c>
      <c r="T41" s="20">
        <v>2</v>
      </c>
      <c r="U41" s="25" t="s">
        <v>80</v>
      </c>
      <c r="V41" t="s">
        <v>170</v>
      </c>
      <c r="W41" t="s">
        <v>76</v>
      </c>
      <c r="X41"/>
      <c r="AQ41" s="12" t="s">
        <v>415</v>
      </c>
    </row>
    <row r="42" spans="2:43" ht="25.5" x14ac:dyDescent="0.2">
      <c r="B42" s="11" t="s">
        <v>501</v>
      </c>
      <c r="C42" s="10"/>
      <c r="D42" s="10"/>
      <c r="K42"/>
      <c r="L42" s="11" t="s">
        <v>341</v>
      </c>
      <c r="M42" s="2" t="str">
        <f t="shared" si="0"/>
        <v>Заполярное.Сеноман..ПК1</v>
      </c>
      <c r="N42" s="2" t="s">
        <v>213</v>
      </c>
      <c r="O42" s="2" t="str">
        <f t="shared" si="1"/>
        <v>Заполярное.Сеноман.УКПГ-1С</v>
      </c>
      <c r="P42"/>
      <c r="Q42" s="2" t="str">
        <f t="shared" si="2"/>
        <v>Заполярное.Сеноман</v>
      </c>
      <c r="R42" s="21" t="s">
        <v>40</v>
      </c>
      <c r="S42" s="22" t="s">
        <v>90</v>
      </c>
      <c r="T42" s="23" t="s">
        <v>58</v>
      </c>
      <c r="U42" t="s">
        <v>59</v>
      </c>
      <c r="V42" t="s">
        <v>72</v>
      </c>
      <c r="W42" t="s">
        <v>72</v>
      </c>
      <c r="X42"/>
      <c r="AQ42" s="12" t="s">
        <v>416</v>
      </c>
    </row>
    <row r="43" spans="2:43" ht="25.5" x14ac:dyDescent="0.2">
      <c r="B43" s="11" t="s">
        <v>502</v>
      </c>
      <c r="C43" s="10"/>
      <c r="D43" s="10"/>
      <c r="K43"/>
      <c r="L43" s="11" t="s">
        <v>342</v>
      </c>
      <c r="M43" s="2" t="str">
        <f t="shared" si="0"/>
        <v>Заполярное.Сеноман..ПК1</v>
      </c>
      <c r="N43" s="2" t="s">
        <v>214</v>
      </c>
      <c r="O43" s="2" t="str">
        <f t="shared" si="1"/>
        <v>Заполярное.Сеноман.УКПГ-2С</v>
      </c>
      <c r="P43"/>
      <c r="Q43" s="2" t="str">
        <f t="shared" si="2"/>
        <v>Заполярное.Сеноман</v>
      </c>
      <c r="R43" s="18" t="s">
        <v>40</v>
      </c>
      <c r="S43" s="19" t="s">
        <v>91</v>
      </c>
      <c r="T43" s="20" t="s">
        <v>58</v>
      </c>
      <c r="U43" t="s">
        <v>59</v>
      </c>
      <c r="V43" t="s">
        <v>72</v>
      </c>
      <c r="W43" t="s">
        <v>72</v>
      </c>
      <c r="X43"/>
      <c r="AQ43" s="12" t="s">
        <v>417</v>
      </c>
    </row>
    <row r="44" spans="2:43" ht="25.5" x14ac:dyDescent="0.2">
      <c r="B44" s="11" t="s">
        <v>503</v>
      </c>
      <c r="C44" s="10"/>
      <c r="D44" s="10"/>
      <c r="K44"/>
      <c r="L44" s="11" t="s">
        <v>343</v>
      </c>
      <c r="M44" s="2" t="str">
        <f t="shared" si="0"/>
        <v>Заполярное.Сеноман..ПК1</v>
      </c>
      <c r="N44" s="2" t="s">
        <v>215</v>
      </c>
      <c r="O44" s="2" t="str">
        <f t="shared" si="1"/>
        <v>Заполярное.Сеноман.УКПГ-3С</v>
      </c>
      <c r="P44"/>
      <c r="Q44" s="2" t="str">
        <f t="shared" si="2"/>
        <v>Заполярное.Сеноман</v>
      </c>
      <c r="R44" s="21" t="s">
        <v>40</v>
      </c>
      <c r="S44" s="22" t="s">
        <v>92</v>
      </c>
      <c r="T44" s="23" t="s">
        <v>58</v>
      </c>
      <c r="U44" t="s">
        <v>59</v>
      </c>
      <c r="V44" t="s">
        <v>72</v>
      </c>
      <c r="W44" t="s">
        <v>72</v>
      </c>
      <c r="X44"/>
      <c r="AQ44" s="12" t="s">
        <v>418</v>
      </c>
    </row>
    <row r="45" spans="2:43" ht="25.5" x14ac:dyDescent="0.2">
      <c r="B45" s="11" t="s">
        <v>504</v>
      </c>
      <c r="C45" s="10"/>
      <c r="D45" s="10"/>
      <c r="K45"/>
      <c r="L45" s="11" t="s">
        <v>344</v>
      </c>
      <c r="M45" s="2" t="str">
        <f t="shared" si="0"/>
        <v>Комсомольское.Сеноман..I</v>
      </c>
      <c r="N45" s="2" t="s">
        <v>216</v>
      </c>
      <c r="O45" s="2" t="str">
        <f t="shared" si="1"/>
        <v>Комсомольское.Сеноман.УКПГ</v>
      </c>
      <c r="P45"/>
      <c r="Q45" s="2" t="str">
        <f t="shared" si="2"/>
        <v>Комсомольское.Сеноман</v>
      </c>
      <c r="R45" s="18" t="s">
        <v>41</v>
      </c>
      <c r="S45" s="19" t="s">
        <v>70</v>
      </c>
      <c r="T45" s="20" t="s">
        <v>71</v>
      </c>
      <c r="U45" t="s">
        <v>59</v>
      </c>
      <c r="V45" t="s">
        <v>72</v>
      </c>
      <c r="W45" t="s">
        <v>72</v>
      </c>
      <c r="X45"/>
      <c r="AQ45" s="12" t="s">
        <v>419</v>
      </c>
    </row>
    <row r="46" spans="2:43" ht="25.5" x14ac:dyDescent="0.2">
      <c r="B46" s="11" t="s">
        <v>505</v>
      </c>
      <c r="C46" s="10"/>
      <c r="D46" s="10"/>
      <c r="K46"/>
      <c r="L46" s="11" t="s">
        <v>345</v>
      </c>
      <c r="M46" s="2" t="str">
        <f t="shared" si="0"/>
        <v>Комсомольское.Сеноман..I</v>
      </c>
      <c r="N46" s="2" t="s">
        <v>217</v>
      </c>
      <c r="O46" s="2" t="str">
        <f t="shared" si="1"/>
        <v>Комсомольское.Сеноман.УППГ СК</v>
      </c>
      <c r="P46"/>
      <c r="Q46" s="2" t="str">
        <f t="shared" si="2"/>
        <v>Комсомольское.Сеноман</v>
      </c>
      <c r="R46" s="21" t="s">
        <v>41</v>
      </c>
      <c r="S46" s="22" t="s">
        <v>93</v>
      </c>
      <c r="T46" s="23" t="s">
        <v>71</v>
      </c>
      <c r="U46" t="s">
        <v>59</v>
      </c>
      <c r="V46" t="s">
        <v>72</v>
      </c>
      <c r="W46" t="s">
        <v>72</v>
      </c>
      <c r="X46"/>
      <c r="AQ46" s="12" t="s">
        <v>420</v>
      </c>
    </row>
    <row r="47" spans="2:43" ht="25.5" x14ac:dyDescent="0.2">
      <c r="B47" s="11" t="s">
        <v>506</v>
      </c>
      <c r="C47" s="10"/>
      <c r="D47" s="10"/>
      <c r="K47"/>
      <c r="L47" s="11" t="s">
        <v>346</v>
      </c>
      <c r="M47" s="2" t="str">
        <f t="shared" si="0"/>
        <v>Комсомольское.Сеноман..I</v>
      </c>
      <c r="N47" s="2" t="s">
        <v>218</v>
      </c>
      <c r="O47" s="2" t="str">
        <f t="shared" si="1"/>
        <v>Комсомольское.Сеноман.УППГ ЗК</v>
      </c>
      <c r="P47"/>
      <c r="Q47" s="2" t="str">
        <f t="shared" si="2"/>
        <v>Комсомольское.Сеноман</v>
      </c>
      <c r="R47" s="18" t="s">
        <v>41</v>
      </c>
      <c r="S47" s="19" t="s">
        <v>94</v>
      </c>
      <c r="T47" s="20" t="s">
        <v>71</v>
      </c>
      <c r="U47" t="s">
        <v>59</v>
      </c>
      <c r="V47" t="s">
        <v>72</v>
      </c>
      <c r="W47" t="s">
        <v>72</v>
      </c>
      <c r="X47"/>
      <c r="AQ47" s="12" t="s">
        <v>421</v>
      </c>
    </row>
    <row r="48" spans="2:43" ht="38.25" x14ac:dyDescent="0.2">
      <c r="B48" s="11" t="s">
        <v>507</v>
      </c>
      <c r="C48" s="10"/>
      <c r="D48" s="10"/>
      <c r="K48"/>
      <c r="L48" s="11" t="s">
        <v>347</v>
      </c>
      <c r="M48" s="2" t="str">
        <f t="shared" si="0"/>
        <v>Комсомольское.Сеноман..I</v>
      </c>
      <c r="N48" s="2" t="s">
        <v>219</v>
      </c>
      <c r="O48" s="2" t="str">
        <f t="shared" si="1"/>
        <v>Комсомольское.Сеноман.сборный пункт</v>
      </c>
      <c r="P48"/>
      <c r="Q48" s="2" t="str">
        <f t="shared" si="2"/>
        <v>Комсомольское.Сеноман</v>
      </c>
      <c r="R48" s="21" t="s">
        <v>41</v>
      </c>
      <c r="S48" s="22" t="s">
        <v>95</v>
      </c>
      <c r="T48" s="23" t="s">
        <v>71</v>
      </c>
      <c r="U48" t="s">
        <v>59</v>
      </c>
      <c r="V48" t="s">
        <v>72</v>
      </c>
      <c r="W48" t="s">
        <v>72</v>
      </c>
      <c r="X48"/>
      <c r="AQ48" s="12" t="s">
        <v>422</v>
      </c>
    </row>
    <row r="49" spans="2:43" ht="25.5" x14ac:dyDescent="0.2">
      <c r="B49" s="11" t="s">
        <v>508</v>
      </c>
      <c r="C49" s="10"/>
      <c r="D49" s="10"/>
      <c r="K49"/>
      <c r="L49" s="11" t="s">
        <v>348</v>
      </c>
      <c r="M49" s="2" t="str">
        <f t="shared" si="0"/>
        <v>Медвежье.Неоком..1</v>
      </c>
      <c r="N49" s="2" t="s">
        <v>220</v>
      </c>
      <c r="O49" s="2" t="str">
        <f t="shared" si="1"/>
        <v>Медвежье.Неоком.УКПГ-Н</v>
      </c>
      <c r="P49"/>
      <c r="Q49" s="2" t="str">
        <f t="shared" si="2"/>
        <v>Медвежье.Неоком</v>
      </c>
      <c r="R49" s="18" t="s">
        <v>42</v>
      </c>
      <c r="S49" s="19" t="s">
        <v>96</v>
      </c>
      <c r="T49" s="20">
        <v>1</v>
      </c>
      <c r="U49" t="s">
        <v>80</v>
      </c>
      <c r="V49" t="s">
        <v>170</v>
      </c>
      <c r="W49" t="s">
        <v>76</v>
      </c>
      <c r="X49"/>
      <c r="AQ49" s="12" t="s">
        <v>423</v>
      </c>
    </row>
    <row r="50" spans="2:43" ht="25.5" x14ac:dyDescent="0.2">
      <c r="B50" s="11" t="s">
        <v>509</v>
      </c>
      <c r="C50" s="10"/>
      <c r="D50" s="10"/>
      <c r="K50"/>
      <c r="L50" s="11" t="s">
        <v>349</v>
      </c>
      <c r="M50" s="2" t="str">
        <f t="shared" si="0"/>
        <v>Медвежье.Неоком..1а</v>
      </c>
      <c r="N50" s="2" t="s">
        <v>221</v>
      </c>
      <c r="O50" s="2" t="str">
        <f t="shared" si="1"/>
        <v>Медвежье.Неоком.УКПГ-Н</v>
      </c>
      <c r="P50"/>
      <c r="Q50" s="2" t="str">
        <f t="shared" si="2"/>
        <v>Медвежье.Неоком</v>
      </c>
      <c r="R50" s="21" t="s">
        <v>42</v>
      </c>
      <c r="S50" s="22" t="s">
        <v>96</v>
      </c>
      <c r="T50" s="23" t="s">
        <v>97</v>
      </c>
      <c r="U50" t="s">
        <v>63</v>
      </c>
      <c r="V50" t="s">
        <v>167</v>
      </c>
      <c r="W50" t="s">
        <v>76</v>
      </c>
      <c r="X50"/>
      <c r="AQ50" s="12" t="s">
        <v>424</v>
      </c>
    </row>
    <row r="51" spans="2:43" ht="25.5" x14ac:dyDescent="0.2">
      <c r="B51" s="11" t="s">
        <v>510</v>
      </c>
      <c r="C51" s="10"/>
      <c r="D51" s="10"/>
      <c r="K51"/>
      <c r="L51" s="11" t="s">
        <v>350</v>
      </c>
      <c r="M51" s="2" t="str">
        <f t="shared" si="0"/>
        <v>Медвежье.Неоком..1б</v>
      </c>
      <c r="N51" s="2" t="s">
        <v>222</v>
      </c>
      <c r="O51" s="2" t="str">
        <f t="shared" si="1"/>
        <v>Медвежье.Неоком.УКПГ-Н</v>
      </c>
      <c r="P51"/>
      <c r="Q51" s="2" t="str">
        <f t="shared" si="2"/>
        <v>Медвежье.Неоком</v>
      </c>
      <c r="R51" s="18" t="s">
        <v>42</v>
      </c>
      <c r="S51" s="19" t="s">
        <v>96</v>
      </c>
      <c r="T51" s="20" t="s">
        <v>98</v>
      </c>
      <c r="U51" t="s">
        <v>63</v>
      </c>
      <c r="V51" t="s">
        <v>167</v>
      </c>
      <c r="W51" t="s">
        <v>76</v>
      </c>
      <c r="X51"/>
      <c r="AQ51" s="12" t="s">
        <v>425</v>
      </c>
    </row>
    <row r="52" spans="2:43" ht="38.25" x14ac:dyDescent="0.2">
      <c r="B52" s="11" t="s">
        <v>511</v>
      </c>
      <c r="C52" s="10"/>
      <c r="D52" s="10"/>
      <c r="K52"/>
      <c r="L52" s="11" t="s">
        <v>351</v>
      </c>
      <c r="M52" s="2" t="str">
        <f t="shared" si="0"/>
        <v>Медвежье.Неоком..1в</v>
      </c>
      <c r="N52" s="2" t="s">
        <v>223</v>
      </c>
      <c r="O52" s="2" t="str">
        <f t="shared" si="1"/>
        <v>Медвежье.Неоком.УКПГ-Н</v>
      </c>
      <c r="P52"/>
      <c r="Q52" s="2" t="str">
        <f t="shared" si="2"/>
        <v>Медвежье.Неоком</v>
      </c>
      <c r="R52" s="21" t="s">
        <v>42</v>
      </c>
      <c r="S52" s="22" t="s">
        <v>96</v>
      </c>
      <c r="T52" s="23" t="s">
        <v>99</v>
      </c>
      <c r="U52" t="s">
        <v>75</v>
      </c>
      <c r="V52" t="s">
        <v>169</v>
      </c>
      <c r="W52" t="s">
        <v>76</v>
      </c>
      <c r="X52"/>
      <c r="AQ52" s="12" t="s">
        <v>426</v>
      </c>
    </row>
    <row r="53" spans="2:43" ht="25.5" x14ac:dyDescent="0.2">
      <c r="B53" s="11" t="s">
        <v>512</v>
      </c>
      <c r="C53" s="10"/>
      <c r="D53" s="10"/>
      <c r="K53"/>
      <c r="L53" s="11" t="s">
        <v>352</v>
      </c>
      <c r="M53" s="2" t="str">
        <f t="shared" si="0"/>
        <v>Медвежье.Неоком..1г</v>
      </c>
      <c r="N53" s="2" t="s">
        <v>224</v>
      </c>
      <c r="O53" s="2" t="str">
        <f t="shared" si="1"/>
        <v>Медвежье.Неоком.УКПГ-Н</v>
      </c>
      <c r="P53"/>
      <c r="Q53" s="2" t="str">
        <f t="shared" si="2"/>
        <v>Медвежье.Неоком</v>
      </c>
      <c r="R53" s="18" t="s">
        <v>42</v>
      </c>
      <c r="S53" s="19" t="s">
        <v>96</v>
      </c>
      <c r="T53" s="20" t="s">
        <v>100</v>
      </c>
      <c r="U53" t="s">
        <v>80</v>
      </c>
      <c r="V53" t="s">
        <v>170</v>
      </c>
      <c r="W53" t="s">
        <v>76</v>
      </c>
      <c r="X53"/>
    </row>
    <row r="54" spans="2:43" ht="25.5" x14ac:dyDescent="0.2">
      <c r="B54" s="11" t="s">
        <v>513</v>
      </c>
      <c r="C54" s="10"/>
      <c r="D54" s="10"/>
      <c r="K54"/>
      <c r="L54" s="11" t="s">
        <v>353</v>
      </c>
      <c r="M54" s="2" t="str">
        <f t="shared" si="0"/>
        <v>Медвежье.Ачимовский..1д</v>
      </c>
      <c r="N54" s="2" t="s">
        <v>225</v>
      </c>
      <c r="O54" s="2" t="str">
        <f t="shared" si="1"/>
        <v>Медвежье.Ачимовский.УКПГ-Н</v>
      </c>
      <c r="P54"/>
      <c r="Q54" s="2" t="str">
        <f t="shared" si="2"/>
        <v>Медвежье.Ачимовский</v>
      </c>
      <c r="R54" s="21" t="s">
        <v>42</v>
      </c>
      <c r="S54" s="22" t="s">
        <v>96</v>
      </c>
      <c r="T54" s="23" t="s">
        <v>101</v>
      </c>
      <c r="U54" t="s">
        <v>102</v>
      </c>
      <c r="V54" t="s">
        <v>103</v>
      </c>
      <c r="W54" t="s">
        <v>103</v>
      </c>
      <c r="X54"/>
    </row>
    <row r="55" spans="2:43" ht="25.5" x14ac:dyDescent="0.2">
      <c r="B55" s="11" t="s">
        <v>514</v>
      </c>
      <c r="C55" s="10"/>
      <c r="D55" s="10"/>
      <c r="K55"/>
      <c r="L55" s="11" t="s">
        <v>354</v>
      </c>
      <c r="M55" s="2" t="str">
        <f t="shared" si="0"/>
        <v>Медвежье.Ачимовский..1н</v>
      </c>
      <c r="N55" s="2" t="s">
        <v>226</v>
      </c>
      <c r="O55" s="2" t="str">
        <f t="shared" si="1"/>
        <v>Медвежье.Ачимовский.УКПГ-Н</v>
      </c>
      <c r="P55"/>
      <c r="Q55" s="2" t="str">
        <f t="shared" si="2"/>
        <v>Медвежье.Ачимовский</v>
      </c>
      <c r="R55" s="18" t="s">
        <v>42</v>
      </c>
      <c r="S55" s="19" t="s">
        <v>96</v>
      </c>
      <c r="T55" s="20" t="s">
        <v>104</v>
      </c>
      <c r="U55" t="s">
        <v>102</v>
      </c>
      <c r="V55" t="s">
        <v>103</v>
      </c>
      <c r="W55" t="s">
        <v>103</v>
      </c>
      <c r="X55"/>
    </row>
    <row r="56" spans="2:43" ht="25.5" x14ac:dyDescent="0.2">
      <c r="B56" s="11" t="s">
        <v>515</v>
      </c>
      <c r="C56" s="10"/>
      <c r="D56" s="10"/>
      <c r="K56"/>
      <c r="L56" s="11" t="s">
        <v>355</v>
      </c>
      <c r="M56" s="2" t="str">
        <f t="shared" si="0"/>
        <v>Медвежье.Неоком..2</v>
      </c>
      <c r="N56" s="2" t="s">
        <v>227</v>
      </c>
      <c r="O56" s="2" t="str">
        <f t="shared" si="1"/>
        <v>Медвежье.Неоком.УКПГ-Н</v>
      </c>
      <c r="P56"/>
      <c r="Q56" s="2" t="str">
        <f t="shared" si="2"/>
        <v>Медвежье.Неоком</v>
      </c>
      <c r="R56" s="21" t="s">
        <v>42</v>
      </c>
      <c r="S56" s="22" t="s">
        <v>96</v>
      </c>
      <c r="T56" s="23">
        <v>2</v>
      </c>
      <c r="U56" t="s">
        <v>69</v>
      </c>
      <c r="V56" t="s">
        <v>168</v>
      </c>
      <c r="W56" t="s">
        <v>76</v>
      </c>
      <c r="X56"/>
    </row>
    <row r="57" spans="2:43" ht="38.25" x14ac:dyDescent="0.2">
      <c r="B57" s="11" t="s">
        <v>516</v>
      </c>
      <c r="C57" s="10"/>
      <c r="D57" s="10"/>
      <c r="K57"/>
      <c r="L57" s="11" t="s">
        <v>356</v>
      </c>
      <c r="M57" s="2" t="str">
        <f t="shared" si="0"/>
        <v>Медвежье.Неоком..2а</v>
      </c>
      <c r="N57" s="2" t="s">
        <v>228</v>
      </c>
      <c r="O57" s="2" t="str">
        <f t="shared" si="1"/>
        <v>Медвежье.Неоком.УКПГ-Н</v>
      </c>
      <c r="P57"/>
      <c r="Q57" s="2" t="str">
        <f t="shared" si="2"/>
        <v>Медвежье.Неоком</v>
      </c>
      <c r="R57" s="18" t="s">
        <v>42</v>
      </c>
      <c r="S57" s="19" t="s">
        <v>96</v>
      </c>
      <c r="T57" s="20" t="s">
        <v>105</v>
      </c>
      <c r="U57" t="s">
        <v>69</v>
      </c>
      <c r="V57" t="s">
        <v>168</v>
      </c>
      <c r="W57" t="s">
        <v>76</v>
      </c>
      <c r="X57"/>
    </row>
    <row r="58" spans="2:43" ht="38.25" x14ac:dyDescent="0.2">
      <c r="B58" s="11" t="s">
        <v>517</v>
      </c>
      <c r="C58" s="10"/>
      <c r="D58" s="10"/>
      <c r="K58"/>
      <c r="L58" s="11" t="s">
        <v>357</v>
      </c>
      <c r="M58" s="2" t="str">
        <f t="shared" si="0"/>
        <v>Медвежье.Неоком..3</v>
      </c>
      <c r="N58" s="2" t="s">
        <v>229</v>
      </c>
      <c r="O58" s="2" t="str">
        <f t="shared" si="1"/>
        <v>Медвежье.Неоком.УКПГ-Н</v>
      </c>
      <c r="P58"/>
      <c r="Q58" s="2" t="str">
        <f t="shared" si="2"/>
        <v>Медвежье.Неоком</v>
      </c>
      <c r="R58" s="21" t="s">
        <v>42</v>
      </c>
      <c r="S58" s="22" t="s">
        <v>96</v>
      </c>
      <c r="T58" s="23">
        <v>3</v>
      </c>
      <c r="U58" t="s">
        <v>69</v>
      </c>
      <c r="V58" t="s">
        <v>168</v>
      </c>
      <c r="W58" t="s">
        <v>76</v>
      </c>
      <c r="X58"/>
    </row>
    <row r="59" spans="2:43" ht="25.5" x14ac:dyDescent="0.2">
      <c r="B59" s="11" t="s">
        <v>518</v>
      </c>
      <c r="C59" s="10"/>
      <c r="D59" s="10"/>
      <c r="K59"/>
      <c r="L59" s="11" t="s">
        <v>358</v>
      </c>
      <c r="M59" s="2" t="str">
        <f t="shared" si="0"/>
        <v>Медвежье.Неоком..4</v>
      </c>
      <c r="N59" s="2" t="s">
        <v>230</v>
      </c>
      <c r="O59" s="2" t="str">
        <f t="shared" si="1"/>
        <v>Медвежье.Неоком.УКПГ-Н</v>
      </c>
      <c r="P59"/>
      <c r="Q59" s="2" t="str">
        <f t="shared" si="2"/>
        <v>Медвежье.Неоком</v>
      </c>
      <c r="R59" s="18" t="s">
        <v>42</v>
      </c>
      <c r="S59" s="19" t="s">
        <v>96</v>
      </c>
      <c r="T59" s="20">
        <v>4</v>
      </c>
      <c r="U59" t="s">
        <v>59</v>
      </c>
      <c r="V59" t="s">
        <v>72</v>
      </c>
      <c r="W59" t="s">
        <v>76</v>
      </c>
      <c r="X59"/>
    </row>
    <row r="60" spans="2:43" ht="38.25" x14ac:dyDescent="0.2">
      <c r="B60" s="11" t="s">
        <v>474</v>
      </c>
      <c r="C60" s="10"/>
      <c r="D60" s="10"/>
      <c r="K60"/>
      <c r="L60" s="11" t="s">
        <v>359</v>
      </c>
      <c r="M60" s="2" t="str">
        <f t="shared" si="0"/>
        <v>Медвежье.Неоком..6</v>
      </c>
      <c r="N60" s="2" t="s">
        <v>231</v>
      </c>
      <c r="O60" s="2" t="str">
        <f t="shared" si="1"/>
        <v>Медвежье.Неоком.УКПГ-Н</v>
      </c>
      <c r="P60"/>
      <c r="Q60" s="2" t="str">
        <f t="shared" si="2"/>
        <v>Медвежье.Неоком</v>
      </c>
      <c r="R60" s="21" t="s">
        <v>42</v>
      </c>
      <c r="S60" s="22" t="s">
        <v>96</v>
      </c>
      <c r="T60" s="23">
        <v>6</v>
      </c>
      <c r="U60" t="s">
        <v>106</v>
      </c>
      <c r="V60" t="s">
        <v>172</v>
      </c>
      <c r="W60" t="s">
        <v>76</v>
      </c>
      <c r="X60"/>
    </row>
    <row r="61" spans="2:43" x14ac:dyDescent="0.2">
      <c r="B61" s="11" t="s">
        <v>519</v>
      </c>
      <c r="C61" s="10"/>
      <c r="D61" s="10"/>
      <c r="K61"/>
      <c r="L61" s="11" t="s">
        <v>360</v>
      </c>
      <c r="M61" s="2" t="str">
        <f t="shared" si="0"/>
        <v>Медвежье.Неоком..7</v>
      </c>
      <c r="N61" s="2" t="s">
        <v>232</v>
      </c>
      <c r="O61" s="2" t="str">
        <f t="shared" si="1"/>
        <v>Медвежье.Неоком.УКПГ-Н</v>
      </c>
      <c r="P61"/>
      <c r="Q61" s="2" t="str">
        <f t="shared" si="2"/>
        <v>Медвежье.Неоком</v>
      </c>
      <c r="R61" s="18" t="s">
        <v>42</v>
      </c>
      <c r="S61" s="19" t="s">
        <v>96</v>
      </c>
      <c r="T61" s="20">
        <v>7</v>
      </c>
      <c r="U61" t="s">
        <v>84</v>
      </c>
      <c r="V61" t="s">
        <v>171</v>
      </c>
      <c r="W61" t="s">
        <v>76</v>
      </c>
      <c r="X61"/>
    </row>
    <row r="62" spans="2:43" x14ac:dyDescent="0.2">
      <c r="B62" s="11" t="s">
        <v>520</v>
      </c>
      <c r="C62" s="10"/>
      <c r="D62" s="10"/>
      <c r="K62"/>
      <c r="L62" s="11" t="s">
        <v>361</v>
      </c>
      <c r="M62" s="2" t="str">
        <f t="shared" si="0"/>
        <v>Медвежье.Неоком..7</v>
      </c>
      <c r="N62" s="2" t="s">
        <v>233</v>
      </c>
      <c r="O62" s="2" t="str">
        <f t="shared" si="1"/>
        <v>Медвежье.Неоком.УКПГ-Н</v>
      </c>
      <c r="P62"/>
      <c r="Q62" s="2" t="str">
        <f t="shared" si="2"/>
        <v>Медвежье.Неоком</v>
      </c>
      <c r="R62" s="21" t="s">
        <v>42</v>
      </c>
      <c r="S62" s="22" t="s">
        <v>96</v>
      </c>
      <c r="T62" s="23">
        <v>7</v>
      </c>
      <c r="U62" t="s">
        <v>75</v>
      </c>
      <c r="V62" t="s">
        <v>169</v>
      </c>
      <c r="W62" t="s">
        <v>76</v>
      </c>
      <c r="X62"/>
    </row>
    <row r="63" spans="2:43" ht="25.5" x14ac:dyDescent="0.2">
      <c r="B63" s="11" t="s">
        <v>490</v>
      </c>
      <c r="C63" s="10"/>
      <c r="D63" s="10"/>
      <c r="K63"/>
      <c r="L63" s="11" t="s">
        <v>362</v>
      </c>
      <c r="M63" s="2" t="str">
        <f t="shared" si="0"/>
        <v>Медвежье.Неоком..8</v>
      </c>
      <c r="N63" s="2" t="s">
        <v>234</v>
      </c>
      <c r="O63" s="2" t="str">
        <f t="shared" si="1"/>
        <v>Медвежье.Неоком.УКПГ-Н</v>
      </c>
      <c r="P63"/>
      <c r="Q63" s="2" t="str">
        <f t="shared" si="2"/>
        <v>Медвежье.Неоком</v>
      </c>
      <c r="R63" s="18" t="s">
        <v>42</v>
      </c>
      <c r="S63" s="19" t="s">
        <v>96</v>
      </c>
      <c r="T63" s="20">
        <v>8</v>
      </c>
      <c r="U63" t="s">
        <v>75</v>
      </c>
      <c r="V63" t="s">
        <v>169</v>
      </c>
      <c r="W63" t="s">
        <v>76</v>
      </c>
      <c r="X63"/>
    </row>
    <row r="64" spans="2:43" ht="25.5" x14ac:dyDescent="0.2">
      <c r="B64" s="11" t="s">
        <v>489</v>
      </c>
      <c r="C64" s="10"/>
      <c r="D64" s="10"/>
      <c r="K64"/>
      <c r="L64" s="11" t="s">
        <v>363</v>
      </c>
      <c r="M64" s="2" t="str">
        <f t="shared" si="0"/>
        <v>Медвежье.Неоком..9</v>
      </c>
      <c r="N64" s="2" t="s">
        <v>235</v>
      </c>
      <c r="O64" s="2" t="str">
        <f t="shared" si="1"/>
        <v>Медвежье.Неоком.УКПГ-Н</v>
      </c>
      <c r="P64"/>
      <c r="Q64" s="2" t="str">
        <f t="shared" si="2"/>
        <v>Медвежье.Неоком</v>
      </c>
      <c r="R64" s="21" t="s">
        <v>42</v>
      </c>
      <c r="S64" s="22" t="s">
        <v>96</v>
      </c>
      <c r="T64" s="23">
        <v>9</v>
      </c>
      <c r="U64" t="s">
        <v>75</v>
      </c>
      <c r="V64" t="s">
        <v>169</v>
      </c>
      <c r="W64" t="s">
        <v>76</v>
      </c>
      <c r="X64"/>
    </row>
    <row r="65" spans="2:24" ht="25.5" x14ac:dyDescent="0.2">
      <c r="B65" s="11" t="s">
        <v>521</v>
      </c>
      <c r="C65" s="10"/>
      <c r="D65" s="10"/>
      <c r="K65"/>
      <c r="L65" s="11" t="s">
        <v>364</v>
      </c>
      <c r="M65" s="2" t="str">
        <f t="shared" si="0"/>
        <v>Медвежье.Неоком..10</v>
      </c>
      <c r="N65" s="2" t="s">
        <v>236</v>
      </c>
      <c r="O65" s="2" t="str">
        <f t="shared" si="1"/>
        <v>Медвежье.Неоком.УКПГ-Н</v>
      </c>
      <c r="P65"/>
      <c r="Q65" s="2" t="str">
        <f t="shared" si="2"/>
        <v>Медвежье.Неоком</v>
      </c>
      <c r="R65" s="18" t="s">
        <v>42</v>
      </c>
      <c r="S65" s="19" t="s">
        <v>96</v>
      </c>
      <c r="T65" s="20">
        <v>10</v>
      </c>
      <c r="U65" t="s">
        <v>75</v>
      </c>
      <c r="V65" t="s">
        <v>169</v>
      </c>
      <c r="W65" t="s">
        <v>76</v>
      </c>
      <c r="X65"/>
    </row>
    <row r="66" spans="2:24" x14ac:dyDescent="0.2">
      <c r="B66" s="11" t="s">
        <v>522</v>
      </c>
      <c r="C66" s="10"/>
      <c r="D66" s="10"/>
      <c r="K66"/>
      <c r="L66" s="11" t="s">
        <v>365</v>
      </c>
      <c r="M66" s="2" t="str">
        <f t="shared" si="0"/>
        <v>Медвежье.Неоком..11</v>
      </c>
      <c r="N66" s="2" t="s">
        <v>237</v>
      </c>
      <c r="O66" s="2" t="str">
        <f t="shared" si="1"/>
        <v>Медвежье.Неоком.УКПГ-Н</v>
      </c>
      <c r="P66"/>
      <c r="Q66" s="2" t="str">
        <f t="shared" si="2"/>
        <v>Медвежье.Неоком</v>
      </c>
      <c r="R66" s="21" t="s">
        <v>42</v>
      </c>
      <c r="S66" s="22" t="s">
        <v>96</v>
      </c>
      <c r="T66" s="23">
        <v>11</v>
      </c>
      <c r="U66" t="s">
        <v>84</v>
      </c>
      <c r="V66" t="s">
        <v>171</v>
      </c>
      <c r="W66" t="s">
        <v>76</v>
      </c>
      <c r="X66"/>
    </row>
    <row r="67" spans="2:24" ht="25.5" x14ac:dyDescent="0.2">
      <c r="B67" s="11" t="s">
        <v>489</v>
      </c>
      <c r="C67" s="10"/>
      <c r="D67" s="10"/>
      <c r="K67"/>
      <c r="L67" s="11" t="s">
        <v>366</v>
      </c>
      <c r="M67" s="2" t="str">
        <f t="shared" si="0"/>
        <v>Медвежье.Неоком..11а</v>
      </c>
      <c r="N67" s="2" t="s">
        <v>238</v>
      </c>
      <c r="O67" s="2" t="str">
        <f t="shared" si="1"/>
        <v>Медвежье.Неоком.УКПГ-Н</v>
      </c>
      <c r="P67"/>
      <c r="Q67" s="2" t="str">
        <f t="shared" si="2"/>
        <v>Медвежье.Неоком</v>
      </c>
      <c r="R67" s="18" t="s">
        <v>42</v>
      </c>
      <c r="S67" s="19" t="s">
        <v>96</v>
      </c>
      <c r="T67" s="20" t="s">
        <v>107</v>
      </c>
      <c r="U67" t="s">
        <v>84</v>
      </c>
      <c r="V67" t="s">
        <v>171</v>
      </c>
      <c r="W67" t="s">
        <v>76</v>
      </c>
      <c r="X67"/>
    </row>
    <row r="68" spans="2:24" ht="25.5" x14ac:dyDescent="0.2">
      <c r="B68" s="11" t="s">
        <v>523</v>
      </c>
      <c r="C68" s="10"/>
      <c r="D68" s="10"/>
      <c r="K68"/>
      <c r="L68" s="11" t="s">
        <v>367</v>
      </c>
      <c r="M68" s="2" t="str">
        <f t="shared" si="0"/>
        <v>Медвежье.Неоком..5 (сеноман)</v>
      </c>
      <c r="N68" s="2" t="s">
        <v>239</v>
      </c>
      <c r="O68" s="2" t="str">
        <f t="shared" si="1"/>
        <v>Медвежье.Неоком.УКПГ-1</v>
      </c>
      <c r="P68"/>
      <c r="Q68" s="2" t="str">
        <f t="shared" si="2"/>
        <v>Медвежье.Неоком</v>
      </c>
      <c r="R68" s="21" t="s">
        <v>42</v>
      </c>
      <c r="S68" s="22" t="s">
        <v>64</v>
      </c>
      <c r="T68" s="23" t="s">
        <v>108</v>
      </c>
      <c r="U68" t="s">
        <v>59</v>
      </c>
      <c r="V68" t="s">
        <v>72</v>
      </c>
      <c r="W68" t="s">
        <v>76</v>
      </c>
      <c r="X68"/>
    </row>
    <row r="69" spans="2:24" ht="38.25" x14ac:dyDescent="0.2">
      <c r="B69" s="11" t="s">
        <v>524</v>
      </c>
      <c r="C69" s="10"/>
      <c r="D69" s="10"/>
      <c r="K69"/>
      <c r="L69" s="11" t="s">
        <v>368</v>
      </c>
      <c r="M69" s="2" t="str">
        <f t="shared" ref="M69:M132" si="3">CONCATENATE(R69,".",W69,".",X69,".",T69)</f>
        <v>Медвежье.Неоком..5 (сеноман)</v>
      </c>
      <c r="N69" s="2" t="s">
        <v>240</v>
      </c>
      <c r="O69" s="2" t="str">
        <f t="shared" ref="O69:O132" si="4">CONCATENATE(R69,".",W69,".",S69)</f>
        <v>Медвежье.Неоком.УКПГ-2</v>
      </c>
      <c r="P69"/>
      <c r="Q69" s="2" t="str">
        <f t="shared" ref="Q69:Q132" si="5">CONCATENATE(R69,".",W69)</f>
        <v>Медвежье.Неоком</v>
      </c>
      <c r="R69" s="18" t="s">
        <v>42</v>
      </c>
      <c r="S69" s="19" t="s">
        <v>57</v>
      </c>
      <c r="T69" s="20" t="s">
        <v>108</v>
      </c>
      <c r="U69" t="s">
        <v>59</v>
      </c>
      <c r="V69" t="s">
        <v>72</v>
      </c>
      <c r="W69" t="s">
        <v>76</v>
      </c>
      <c r="X69"/>
    </row>
    <row r="70" spans="2:24" ht="25.5" x14ac:dyDescent="0.2">
      <c r="B70" s="11" t="s">
        <v>525</v>
      </c>
      <c r="C70" s="10"/>
      <c r="D70" s="10"/>
      <c r="K70"/>
      <c r="L70" s="11" t="s">
        <v>369</v>
      </c>
      <c r="M70" s="2" t="str">
        <f t="shared" si="3"/>
        <v>Медвежье.Неоком..5 (сеноман)</v>
      </c>
      <c r="N70" s="2" t="s">
        <v>241</v>
      </c>
      <c r="O70" s="2" t="str">
        <f t="shared" si="4"/>
        <v>Медвежье.Неоком.УКПГ-3</v>
      </c>
      <c r="P70"/>
      <c r="Q70" s="2" t="str">
        <f t="shared" si="5"/>
        <v>Медвежье.Неоком</v>
      </c>
      <c r="R70" s="21" t="s">
        <v>42</v>
      </c>
      <c r="S70" s="22" t="s">
        <v>61</v>
      </c>
      <c r="T70" s="23" t="s">
        <v>108</v>
      </c>
      <c r="U70" t="s">
        <v>59</v>
      </c>
      <c r="V70" t="s">
        <v>72</v>
      </c>
      <c r="W70" t="s">
        <v>76</v>
      </c>
      <c r="X70"/>
    </row>
    <row r="71" spans="2:24" ht="25.5" x14ac:dyDescent="0.2">
      <c r="B71" s="11" t="s">
        <v>526</v>
      </c>
      <c r="C71" s="10"/>
      <c r="D71" s="10"/>
      <c r="K71"/>
      <c r="L71" s="11" t="s">
        <v>370</v>
      </c>
      <c r="M71" s="2" t="str">
        <f t="shared" si="3"/>
        <v>Медвежье.Неоком..5 (сеноман)</v>
      </c>
      <c r="N71" s="2" t="s">
        <v>242</v>
      </c>
      <c r="O71" s="2" t="str">
        <f t="shared" si="4"/>
        <v>Медвежье.Неоком.УКПГ-4</v>
      </c>
      <c r="P71"/>
      <c r="Q71" s="2" t="str">
        <f t="shared" si="5"/>
        <v>Медвежье.Неоком</v>
      </c>
      <c r="R71" s="18" t="s">
        <v>42</v>
      </c>
      <c r="S71" s="19" t="s">
        <v>109</v>
      </c>
      <c r="T71" s="20" t="s">
        <v>108</v>
      </c>
      <c r="U71" t="s">
        <v>59</v>
      </c>
      <c r="V71" t="s">
        <v>72</v>
      </c>
      <c r="W71" t="s">
        <v>76</v>
      </c>
      <c r="X71"/>
    </row>
    <row r="72" spans="2:24" x14ac:dyDescent="0.2">
      <c r="B72" s="11" t="s">
        <v>527</v>
      </c>
      <c r="C72" s="10"/>
      <c r="D72" s="10"/>
      <c r="K72"/>
      <c r="L72" s="11" t="s">
        <v>371</v>
      </c>
      <c r="M72" s="2" t="str">
        <f t="shared" si="3"/>
        <v>Медвежье.Неоком..5 (сеноман)</v>
      </c>
      <c r="N72" s="2" t="s">
        <v>243</v>
      </c>
      <c r="O72" s="2" t="str">
        <f t="shared" si="4"/>
        <v>Медвежье.Неоком.УКПГ-5</v>
      </c>
      <c r="P72"/>
      <c r="Q72" s="2" t="str">
        <f t="shared" si="5"/>
        <v>Медвежье.Неоком</v>
      </c>
      <c r="R72" s="21" t="s">
        <v>42</v>
      </c>
      <c r="S72" s="22" t="s">
        <v>110</v>
      </c>
      <c r="T72" s="23" t="s">
        <v>108</v>
      </c>
      <c r="U72" t="s">
        <v>59</v>
      </c>
      <c r="V72" t="s">
        <v>72</v>
      </c>
      <c r="W72" t="s">
        <v>76</v>
      </c>
      <c r="X72"/>
    </row>
    <row r="73" spans="2:24" ht="25.5" x14ac:dyDescent="0.2">
      <c r="B73" s="11" t="s">
        <v>489</v>
      </c>
      <c r="C73" s="10"/>
      <c r="D73" s="10"/>
      <c r="K73"/>
      <c r="L73" s="11" t="s">
        <v>372</v>
      </c>
      <c r="M73" s="2" t="str">
        <f t="shared" si="3"/>
        <v>Медвежье.Неоком..5 (сеноман)</v>
      </c>
      <c r="N73" s="2" t="s">
        <v>244</v>
      </c>
      <c r="O73" s="2" t="str">
        <f t="shared" si="4"/>
        <v>Медвежье.Неоком.УКПГ-6</v>
      </c>
      <c r="P73"/>
      <c r="Q73" s="2" t="str">
        <f t="shared" si="5"/>
        <v>Медвежье.Неоком</v>
      </c>
      <c r="R73" s="18" t="s">
        <v>42</v>
      </c>
      <c r="S73" s="19" t="s">
        <v>111</v>
      </c>
      <c r="T73" s="20" t="s">
        <v>108</v>
      </c>
      <c r="U73" t="s">
        <v>59</v>
      </c>
      <c r="V73" t="s">
        <v>72</v>
      </c>
      <c r="W73" t="s">
        <v>76</v>
      </c>
      <c r="X73"/>
    </row>
    <row r="74" spans="2:24" ht="25.5" x14ac:dyDescent="0.2">
      <c r="B74" s="11" t="s">
        <v>528</v>
      </c>
      <c r="C74" s="10"/>
      <c r="D74" s="10"/>
      <c r="K74"/>
      <c r="L74" s="11" t="s">
        <v>373</v>
      </c>
      <c r="M74" s="2" t="str">
        <f t="shared" si="3"/>
        <v>Медвежье.Неоком..5 (сеноман)</v>
      </c>
      <c r="N74" s="2" t="s">
        <v>245</v>
      </c>
      <c r="O74" s="2" t="str">
        <f t="shared" si="4"/>
        <v>Медвежье.Неоком.УКПГ-7</v>
      </c>
      <c r="P74"/>
      <c r="Q74" s="2" t="str">
        <f t="shared" si="5"/>
        <v>Медвежье.Неоком</v>
      </c>
      <c r="R74" s="21" t="s">
        <v>42</v>
      </c>
      <c r="S74" s="22" t="s">
        <v>112</v>
      </c>
      <c r="T74" s="23" t="s">
        <v>108</v>
      </c>
      <c r="U74" t="s">
        <v>59</v>
      </c>
      <c r="V74" t="s">
        <v>72</v>
      </c>
      <c r="W74" t="s">
        <v>76</v>
      </c>
      <c r="X74"/>
    </row>
    <row r="75" spans="2:24" ht="25.5" x14ac:dyDescent="0.2">
      <c r="B75" s="11" t="s">
        <v>529</v>
      </c>
      <c r="C75" s="10"/>
      <c r="D75" s="10"/>
      <c r="K75"/>
      <c r="L75" s="11" t="s">
        <v>374</v>
      </c>
      <c r="M75" s="2" t="str">
        <f t="shared" si="3"/>
        <v>Медвежье.Неоком..5 (сеноман)</v>
      </c>
      <c r="N75" s="2" t="s">
        <v>246</v>
      </c>
      <c r="O75" s="2" t="str">
        <f t="shared" si="4"/>
        <v>Медвежье.Неоком.УКПГ-8</v>
      </c>
      <c r="P75"/>
      <c r="Q75" s="2" t="str">
        <f t="shared" si="5"/>
        <v>Медвежье.Неоком</v>
      </c>
      <c r="R75" s="18" t="s">
        <v>42</v>
      </c>
      <c r="S75" s="19" t="s">
        <v>113</v>
      </c>
      <c r="T75" s="20" t="s">
        <v>108</v>
      </c>
      <c r="U75" t="s">
        <v>59</v>
      </c>
      <c r="V75" t="s">
        <v>72</v>
      </c>
      <c r="W75" t="s">
        <v>76</v>
      </c>
      <c r="X75"/>
    </row>
    <row r="76" spans="2:24" ht="25.5" x14ac:dyDescent="0.2">
      <c r="B76" s="11" t="s">
        <v>530</v>
      </c>
      <c r="C76" s="10"/>
      <c r="D76" s="10"/>
      <c r="K76"/>
      <c r="L76" s="11" t="s">
        <v>375</v>
      </c>
      <c r="M76" s="2" t="str">
        <f t="shared" si="3"/>
        <v>Медвежье.Неоком..5 (сеноман)</v>
      </c>
      <c r="N76" s="2" t="s">
        <v>247</v>
      </c>
      <c r="O76" s="2" t="str">
        <f t="shared" si="4"/>
        <v>Медвежье.Неоком.УКПГ-9</v>
      </c>
      <c r="P76"/>
      <c r="Q76" s="2" t="str">
        <f t="shared" si="5"/>
        <v>Медвежье.Неоком</v>
      </c>
      <c r="R76" s="21" t="s">
        <v>42</v>
      </c>
      <c r="S76" s="22" t="s">
        <v>114</v>
      </c>
      <c r="T76" s="23" t="s">
        <v>108</v>
      </c>
      <c r="U76" t="s">
        <v>59</v>
      </c>
      <c r="V76" t="s">
        <v>72</v>
      </c>
      <c r="W76" t="s">
        <v>76</v>
      </c>
      <c r="X76"/>
    </row>
    <row r="77" spans="2:24" ht="25.5" x14ac:dyDescent="0.2">
      <c r="B77" s="11" t="s">
        <v>531</v>
      </c>
      <c r="C77" s="10"/>
      <c r="D77" s="10"/>
      <c r="K77"/>
      <c r="L77" s="11" t="s">
        <v>376</v>
      </c>
      <c r="M77" s="2" t="str">
        <f t="shared" si="3"/>
        <v>Оренбургское НГКМ...Р5-А3</v>
      </c>
      <c r="N77" s="2" t="s">
        <v>248</v>
      </c>
      <c r="O77" s="2" t="str">
        <f t="shared" si="4"/>
        <v>Оренбургское НГКМ..УКПГ-2</v>
      </c>
      <c r="P77"/>
      <c r="Q77" s="2" t="str">
        <f t="shared" si="5"/>
        <v>Оренбургское НГКМ.</v>
      </c>
      <c r="R77" s="18" t="s">
        <v>43</v>
      </c>
      <c r="S77" s="19" t="s">
        <v>57</v>
      </c>
      <c r="T77" s="20" t="s">
        <v>115</v>
      </c>
      <c r="U77"/>
      <c r="V77" t="e">
        <v>#VALUE!</v>
      </c>
      <c r="W77"/>
      <c r="X77"/>
    </row>
    <row r="78" spans="2:24" ht="25.5" x14ac:dyDescent="0.2">
      <c r="B78" s="11" t="s">
        <v>532</v>
      </c>
      <c r="C78" s="10"/>
      <c r="D78" s="10"/>
      <c r="K78"/>
      <c r="L78"/>
      <c r="M78" s="2" t="str">
        <f t="shared" si="3"/>
        <v>Оренбургское НГКМ...Р4+5+6</v>
      </c>
      <c r="N78" s="2" t="s">
        <v>249</v>
      </c>
      <c r="O78" s="2" t="str">
        <f t="shared" si="4"/>
        <v>Оренбургское НГКМ..УКПГ-10</v>
      </c>
      <c r="P78"/>
      <c r="Q78" s="2" t="str">
        <f t="shared" si="5"/>
        <v>Оренбургское НГКМ.</v>
      </c>
      <c r="R78" s="21" t="s">
        <v>43</v>
      </c>
      <c r="S78" s="22" t="s">
        <v>116</v>
      </c>
      <c r="T78" s="23" t="s">
        <v>117</v>
      </c>
      <c r="U78"/>
      <c r="V78" t="e">
        <v>#VALUE!</v>
      </c>
      <c r="W78"/>
      <c r="X78"/>
    </row>
    <row r="79" spans="2:24" ht="25.5" x14ac:dyDescent="0.2">
      <c r="B79" s="11" t="s">
        <v>489</v>
      </c>
      <c r="C79" s="10"/>
      <c r="D79" s="10"/>
      <c r="K79"/>
      <c r="L79"/>
      <c r="M79" s="2" t="str">
        <f t="shared" si="3"/>
        <v>Оренбургское НГКМ...Р5-А3</v>
      </c>
      <c r="N79" s="2" t="s">
        <v>250</v>
      </c>
      <c r="O79" s="2" t="str">
        <f t="shared" si="4"/>
        <v>Оренбургское НГКМ..УКПГ-10</v>
      </c>
      <c r="P79"/>
      <c r="Q79" s="2" t="str">
        <f t="shared" si="5"/>
        <v>Оренбургское НГКМ.</v>
      </c>
      <c r="R79" s="18" t="s">
        <v>43</v>
      </c>
      <c r="S79" s="19" t="s">
        <v>116</v>
      </c>
      <c r="T79" s="20" t="s">
        <v>115</v>
      </c>
      <c r="U79"/>
      <c r="V79" t="e">
        <v>#VALUE!</v>
      </c>
      <c r="W79"/>
      <c r="X79"/>
    </row>
    <row r="80" spans="2:24" x14ac:dyDescent="0.2">
      <c r="B80" s="11" t="s">
        <v>533</v>
      </c>
      <c r="C80" s="10"/>
      <c r="D80" s="10"/>
      <c r="K80"/>
      <c r="L80"/>
      <c r="M80" s="2" t="str">
        <f t="shared" si="3"/>
        <v>Оренбургское НГКМ...Р5-А3</v>
      </c>
      <c r="N80" s="2" t="s">
        <v>251</v>
      </c>
      <c r="O80" s="2" t="str">
        <f t="shared" si="4"/>
        <v>Оренбургское НГКМ..УКПГ-1</v>
      </c>
      <c r="P80"/>
      <c r="Q80" s="2" t="str">
        <f t="shared" si="5"/>
        <v>Оренбургское НГКМ.</v>
      </c>
      <c r="R80" s="21" t="s">
        <v>43</v>
      </c>
      <c r="S80" s="22" t="s">
        <v>64</v>
      </c>
      <c r="T80" s="23" t="s">
        <v>115</v>
      </c>
      <c r="U80"/>
      <c r="V80" t="e">
        <v>#VALUE!</v>
      </c>
      <c r="W80"/>
      <c r="X80"/>
    </row>
    <row r="81" spans="2:24" ht="25.5" x14ac:dyDescent="0.2">
      <c r="B81" s="11" t="s">
        <v>534</v>
      </c>
      <c r="C81" s="10"/>
      <c r="D81" s="10"/>
      <c r="K81"/>
      <c r="L81"/>
      <c r="M81" s="2" t="str">
        <f t="shared" si="3"/>
        <v>Оренбургское НГКМ...Р5-А3</v>
      </c>
      <c r="N81" s="2" t="s">
        <v>252</v>
      </c>
      <c r="O81" s="2" t="str">
        <f t="shared" si="4"/>
        <v>Оренбургское НГКМ..УКПГ-14</v>
      </c>
      <c r="P81"/>
      <c r="Q81" s="2" t="str">
        <f t="shared" si="5"/>
        <v>Оренбургское НГКМ.</v>
      </c>
      <c r="R81" s="18" t="s">
        <v>43</v>
      </c>
      <c r="S81" s="19" t="s">
        <v>118</v>
      </c>
      <c r="T81" s="20" t="s">
        <v>115</v>
      </c>
      <c r="U81"/>
      <c r="V81" t="e">
        <v>#VALUE!</v>
      </c>
      <c r="W81"/>
      <c r="X81"/>
    </row>
    <row r="82" spans="2:24" x14ac:dyDescent="0.2">
      <c r="B82" s="11" t="s">
        <v>535</v>
      </c>
      <c r="C82" s="10"/>
      <c r="D82" s="10"/>
      <c r="K82"/>
      <c r="L82"/>
      <c r="M82" s="2" t="str">
        <f t="shared" si="3"/>
        <v>Оренбургское НГКМ...Р5-А3</v>
      </c>
      <c r="N82" s="2" t="s">
        <v>253</v>
      </c>
      <c r="O82" s="2" t="str">
        <f t="shared" si="4"/>
        <v>Оренбургское НГКМ..УКПГ-12</v>
      </c>
      <c r="P82"/>
      <c r="Q82" s="2" t="str">
        <f t="shared" si="5"/>
        <v>Оренбургское НГКМ.</v>
      </c>
      <c r="R82" s="21" t="s">
        <v>43</v>
      </c>
      <c r="S82" s="22" t="s">
        <v>119</v>
      </c>
      <c r="T82" s="23" t="s">
        <v>115</v>
      </c>
      <c r="U82"/>
      <c r="V82" t="e">
        <v>#VALUE!</v>
      </c>
      <c r="W82"/>
      <c r="X82"/>
    </row>
    <row r="83" spans="2:24" ht="25.5" x14ac:dyDescent="0.2">
      <c r="B83" s="11" t="s">
        <v>536</v>
      </c>
      <c r="C83" s="10"/>
      <c r="D83" s="10"/>
      <c r="K83"/>
      <c r="L83"/>
      <c r="M83" s="2" t="str">
        <f t="shared" si="3"/>
        <v>Оренбургское НГКМ...Р3</v>
      </c>
      <c r="N83" s="2" t="s">
        <v>254</v>
      </c>
      <c r="O83" s="2" t="str">
        <f t="shared" si="4"/>
        <v>Оренбургское НГКМ..УКПГ-12</v>
      </c>
      <c r="P83"/>
      <c r="Q83" s="2" t="str">
        <f t="shared" si="5"/>
        <v>Оренбургское НГКМ.</v>
      </c>
      <c r="R83" s="18" t="s">
        <v>43</v>
      </c>
      <c r="S83" s="19" t="s">
        <v>119</v>
      </c>
      <c r="T83" s="20" t="s">
        <v>120</v>
      </c>
      <c r="U83"/>
      <c r="V83" t="e">
        <v>#VALUE!</v>
      </c>
      <c r="W83"/>
      <c r="X83"/>
    </row>
    <row r="84" spans="2:24" x14ac:dyDescent="0.2">
      <c r="B84" s="11" t="s">
        <v>537</v>
      </c>
      <c r="C84" s="10"/>
      <c r="D84" s="10"/>
      <c r="K84"/>
      <c r="L84"/>
      <c r="M84" s="2" t="str">
        <f t="shared" si="3"/>
        <v>Оренбургское НГКМ...Р5-А3</v>
      </c>
      <c r="N84" s="2" t="s">
        <v>255</v>
      </c>
      <c r="O84" s="2" t="str">
        <f t="shared" si="4"/>
        <v>Оренбургское НГКМ..УКПГ-3</v>
      </c>
      <c r="P84"/>
      <c r="Q84" s="2" t="str">
        <f t="shared" si="5"/>
        <v>Оренбургское НГКМ.</v>
      </c>
      <c r="R84" s="21" t="s">
        <v>43</v>
      </c>
      <c r="S84" s="22" t="s">
        <v>61</v>
      </c>
      <c r="T84" s="23" t="s">
        <v>115</v>
      </c>
      <c r="U84"/>
      <c r="V84" t="e">
        <v>#VALUE!</v>
      </c>
      <c r="W84"/>
      <c r="X84"/>
    </row>
    <row r="85" spans="2:24" ht="25.5" x14ac:dyDescent="0.2">
      <c r="B85" s="11" t="s">
        <v>538</v>
      </c>
      <c r="C85" s="10"/>
      <c r="D85" s="10"/>
      <c r="K85"/>
      <c r="L85"/>
      <c r="M85" s="2" t="str">
        <f t="shared" si="3"/>
        <v>Оренбургское НГКМ...Р3</v>
      </c>
      <c r="N85" s="2" t="s">
        <v>256</v>
      </c>
      <c r="O85" s="2" t="str">
        <f t="shared" si="4"/>
        <v>Оренбургское НГКМ..УКПГ-3</v>
      </c>
      <c r="P85"/>
      <c r="Q85" s="2" t="str">
        <f t="shared" si="5"/>
        <v>Оренбургское НГКМ.</v>
      </c>
      <c r="R85" s="18" t="s">
        <v>43</v>
      </c>
      <c r="S85" s="19" t="s">
        <v>61</v>
      </c>
      <c r="T85" s="20" t="s">
        <v>120</v>
      </c>
      <c r="U85"/>
      <c r="V85" t="e">
        <v>#VALUE!</v>
      </c>
      <c r="W85"/>
      <c r="X85"/>
    </row>
    <row r="86" spans="2:24" ht="25.5" x14ac:dyDescent="0.2">
      <c r="B86" s="11" t="s">
        <v>539</v>
      </c>
      <c r="C86" s="10"/>
      <c r="D86" s="10"/>
      <c r="K86"/>
      <c r="L86"/>
      <c r="M86" s="2" t="str">
        <f t="shared" si="3"/>
        <v>Оренбургское НГКМ...Р5-А3</v>
      </c>
      <c r="N86" s="2" t="s">
        <v>257</v>
      </c>
      <c r="O86" s="2" t="str">
        <f t="shared" si="4"/>
        <v>Оренбургское НГКМ..УКПГ-6</v>
      </c>
      <c r="P86"/>
      <c r="Q86" s="2" t="str">
        <f t="shared" si="5"/>
        <v>Оренбургское НГКМ.</v>
      </c>
      <c r="R86" s="21" t="s">
        <v>43</v>
      </c>
      <c r="S86" s="22" t="s">
        <v>111</v>
      </c>
      <c r="T86" s="23" t="s">
        <v>115</v>
      </c>
      <c r="U86"/>
      <c r="V86" t="e">
        <v>#VALUE!</v>
      </c>
      <c r="W86"/>
      <c r="X86"/>
    </row>
    <row r="87" spans="2:24" ht="25.5" x14ac:dyDescent="0.2">
      <c r="B87" s="11" t="s">
        <v>489</v>
      </c>
      <c r="C87" s="10"/>
      <c r="D87" s="10"/>
      <c r="K87"/>
      <c r="L87"/>
      <c r="M87" s="2" t="str">
        <f t="shared" si="3"/>
        <v>Оренбургское НГКМ...Р3</v>
      </c>
      <c r="N87" s="2" t="s">
        <v>258</v>
      </c>
      <c r="O87" s="2" t="str">
        <f t="shared" si="4"/>
        <v>Оренбургское НГКМ..УКПГ-14</v>
      </c>
      <c r="P87"/>
      <c r="Q87" s="2" t="str">
        <f t="shared" si="5"/>
        <v>Оренбургское НГКМ.</v>
      </c>
      <c r="R87" s="18" t="s">
        <v>43</v>
      </c>
      <c r="S87" s="19" t="s">
        <v>118</v>
      </c>
      <c r="T87" s="20" t="s">
        <v>120</v>
      </c>
      <c r="U87"/>
      <c r="V87" t="e">
        <v>#VALUE!</v>
      </c>
      <c r="W87"/>
      <c r="X87"/>
    </row>
    <row r="88" spans="2:24" x14ac:dyDescent="0.2">
      <c r="B88" s="11" t="s">
        <v>540</v>
      </c>
      <c r="C88" s="10"/>
      <c r="D88" s="10"/>
      <c r="K88"/>
      <c r="L88"/>
      <c r="M88" s="2" t="str">
        <f t="shared" si="3"/>
        <v>Оренбургское НГКМ...Р5-А3</v>
      </c>
      <c r="N88" s="2" t="s">
        <v>259</v>
      </c>
      <c r="O88" s="2" t="str">
        <f t="shared" si="4"/>
        <v>Оренбургское НГКМ..УКПГ-15</v>
      </c>
      <c r="P88"/>
      <c r="Q88" s="2" t="str">
        <f t="shared" si="5"/>
        <v>Оренбургское НГКМ.</v>
      </c>
      <c r="R88" s="21" t="s">
        <v>43</v>
      </c>
      <c r="S88" s="22" t="s">
        <v>121</v>
      </c>
      <c r="T88" s="23" t="s">
        <v>115</v>
      </c>
      <c r="U88"/>
      <c r="V88" t="e">
        <v>#VALUE!</v>
      </c>
      <c r="W88"/>
      <c r="X88"/>
    </row>
    <row r="89" spans="2:24" ht="25.5" x14ac:dyDescent="0.2">
      <c r="B89" s="11" t="s">
        <v>541</v>
      </c>
      <c r="C89" s="10"/>
      <c r="D89" s="10"/>
      <c r="K89"/>
      <c r="L89"/>
      <c r="M89" s="2" t="str">
        <f t="shared" si="3"/>
        <v>Оренбургское НГКМ...Р3</v>
      </c>
      <c r="N89" s="2" t="s">
        <v>260</v>
      </c>
      <c r="O89" s="2" t="str">
        <f t="shared" si="4"/>
        <v>Оренбургское НГКМ..УКПГ-15</v>
      </c>
      <c r="P89"/>
      <c r="Q89" s="2" t="str">
        <f t="shared" si="5"/>
        <v>Оренбургское НГКМ.</v>
      </c>
      <c r="R89" s="18" t="s">
        <v>43</v>
      </c>
      <c r="S89" s="19" t="s">
        <v>121</v>
      </c>
      <c r="T89" s="20" t="s">
        <v>120</v>
      </c>
      <c r="U89"/>
      <c r="V89" t="e">
        <v>#VALUE!</v>
      </c>
      <c r="W89"/>
      <c r="X89"/>
    </row>
    <row r="90" spans="2:24" x14ac:dyDescent="0.2">
      <c r="B90" s="11" t="s">
        <v>542</v>
      </c>
      <c r="C90" s="10"/>
      <c r="D90" s="10"/>
      <c r="K90"/>
      <c r="L90"/>
      <c r="M90" s="2" t="str">
        <f t="shared" si="3"/>
        <v>Оренбургское НГКМ...Р5-А3</v>
      </c>
      <c r="N90" s="2" t="s">
        <v>261</v>
      </c>
      <c r="O90" s="2" t="str">
        <f t="shared" si="4"/>
        <v>Оренбургское НГКМ..УКПГ-7</v>
      </c>
      <c r="P90"/>
      <c r="Q90" s="2" t="str">
        <f t="shared" si="5"/>
        <v>Оренбургское НГКМ.</v>
      </c>
      <c r="R90" s="21" t="s">
        <v>43</v>
      </c>
      <c r="S90" s="22" t="s">
        <v>112</v>
      </c>
      <c r="T90" s="23" t="s">
        <v>115</v>
      </c>
      <c r="U90"/>
      <c r="V90" t="e">
        <v>#VALUE!</v>
      </c>
      <c r="W90"/>
      <c r="X90"/>
    </row>
    <row r="91" spans="2:24" x14ac:dyDescent="0.2">
      <c r="C91" s="10"/>
      <c r="D91" s="10"/>
      <c r="K91"/>
      <c r="L91"/>
      <c r="M91" s="2" t="str">
        <f t="shared" si="3"/>
        <v>Оренбургское НГКМ...Р5-А3</v>
      </c>
      <c r="N91" s="2" t="s">
        <v>262</v>
      </c>
      <c r="O91" s="2" t="str">
        <f t="shared" si="4"/>
        <v>Оренбургское НГКМ..УКПГ-8</v>
      </c>
      <c r="P91"/>
      <c r="Q91" s="2" t="str">
        <f t="shared" si="5"/>
        <v>Оренбургское НГКМ.</v>
      </c>
      <c r="R91" s="18" t="s">
        <v>43</v>
      </c>
      <c r="S91" s="19" t="s">
        <v>113</v>
      </c>
      <c r="T91" s="20" t="s">
        <v>115</v>
      </c>
      <c r="U91"/>
      <c r="V91" t="e">
        <v>#VALUE!</v>
      </c>
      <c r="W91"/>
      <c r="X91"/>
    </row>
    <row r="92" spans="2:24" x14ac:dyDescent="0.2">
      <c r="C92" s="10"/>
      <c r="D92" s="10"/>
      <c r="K92"/>
      <c r="L92"/>
      <c r="M92" s="2" t="str">
        <f t="shared" si="3"/>
        <v>Оренбургское НГКМ...А1/1-А4/1</v>
      </c>
      <c r="N92" s="2" t="s">
        <v>263</v>
      </c>
      <c r="O92" s="2" t="str">
        <f t="shared" si="4"/>
        <v>Оренбургское НГКМ..MSK_BSHK</v>
      </c>
      <c r="P92"/>
      <c r="Q92" s="2" t="str">
        <f t="shared" si="5"/>
        <v>Оренбургское НГКМ.</v>
      </c>
      <c r="R92" s="21" t="s">
        <v>43</v>
      </c>
      <c r="S92" s="22" t="s">
        <v>122</v>
      </c>
      <c r="T92" s="23" t="s">
        <v>123</v>
      </c>
      <c r="U92"/>
      <c r="V92" t="e">
        <v>#VALUE!</v>
      </c>
      <c r="W92"/>
      <c r="X92"/>
    </row>
    <row r="93" spans="2:24" x14ac:dyDescent="0.2">
      <c r="C93" s="10"/>
      <c r="D93" s="10"/>
      <c r="K93"/>
      <c r="L93"/>
      <c r="M93" s="2" t="str">
        <f t="shared" si="3"/>
        <v>Оренбургское НГКМ...Р5-А3</v>
      </c>
      <c r="N93" s="2" t="s">
        <v>264</v>
      </c>
      <c r="O93" s="2" t="str">
        <f t="shared" si="4"/>
        <v>Оренбургское НГКМ..УКПГ-9</v>
      </c>
      <c r="P93"/>
      <c r="Q93" s="2" t="str">
        <f t="shared" si="5"/>
        <v>Оренбургское НГКМ.</v>
      </c>
      <c r="R93" s="18" t="s">
        <v>43</v>
      </c>
      <c r="S93" s="19" t="s">
        <v>114</v>
      </c>
      <c r="T93" s="20" t="s">
        <v>115</v>
      </c>
      <c r="U93"/>
      <c r="V93" t="e">
        <v>#VALUE!</v>
      </c>
      <c r="W93"/>
      <c r="X93"/>
    </row>
    <row r="94" spans="2:24" x14ac:dyDescent="0.2">
      <c r="C94" s="10"/>
      <c r="D94" s="10"/>
      <c r="K94"/>
      <c r="L94"/>
      <c r="M94" s="2" t="str">
        <f t="shared" si="3"/>
        <v>Оренбургское НГКМ...Р3</v>
      </c>
      <c r="N94"/>
      <c r="O94" s="2" t="str">
        <f t="shared" si="4"/>
        <v>Оренбургское НГКМ..УКПГ-1</v>
      </c>
      <c r="P94"/>
      <c r="Q94" s="2" t="str">
        <f t="shared" si="5"/>
        <v>Оренбургское НГКМ.</v>
      </c>
      <c r="R94" s="21" t="s">
        <v>43</v>
      </c>
      <c r="S94" s="22" t="s">
        <v>64</v>
      </c>
      <c r="T94" s="23" t="s">
        <v>120</v>
      </c>
      <c r="U94"/>
      <c r="V94" t="e">
        <v>#VALUE!</v>
      </c>
      <c r="W94"/>
      <c r="X94"/>
    </row>
    <row r="95" spans="2:24" x14ac:dyDescent="0.2">
      <c r="C95" s="10"/>
      <c r="D95" s="10"/>
      <c r="K95"/>
      <c r="L95"/>
      <c r="M95" s="2" t="str">
        <f t="shared" si="3"/>
        <v>Оренбургское НГКМ...Р3</v>
      </c>
      <c r="N95"/>
      <c r="O95" s="2" t="str">
        <f t="shared" si="4"/>
        <v>Оренбургское НГКМ..УКПГ-14</v>
      </c>
      <c r="P95"/>
      <c r="Q95" s="2" t="str">
        <f t="shared" si="5"/>
        <v>Оренбургское НГКМ.</v>
      </c>
      <c r="R95" s="18" t="s">
        <v>43</v>
      </c>
      <c r="S95" s="19" t="s">
        <v>118</v>
      </c>
      <c r="T95" s="20" t="s">
        <v>120</v>
      </c>
      <c r="U95"/>
      <c r="V95" t="e">
        <v>#VALUE!</v>
      </c>
      <c r="W95"/>
      <c r="X95"/>
    </row>
    <row r="96" spans="2:24" x14ac:dyDescent="0.2">
      <c r="C96" s="10"/>
      <c r="D96" s="10"/>
      <c r="K96"/>
      <c r="L96"/>
      <c r="M96" s="2" t="str">
        <f t="shared" si="3"/>
        <v>Оренбургское НГКМ...Р7</v>
      </c>
      <c r="N96"/>
      <c r="O96" s="2" t="str">
        <f t="shared" si="4"/>
        <v>Оренбургское НГКМ..УКПГ-10</v>
      </c>
      <c r="P96"/>
      <c r="Q96" s="2" t="str">
        <f t="shared" si="5"/>
        <v>Оренбургское НГКМ.</v>
      </c>
      <c r="R96" s="21" t="s">
        <v>43</v>
      </c>
      <c r="S96" s="22" t="s">
        <v>116</v>
      </c>
      <c r="T96" s="23" t="s">
        <v>124</v>
      </c>
      <c r="U96"/>
      <c r="V96" t="e">
        <v>#VALUE!</v>
      </c>
      <c r="W96"/>
      <c r="X96"/>
    </row>
    <row r="97" spans="3:24" x14ac:dyDescent="0.2">
      <c r="C97" s="10"/>
      <c r="D97" s="10"/>
      <c r="K97"/>
      <c r="L97"/>
      <c r="M97" s="2" t="str">
        <f t="shared" si="3"/>
        <v>Оренбургское НГКМ...А0-А2</v>
      </c>
      <c r="N97"/>
      <c r="O97" s="2" t="str">
        <f t="shared" si="4"/>
        <v>Оренбургское НГКМ..УКПГ-14</v>
      </c>
      <c r="P97"/>
      <c r="Q97" s="2" t="str">
        <f t="shared" si="5"/>
        <v>Оренбургское НГКМ.</v>
      </c>
      <c r="R97" s="18" t="s">
        <v>43</v>
      </c>
      <c r="S97" s="19" t="s">
        <v>118</v>
      </c>
      <c r="T97" s="20" t="s">
        <v>125</v>
      </c>
      <c r="U97"/>
      <c r="V97" t="e">
        <v>#VALUE!</v>
      </c>
      <c r="W97"/>
      <c r="X97"/>
    </row>
    <row r="98" spans="3:24" x14ac:dyDescent="0.2">
      <c r="C98" s="10"/>
      <c r="D98" s="10"/>
      <c r="K98"/>
      <c r="L98"/>
      <c r="M98" s="2" t="str">
        <f t="shared" si="3"/>
        <v>Оренбургское НГКМ...А0-А2</v>
      </c>
      <c r="N98"/>
      <c r="O98" s="2" t="str">
        <f t="shared" si="4"/>
        <v>Оренбургское НГКМ..УКПГ-15</v>
      </c>
      <c r="P98"/>
      <c r="Q98" s="2" t="str">
        <f t="shared" si="5"/>
        <v>Оренбургское НГКМ.</v>
      </c>
      <c r="R98" s="21" t="s">
        <v>43</v>
      </c>
      <c r="S98" s="22" t="s">
        <v>121</v>
      </c>
      <c r="T98" s="23" t="s">
        <v>125</v>
      </c>
      <c r="U98"/>
      <c r="V98" t="e">
        <v>#VALUE!</v>
      </c>
      <c r="W98"/>
      <c r="X98"/>
    </row>
    <row r="99" spans="3:24" x14ac:dyDescent="0.2">
      <c r="C99" s="10"/>
      <c r="D99" s="10"/>
      <c r="K99"/>
      <c r="L99"/>
      <c r="M99" s="2" t="str">
        <f t="shared" si="3"/>
        <v>Оренбургское НГКМ...P5-A3</v>
      </c>
      <c r="N99"/>
      <c r="O99" s="2" t="str">
        <f t="shared" si="4"/>
        <v>Оренбургское НГКМ..УКПГ-14</v>
      </c>
      <c r="P99"/>
      <c r="Q99" s="2" t="str">
        <f t="shared" si="5"/>
        <v>Оренбургское НГКМ.</v>
      </c>
      <c r="R99" s="18" t="s">
        <v>43</v>
      </c>
      <c r="S99" s="19" t="s">
        <v>118</v>
      </c>
      <c r="T99" s="20" t="s">
        <v>126</v>
      </c>
      <c r="U99"/>
      <c r="V99" t="e">
        <v>#VALUE!</v>
      </c>
      <c r="W99"/>
      <c r="X99"/>
    </row>
    <row r="100" spans="3:24" x14ac:dyDescent="0.2">
      <c r="C100" s="10"/>
      <c r="D100" s="10"/>
      <c r="K100"/>
      <c r="L100"/>
      <c r="M100" s="2" t="str">
        <f t="shared" si="3"/>
        <v>Оренбургское НГКМ...Р4+5+6</v>
      </c>
      <c r="N100"/>
      <c r="O100" s="2" t="str">
        <f t="shared" si="4"/>
        <v>Оренбургское НГКМ..УКПГ-10</v>
      </c>
      <c r="P100"/>
      <c r="Q100" s="2" t="str">
        <f t="shared" si="5"/>
        <v>Оренбургское НГКМ.</v>
      </c>
      <c r="R100" s="21" t="s">
        <v>43</v>
      </c>
      <c r="S100" s="22" t="s">
        <v>116</v>
      </c>
      <c r="T100" s="23" t="s">
        <v>117</v>
      </c>
      <c r="U100"/>
      <c r="V100" t="e">
        <v>#VALUE!</v>
      </c>
      <c r="W100"/>
      <c r="X100"/>
    </row>
    <row r="101" spans="3:24" x14ac:dyDescent="0.2">
      <c r="C101" s="10"/>
      <c r="D101" s="10"/>
      <c r="K101"/>
      <c r="L101"/>
      <c r="M101" s="2" t="str">
        <f t="shared" si="3"/>
        <v>Оренбургское НГКМ...Р3</v>
      </c>
      <c r="N101"/>
      <c r="O101" s="2" t="str">
        <f t="shared" si="4"/>
        <v>Оренбургское НГКМ..УКПГ-15</v>
      </c>
      <c r="P101"/>
      <c r="Q101" s="2" t="str">
        <f t="shared" si="5"/>
        <v>Оренбургское НГКМ.</v>
      </c>
      <c r="R101" s="18" t="s">
        <v>43</v>
      </c>
      <c r="S101" s="19" t="s">
        <v>121</v>
      </c>
      <c r="T101" s="20" t="s">
        <v>120</v>
      </c>
      <c r="U101"/>
      <c r="V101" t="e">
        <v>#VALUE!</v>
      </c>
      <c r="W101"/>
      <c r="X101"/>
    </row>
    <row r="102" spans="3:24" ht="25.5" x14ac:dyDescent="0.2">
      <c r="C102" s="10"/>
      <c r="D102" s="10"/>
      <c r="K102"/>
      <c r="L102"/>
      <c r="M102" s="2" t="str">
        <f t="shared" si="3"/>
        <v>Северо-Уренгойское.Сеноман..K2s пл. ПК1</v>
      </c>
      <c r="N102"/>
      <c r="O102" s="2" t="str">
        <f t="shared" si="4"/>
        <v>Северо-Уренгойское.Сеноман.УКПГ-15 ЗАПАДНЫЙ КУПОЛ</v>
      </c>
      <c r="P102"/>
      <c r="Q102" s="2" t="str">
        <f t="shared" si="5"/>
        <v>Северо-Уренгойское.Сеноман</v>
      </c>
      <c r="R102" s="21" t="s">
        <v>44</v>
      </c>
      <c r="S102" s="22" t="s">
        <v>127</v>
      </c>
      <c r="T102" s="23" t="s">
        <v>128</v>
      </c>
      <c r="U102" t="s">
        <v>59</v>
      </c>
      <c r="V102" t="s">
        <v>72</v>
      </c>
      <c r="W102" t="s">
        <v>72</v>
      </c>
      <c r="X102"/>
    </row>
    <row r="103" spans="3:24" ht="25.5" x14ac:dyDescent="0.2">
      <c r="C103" s="10"/>
      <c r="D103" s="10"/>
      <c r="K103"/>
      <c r="L103"/>
      <c r="M103" s="2" t="str">
        <f t="shared" si="3"/>
        <v>Северо-Уренгойское.Сеноман..K2s пл. ПК1</v>
      </c>
      <c r="N103"/>
      <c r="O103" s="2" t="str">
        <f t="shared" si="4"/>
        <v>Северо-Уренгойское.Сеноман.УКПГ-15 ВОСТОЧНЫЙ КУПОЛ</v>
      </c>
      <c r="P103"/>
      <c r="Q103" s="2" t="str">
        <f t="shared" si="5"/>
        <v>Северо-Уренгойское.Сеноман</v>
      </c>
      <c r="R103" s="18" t="s">
        <v>44</v>
      </c>
      <c r="S103" s="19" t="s">
        <v>129</v>
      </c>
      <c r="T103" s="20" t="s">
        <v>128</v>
      </c>
      <c r="U103" t="s">
        <v>59</v>
      </c>
      <c r="V103" t="s">
        <v>72</v>
      </c>
      <c r="W103" t="s">
        <v>72</v>
      </c>
      <c r="X103"/>
    </row>
    <row r="104" spans="3:24" ht="25.5" x14ac:dyDescent="0.2">
      <c r="C104" s="10"/>
      <c r="D104" s="10"/>
      <c r="K104"/>
      <c r="L104"/>
      <c r="M104" s="2" t="str">
        <f t="shared" si="3"/>
        <v>Северо-Уренгойское.Сеноман..K2s пл. ПК1</v>
      </c>
      <c r="N104"/>
      <c r="O104" s="2" t="str">
        <f t="shared" si="4"/>
        <v>Северо-Уренгойское.Сеноман.УКПГ-15 западный КУПОЛ</v>
      </c>
      <c r="P104"/>
      <c r="Q104" s="2" t="str">
        <f t="shared" si="5"/>
        <v>Северо-Уренгойское.Сеноман</v>
      </c>
      <c r="R104" s="21" t="s">
        <v>44</v>
      </c>
      <c r="S104" s="22" t="s">
        <v>130</v>
      </c>
      <c r="T104" s="23" t="s">
        <v>128</v>
      </c>
      <c r="U104" t="s">
        <v>59</v>
      </c>
      <c r="V104" t="s">
        <v>72</v>
      </c>
      <c r="W104" t="s">
        <v>72</v>
      </c>
      <c r="X104"/>
    </row>
    <row r="105" spans="3:24" ht="25.5" x14ac:dyDescent="0.2">
      <c r="C105" s="10"/>
      <c r="D105" s="10"/>
      <c r="K105"/>
      <c r="L105"/>
      <c r="M105" s="2" t="str">
        <f t="shared" si="3"/>
        <v>Уренгойское.Ачимовский.Участок 1А.2a+3a</v>
      </c>
      <c r="N105"/>
      <c r="O105" s="2" t="str">
        <f t="shared" si="4"/>
        <v>Уренгойское.Ачимовский.УКПГ-31</v>
      </c>
      <c r="P105"/>
      <c r="Q105" s="2" t="str">
        <f t="shared" si="5"/>
        <v>Уренгойское.Ачимовский</v>
      </c>
      <c r="R105" s="18" t="s">
        <v>45</v>
      </c>
      <c r="S105" s="19" t="s">
        <v>131</v>
      </c>
      <c r="T105" s="20" t="s">
        <v>132</v>
      </c>
      <c r="U105" s="25" t="s">
        <v>80</v>
      </c>
      <c r="V105" t="s">
        <v>170</v>
      </c>
      <c r="W105" t="s">
        <v>103</v>
      </c>
      <c r="X105" t="s">
        <v>133</v>
      </c>
    </row>
    <row r="106" spans="3:24" ht="25.5" x14ac:dyDescent="0.2">
      <c r="C106" s="10"/>
      <c r="D106" s="10"/>
      <c r="K106"/>
      <c r="L106"/>
      <c r="M106" s="2" t="str">
        <f t="shared" si="3"/>
        <v>Уренгойское.Ачимовский.Участок 2А.2a+3a</v>
      </c>
      <c r="N106"/>
      <c r="O106" s="2" t="str">
        <f t="shared" si="4"/>
        <v>Уренгойское.Ачимовский.УКПГ-22</v>
      </c>
      <c r="P106"/>
      <c r="Q106" s="2" t="str">
        <f t="shared" si="5"/>
        <v>Уренгойское.Ачимовский</v>
      </c>
      <c r="R106" s="21" t="s">
        <v>45</v>
      </c>
      <c r="S106" s="22" t="s">
        <v>134</v>
      </c>
      <c r="T106" s="23" t="s">
        <v>132</v>
      </c>
      <c r="U106" s="25" t="s">
        <v>80</v>
      </c>
      <c r="V106" t="s">
        <v>170</v>
      </c>
      <c r="W106" t="s">
        <v>103</v>
      </c>
      <c r="X106" t="s">
        <v>135</v>
      </c>
    </row>
    <row r="107" spans="3:24" ht="25.5" x14ac:dyDescent="0.2">
      <c r="C107" s="10"/>
      <c r="D107" s="10"/>
      <c r="K107"/>
      <c r="L107"/>
      <c r="M107" s="2" t="str">
        <f t="shared" si="3"/>
        <v>Уренгойское.Ачимовский.Участок 2А.2a+3a</v>
      </c>
      <c r="N107"/>
      <c r="O107" s="2" t="str">
        <f t="shared" si="4"/>
        <v>Уренгойское.Ачимовский.УКПГ-21</v>
      </c>
      <c r="P107"/>
      <c r="Q107" s="2" t="str">
        <f t="shared" si="5"/>
        <v>Уренгойское.Ачимовский</v>
      </c>
      <c r="R107" s="18" t="s">
        <v>45</v>
      </c>
      <c r="S107" s="19" t="s">
        <v>136</v>
      </c>
      <c r="T107" s="20" t="s">
        <v>132</v>
      </c>
      <c r="U107" s="25" t="s">
        <v>80</v>
      </c>
      <c r="V107" t="s">
        <v>170</v>
      </c>
      <c r="W107" t="s">
        <v>103</v>
      </c>
      <c r="X107" t="s">
        <v>135</v>
      </c>
    </row>
    <row r="108" spans="3:24" ht="25.5" x14ac:dyDescent="0.2">
      <c r="C108" s="10"/>
      <c r="D108" s="10"/>
      <c r="K108"/>
      <c r="L108"/>
      <c r="M108" s="2" t="str">
        <f t="shared" si="3"/>
        <v>Уренгойское.Ачимовский.Участок 4А.2a+3a</v>
      </c>
      <c r="N108"/>
      <c r="O108" s="2" t="str">
        <f t="shared" si="4"/>
        <v>Уренгойское.Ачимовский.УКПГ-41</v>
      </c>
      <c r="P108"/>
      <c r="Q108" s="2" t="str">
        <f t="shared" si="5"/>
        <v>Уренгойское.Ачимовский</v>
      </c>
      <c r="R108" s="21" t="s">
        <v>45</v>
      </c>
      <c r="S108" s="22" t="s">
        <v>137</v>
      </c>
      <c r="T108" s="23" t="s">
        <v>132</v>
      </c>
      <c r="U108" s="25" t="s">
        <v>80</v>
      </c>
      <c r="V108" t="s">
        <v>170</v>
      </c>
      <c r="W108" t="s">
        <v>103</v>
      </c>
      <c r="X108" t="s">
        <v>138</v>
      </c>
    </row>
    <row r="109" spans="3:24" ht="25.5" x14ac:dyDescent="0.2">
      <c r="C109" s="10"/>
      <c r="D109" s="10"/>
      <c r="K109"/>
      <c r="L109"/>
      <c r="M109" s="2" t="str">
        <f t="shared" si="3"/>
        <v>Уренгойское.Ачимовский.Участок 5А.2a+3a</v>
      </c>
      <c r="N109"/>
      <c r="O109" s="2" t="str">
        <f t="shared" si="4"/>
        <v>Уренгойское.Ачимовский.УКПГ-51</v>
      </c>
      <c r="P109"/>
      <c r="Q109" s="2" t="str">
        <f t="shared" si="5"/>
        <v>Уренгойское.Ачимовский</v>
      </c>
      <c r="R109" s="18" t="s">
        <v>45</v>
      </c>
      <c r="S109" s="19" t="s">
        <v>139</v>
      </c>
      <c r="T109" s="20" t="s">
        <v>132</v>
      </c>
      <c r="U109" s="25" t="s">
        <v>80</v>
      </c>
      <c r="V109" t="s">
        <v>170</v>
      </c>
      <c r="W109" t="s">
        <v>103</v>
      </c>
      <c r="X109" t="s">
        <v>140</v>
      </c>
    </row>
    <row r="110" spans="3:24" ht="25.5" x14ac:dyDescent="0.2">
      <c r="C110" s="10"/>
      <c r="D110" s="10"/>
      <c r="K110"/>
      <c r="L110"/>
      <c r="M110" s="2" t="str">
        <f t="shared" si="3"/>
        <v>Уренгойское.Сеноман.Уренгойская.K2s пл. ПК1</v>
      </c>
      <c r="N110"/>
      <c r="O110" s="2" t="str">
        <f t="shared" si="4"/>
        <v>Уренгойское.Сеноман.УКПГ-1</v>
      </c>
      <c r="P110"/>
      <c r="Q110" s="2" t="str">
        <f t="shared" si="5"/>
        <v>Уренгойское.Сеноман</v>
      </c>
      <c r="R110" s="21" t="s">
        <v>45</v>
      </c>
      <c r="S110" s="22" t="s">
        <v>64</v>
      </c>
      <c r="T110" s="23" t="s">
        <v>128</v>
      </c>
      <c r="U110" s="26" t="s">
        <v>59</v>
      </c>
      <c r="V110" t="s">
        <v>72</v>
      </c>
      <c r="W110" t="s">
        <v>72</v>
      </c>
      <c r="X110" t="s">
        <v>141</v>
      </c>
    </row>
    <row r="111" spans="3:24" ht="25.5" x14ac:dyDescent="0.2">
      <c r="C111" s="10"/>
      <c r="D111" s="10"/>
      <c r="K111"/>
      <c r="L111"/>
      <c r="M111" s="2" t="str">
        <f t="shared" si="3"/>
        <v>Уренгойское.Сеноман.Уренгойская.K2s пл. ПК1</v>
      </c>
      <c r="N111"/>
      <c r="O111" s="2" t="str">
        <f t="shared" si="4"/>
        <v>Уренгойское.Сеноман.УКПГ-3</v>
      </c>
      <c r="P111"/>
      <c r="Q111" s="2" t="str">
        <f t="shared" si="5"/>
        <v>Уренгойское.Сеноман</v>
      </c>
      <c r="R111" s="18" t="s">
        <v>45</v>
      </c>
      <c r="S111" s="19" t="s">
        <v>61</v>
      </c>
      <c r="T111" s="20" t="s">
        <v>128</v>
      </c>
      <c r="U111" s="26" t="s">
        <v>59</v>
      </c>
      <c r="V111" t="s">
        <v>72</v>
      </c>
      <c r="W111" t="s">
        <v>72</v>
      </c>
      <c r="X111" t="s">
        <v>141</v>
      </c>
    </row>
    <row r="112" spans="3:24" ht="25.5" x14ac:dyDescent="0.2">
      <c r="C112" s="10"/>
      <c r="D112" s="10"/>
      <c r="K112"/>
      <c r="L112"/>
      <c r="M112" s="2" t="str">
        <f t="shared" si="3"/>
        <v>Уренгойское.Сеноман.Уренгойская.K2s пл. ПК1</v>
      </c>
      <c r="N112"/>
      <c r="O112" s="2" t="str">
        <f t="shared" si="4"/>
        <v>Уренгойское.Сеноман.УКПГ-4</v>
      </c>
      <c r="P112"/>
      <c r="Q112" s="2" t="str">
        <f t="shared" si="5"/>
        <v>Уренгойское.Сеноман</v>
      </c>
      <c r="R112" s="21" t="s">
        <v>45</v>
      </c>
      <c r="S112" s="22" t="s">
        <v>109</v>
      </c>
      <c r="T112" s="23" t="s">
        <v>128</v>
      </c>
      <c r="U112" s="26" t="s">
        <v>59</v>
      </c>
      <c r="V112" t="s">
        <v>72</v>
      </c>
      <c r="W112" t="s">
        <v>72</v>
      </c>
      <c r="X112" t="s">
        <v>141</v>
      </c>
    </row>
    <row r="113" spans="3:24" ht="25.5" x14ac:dyDescent="0.2">
      <c r="C113" s="10"/>
      <c r="D113" s="10"/>
      <c r="K113"/>
      <c r="L113"/>
      <c r="M113" s="2" t="str">
        <f t="shared" si="3"/>
        <v>Уренгойское.Сеноман.Уренгойская.K2s пл. ПК1</v>
      </c>
      <c r="N113"/>
      <c r="O113" s="2" t="str">
        <f t="shared" si="4"/>
        <v>Уренгойское.Сеноман.УКПГ-6</v>
      </c>
      <c r="P113"/>
      <c r="Q113" s="2" t="str">
        <f t="shared" si="5"/>
        <v>Уренгойское.Сеноман</v>
      </c>
      <c r="R113" s="18" t="s">
        <v>45</v>
      </c>
      <c r="S113" s="19" t="s">
        <v>111</v>
      </c>
      <c r="T113" s="20" t="s">
        <v>128</v>
      </c>
      <c r="U113" s="26" t="s">
        <v>59</v>
      </c>
      <c r="V113" t="s">
        <v>72</v>
      </c>
      <c r="W113" t="s">
        <v>72</v>
      </c>
      <c r="X113" t="s">
        <v>141</v>
      </c>
    </row>
    <row r="114" spans="3:24" ht="25.5" x14ac:dyDescent="0.2">
      <c r="C114" s="10"/>
      <c r="D114" s="10"/>
      <c r="K114"/>
      <c r="L114"/>
      <c r="M114" s="2" t="str">
        <f t="shared" si="3"/>
        <v>Уренгойское.Сеноман.Уренгойская.K2s пл. ПК1</v>
      </c>
      <c r="N114"/>
      <c r="O114" s="2" t="str">
        <f t="shared" si="4"/>
        <v>Уренгойское.Сеноман.УКПГ-7</v>
      </c>
      <c r="P114"/>
      <c r="Q114" s="2" t="str">
        <f t="shared" si="5"/>
        <v>Уренгойское.Сеноман</v>
      </c>
      <c r="R114" s="21" t="s">
        <v>45</v>
      </c>
      <c r="S114" s="22" t="s">
        <v>112</v>
      </c>
      <c r="T114" s="23" t="s">
        <v>128</v>
      </c>
      <c r="U114" s="26" t="s">
        <v>59</v>
      </c>
      <c r="V114" t="s">
        <v>72</v>
      </c>
      <c r="W114" t="s">
        <v>72</v>
      </c>
      <c r="X114" t="s">
        <v>141</v>
      </c>
    </row>
    <row r="115" spans="3:24" ht="25.5" x14ac:dyDescent="0.2">
      <c r="C115" s="10"/>
      <c r="D115" s="10"/>
      <c r="K115"/>
      <c r="L115"/>
      <c r="M115" s="2" t="str">
        <f t="shared" si="3"/>
        <v>Уренгойское.Сеноман.Уренгойская.K2s пл. ПК1</v>
      </c>
      <c r="N115"/>
      <c r="O115" s="2" t="str">
        <f t="shared" si="4"/>
        <v>Уренгойское.Сеноман.УКПГ-2</v>
      </c>
      <c r="P115"/>
      <c r="Q115" s="2" t="str">
        <f t="shared" si="5"/>
        <v>Уренгойское.Сеноман</v>
      </c>
      <c r="R115" s="18" t="s">
        <v>45</v>
      </c>
      <c r="S115" s="19" t="s">
        <v>57</v>
      </c>
      <c r="T115" s="20" t="s">
        <v>128</v>
      </c>
      <c r="U115" s="26" t="s">
        <v>59</v>
      </c>
      <c r="V115" t="s">
        <v>72</v>
      </c>
      <c r="W115" t="s">
        <v>72</v>
      </c>
      <c r="X115" t="s">
        <v>141</v>
      </c>
    </row>
    <row r="116" spans="3:24" ht="25.5" x14ac:dyDescent="0.2">
      <c r="C116" s="10"/>
      <c r="D116" s="10"/>
      <c r="K116"/>
      <c r="L116"/>
      <c r="M116" s="2" t="str">
        <f t="shared" si="3"/>
        <v>Уренгойское.Сеноман.Уренгойская.K2s пл. ПК1</v>
      </c>
      <c r="N116"/>
      <c r="O116" s="2" t="str">
        <f t="shared" si="4"/>
        <v>Уренгойское.Сеноман.УКПГ-5</v>
      </c>
      <c r="P116"/>
      <c r="Q116" s="2" t="str">
        <f t="shared" si="5"/>
        <v>Уренгойское.Сеноман</v>
      </c>
      <c r="R116" s="21" t="s">
        <v>45</v>
      </c>
      <c r="S116" s="22" t="s">
        <v>110</v>
      </c>
      <c r="T116" s="23" t="s">
        <v>128</v>
      </c>
      <c r="U116" s="26" t="s">
        <v>59</v>
      </c>
      <c r="V116" t="s">
        <v>72</v>
      </c>
      <c r="W116" t="s">
        <v>72</v>
      </c>
      <c r="X116" t="s">
        <v>141</v>
      </c>
    </row>
    <row r="117" spans="3:24" ht="25.5" x14ac:dyDescent="0.2">
      <c r="C117" s="10"/>
      <c r="D117" s="10"/>
      <c r="K117"/>
      <c r="L117"/>
      <c r="M117" s="2" t="str">
        <f t="shared" si="3"/>
        <v>Уренгойское.Сеноман.Уренгойская.K2s пл. ПК1</v>
      </c>
      <c r="N117"/>
      <c r="O117" s="2" t="str">
        <f t="shared" si="4"/>
        <v>Уренгойское.Сеноман.УКПГ-8</v>
      </c>
      <c r="P117"/>
      <c r="Q117" s="2" t="str">
        <f t="shared" si="5"/>
        <v>Уренгойское.Сеноман</v>
      </c>
      <c r="R117" s="18" t="s">
        <v>45</v>
      </c>
      <c r="S117" s="19" t="s">
        <v>113</v>
      </c>
      <c r="T117" s="20" t="s">
        <v>128</v>
      </c>
      <c r="U117" s="26" t="s">
        <v>59</v>
      </c>
      <c r="V117" t="s">
        <v>72</v>
      </c>
      <c r="W117" t="s">
        <v>72</v>
      </c>
      <c r="X117" t="s">
        <v>141</v>
      </c>
    </row>
    <row r="118" spans="3:24" ht="25.5" x14ac:dyDescent="0.2">
      <c r="C118" s="10"/>
      <c r="D118" s="10"/>
      <c r="K118"/>
      <c r="L118"/>
      <c r="M118" s="2" t="str">
        <f t="shared" si="3"/>
        <v>Уренгойское.Сеноман.Уренгойская.K2s пл. ПК1</v>
      </c>
      <c r="N118"/>
      <c r="O118" s="2" t="str">
        <f t="shared" si="4"/>
        <v>Уренгойское.Сеноман.УКПГ-10</v>
      </c>
      <c r="P118"/>
      <c r="Q118" s="2" t="str">
        <f t="shared" si="5"/>
        <v>Уренгойское.Сеноман</v>
      </c>
      <c r="R118" s="21" t="s">
        <v>45</v>
      </c>
      <c r="S118" s="22" t="s">
        <v>116</v>
      </c>
      <c r="T118" s="23" t="s">
        <v>128</v>
      </c>
      <c r="U118" s="26" t="s">
        <v>59</v>
      </c>
      <c r="V118" t="s">
        <v>72</v>
      </c>
      <c r="W118" t="s">
        <v>72</v>
      </c>
      <c r="X118" t="s">
        <v>141</v>
      </c>
    </row>
    <row r="119" spans="3:24" ht="25.5" x14ac:dyDescent="0.2">
      <c r="C119" s="10"/>
      <c r="D119" s="10"/>
      <c r="K119"/>
      <c r="L119"/>
      <c r="M119" s="2" t="str">
        <f t="shared" si="3"/>
        <v>Уренгойское.Сеноман.Уренгойская.K2s пл. ПК1</v>
      </c>
      <c r="N119"/>
      <c r="O119" s="2" t="str">
        <f t="shared" si="4"/>
        <v>Уренгойское.Сеноман.УКПГ-10 ТАБ-ЯХИНСКИЙ УЧАСТОК</v>
      </c>
      <c r="P119"/>
      <c r="Q119" s="2" t="str">
        <f t="shared" si="5"/>
        <v>Уренгойское.Сеноман</v>
      </c>
      <c r="R119" s="18" t="s">
        <v>45</v>
      </c>
      <c r="S119" s="19" t="s">
        <v>142</v>
      </c>
      <c r="T119" s="20" t="s">
        <v>128</v>
      </c>
      <c r="U119" s="26" t="s">
        <v>59</v>
      </c>
      <c r="V119" t="s">
        <v>72</v>
      </c>
      <c r="W119" t="s">
        <v>72</v>
      </c>
      <c r="X119" t="s">
        <v>141</v>
      </c>
    </row>
    <row r="120" spans="3:24" ht="25.5" x14ac:dyDescent="0.2">
      <c r="C120" s="10"/>
      <c r="D120" s="10"/>
      <c r="K120"/>
      <c r="L120"/>
      <c r="M120" s="2" t="str">
        <f t="shared" si="3"/>
        <v>Уренгойское.Сеноман.Ен-яхинская.K2s пл. ПК1</v>
      </c>
      <c r="N120"/>
      <c r="O120" s="2" t="str">
        <f t="shared" si="4"/>
        <v>Уренгойское.Сеноман.УКПГ-11</v>
      </c>
      <c r="P120"/>
      <c r="Q120" s="2" t="str">
        <f t="shared" si="5"/>
        <v>Уренгойское.Сеноман</v>
      </c>
      <c r="R120" s="21" t="s">
        <v>45</v>
      </c>
      <c r="S120" s="22" t="s">
        <v>143</v>
      </c>
      <c r="T120" s="23" t="s">
        <v>128</v>
      </c>
      <c r="U120" s="26" t="s">
        <v>59</v>
      </c>
      <c r="V120" t="s">
        <v>72</v>
      </c>
      <c r="W120" t="s">
        <v>72</v>
      </c>
      <c r="X120" t="s">
        <v>144</v>
      </c>
    </row>
    <row r="121" spans="3:24" ht="25.5" x14ac:dyDescent="0.2">
      <c r="C121" s="10"/>
      <c r="D121" s="10"/>
      <c r="K121"/>
      <c r="L121"/>
      <c r="M121" s="2" t="str">
        <f t="shared" si="3"/>
        <v>Уренгойское.Сеноман.Ен-яхинская.K2s пл. ПК1</v>
      </c>
      <c r="N121"/>
      <c r="O121" s="2" t="str">
        <f t="shared" si="4"/>
        <v>Уренгойское.Сеноман.УКПГ-12</v>
      </c>
      <c r="P121"/>
      <c r="Q121" s="2" t="str">
        <f t="shared" si="5"/>
        <v>Уренгойское.Сеноман</v>
      </c>
      <c r="R121" s="18" t="s">
        <v>45</v>
      </c>
      <c r="S121" s="19" t="s">
        <v>119</v>
      </c>
      <c r="T121" s="20" t="s">
        <v>128</v>
      </c>
      <c r="U121" s="26" t="s">
        <v>59</v>
      </c>
      <c r="V121" t="s">
        <v>72</v>
      </c>
      <c r="W121" t="s">
        <v>72</v>
      </c>
      <c r="X121" t="s">
        <v>144</v>
      </c>
    </row>
    <row r="122" spans="3:24" ht="25.5" x14ac:dyDescent="0.2">
      <c r="C122" s="10"/>
      <c r="D122" s="10"/>
      <c r="K122"/>
      <c r="L122"/>
      <c r="M122" s="2" t="str">
        <f t="shared" si="3"/>
        <v>Уренгойское.Сеноман.Ен-яхинская.K2s пл. ПК1</v>
      </c>
      <c r="N122"/>
      <c r="O122" s="2" t="str">
        <f t="shared" si="4"/>
        <v>Уренгойское.Сеноман.УКПГ-13</v>
      </c>
      <c r="P122"/>
      <c r="Q122" s="2" t="str">
        <f t="shared" si="5"/>
        <v>Уренгойское.Сеноман</v>
      </c>
      <c r="R122" s="21" t="s">
        <v>45</v>
      </c>
      <c r="S122" s="22" t="s">
        <v>145</v>
      </c>
      <c r="T122" s="23" t="s">
        <v>128</v>
      </c>
      <c r="U122" s="26" t="s">
        <v>59</v>
      </c>
      <c r="V122" t="s">
        <v>72</v>
      </c>
      <c r="W122" t="s">
        <v>72</v>
      </c>
      <c r="X122" t="s">
        <v>144</v>
      </c>
    </row>
    <row r="123" spans="3:24" ht="25.5" x14ac:dyDescent="0.2">
      <c r="C123" s="10"/>
      <c r="D123" s="10"/>
      <c r="K123"/>
      <c r="L123"/>
      <c r="M123" s="2" t="str">
        <f t="shared" si="3"/>
        <v>Уренгойское.Сеноман.Песцовая.K2s пл. ПК1</v>
      </c>
      <c r="N123"/>
      <c r="O123" s="2" t="str">
        <f t="shared" si="4"/>
        <v>Уренгойское.Сеноман.УКПГ-16 ПЕСЦОВАЯ ПЛОЩАДЬ</v>
      </c>
      <c r="P123"/>
      <c r="Q123" s="2" t="str">
        <f t="shared" si="5"/>
        <v>Уренгойское.Сеноман</v>
      </c>
      <c r="R123" s="18" t="s">
        <v>45</v>
      </c>
      <c r="S123" s="19" t="s">
        <v>146</v>
      </c>
      <c r="T123" s="20" t="s">
        <v>128</v>
      </c>
      <c r="U123" s="26" t="s">
        <v>59</v>
      </c>
      <c r="V123" t="s">
        <v>72</v>
      </c>
      <c r="W123" t="s">
        <v>72</v>
      </c>
      <c r="X123" t="s">
        <v>147</v>
      </c>
    </row>
    <row r="124" spans="3:24" ht="25.5" x14ac:dyDescent="0.2">
      <c r="C124" s="10"/>
      <c r="D124" s="10"/>
      <c r="K124"/>
      <c r="L124"/>
      <c r="M124" s="2" t="str">
        <f t="shared" si="3"/>
        <v>Уренгойское.Сеноман.Уренгойская.K2s пл. ПК1</v>
      </c>
      <c r="N124"/>
      <c r="O124" s="2" t="str">
        <f t="shared" si="4"/>
        <v>Уренгойское.Сеноман.УКПГ-9</v>
      </c>
      <c r="P124"/>
      <c r="Q124" s="2" t="str">
        <f t="shared" si="5"/>
        <v>Уренгойское.Сеноман</v>
      </c>
      <c r="R124" s="21" t="s">
        <v>45</v>
      </c>
      <c r="S124" s="22" t="s">
        <v>114</v>
      </c>
      <c r="T124" s="23" t="s">
        <v>128</v>
      </c>
      <c r="U124" s="26" t="s">
        <v>59</v>
      </c>
      <c r="V124" t="s">
        <v>72</v>
      </c>
      <c r="W124" t="s">
        <v>72</v>
      </c>
      <c r="X124" t="s">
        <v>141</v>
      </c>
    </row>
    <row r="125" spans="3:24" ht="25.5" x14ac:dyDescent="0.2">
      <c r="C125" s="10"/>
      <c r="D125" s="10"/>
      <c r="K125"/>
      <c r="L125"/>
      <c r="M125" s="2" t="str">
        <f t="shared" si="3"/>
        <v>Уренгойское.Сеноман.Уренгойская.K2s пл. ПК1</v>
      </c>
      <c r="N125"/>
      <c r="O125" s="2" t="str">
        <f t="shared" si="4"/>
        <v>Уренгойское.Сеноман.УКПГ-1АС</v>
      </c>
      <c r="P125"/>
      <c r="Q125" s="2" t="str">
        <f t="shared" si="5"/>
        <v>Уренгойское.Сеноман</v>
      </c>
      <c r="R125" s="18" t="s">
        <v>45</v>
      </c>
      <c r="S125" s="19" t="s">
        <v>148</v>
      </c>
      <c r="T125" s="20" t="s">
        <v>128</v>
      </c>
      <c r="U125" s="26" t="s">
        <v>59</v>
      </c>
      <c r="V125" t="s">
        <v>72</v>
      </c>
      <c r="W125" t="s">
        <v>72</v>
      </c>
      <c r="X125" t="s">
        <v>141</v>
      </c>
    </row>
    <row r="126" spans="3:24" ht="25.5" x14ac:dyDescent="0.2">
      <c r="C126" s="10"/>
      <c r="D126" s="10"/>
      <c r="K126"/>
      <c r="L126"/>
      <c r="M126" s="2" t="str">
        <f t="shared" si="3"/>
        <v>Уренгойское.Сеноман.Западно-Песцовая.K2s пл. ПК1</v>
      </c>
      <c r="N126"/>
      <c r="O126" s="2" t="str">
        <f t="shared" si="4"/>
        <v>Уренгойское.Сеноман.УКПГ-16 ЗАПАДНО-ПЕСЦ. ПЛОЩАДЬ</v>
      </c>
      <c r="P126"/>
      <c r="Q126" s="2" t="str">
        <f t="shared" si="5"/>
        <v>Уренгойское.Сеноман</v>
      </c>
      <c r="R126" s="21" t="s">
        <v>45</v>
      </c>
      <c r="S126" s="22" t="s">
        <v>149</v>
      </c>
      <c r="T126" s="23" t="s">
        <v>128</v>
      </c>
      <c r="U126" s="26" t="s">
        <v>59</v>
      </c>
      <c r="V126" t="s">
        <v>72</v>
      </c>
      <c r="W126" t="s">
        <v>72</v>
      </c>
      <c r="X126" t="s">
        <v>150</v>
      </c>
    </row>
    <row r="127" spans="3:24" x14ac:dyDescent="0.2">
      <c r="C127" s="10"/>
      <c r="D127" s="10"/>
      <c r="K127"/>
      <c r="L127"/>
      <c r="M127" s="2" t="str">
        <f t="shared" si="3"/>
        <v>Юбилейное.Неоком..2</v>
      </c>
      <c r="N127"/>
      <c r="O127" s="2" t="str">
        <f t="shared" si="4"/>
        <v>Юбилейное.Неоком.УКПГ-НТС</v>
      </c>
      <c r="P127"/>
      <c r="Q127" s="2" t="str">
        <f t="shared" si="5"/>
        <v>Юбилейное.Неоком</v>
      </c>
      <c r="R127" s="18" t="s">
        <v>46</v>
      </c>
      <c r="S127" s="19" t="s">
        <v>151</v>
      </c>
      <c r="T127" s="20">
        <v>2</v>
      </c>
      <c r="U127" s="24" t="s">
        <v>69</v>
      </c>
      <c r="V127" t="s">
        <v>168</v>
      </c>
      <c r="W127" t="s">
        <v>76</v>
      </c>
      <c r="X127"/>
    </row>
    <row r="128" spans="3:24" x14ac:dyDescent="0.2">
      <c r="C128" s="10"/>
      <c r="D128" s="10"/>
      <c r="K128"/>
      <c r="L128"/>
      <c r="M128" s="2" t="str">
        <f t="shared" si="3"/>
        <v>Юбилейное.Неоком..3</v>
      </c>
      <c r="N128"/>
      <c r="O128" s="2" t="str">
        <f t="shared" si="4"/>
        <v>Юбилейное.Неоком.УКПГ-НТС</v>
      </c>
      <c r="P128"/>
      <c r="Q128" s="2" t="str">
        <f t="shared" si="5"/>
        <v>Юбилейное.Неоком</v>
      </c>
      <c r="R128" s="21" t="s">
        <v>46</v>
      </c>
      <c r="S128" s="22" t="s">
        <v>151</v>
      </c>
      <c r="T128" s="23">
        <v>3</v>
      </c>
      <c r="U128" s="24" t="s">
        <v>84</v>
      </c>
      <c r="V128" t="s">
        <v>171</v>
      </c>
      <c r="W128" t="s">
        <v>76</v>
      </c>
      <c r="X128"/>
    </row>
    <row r="129" spans="3:24" x14ac:dyDescent="0.2">
      <c r="C129" s="10"/>
      <c r="D129" s="10"/>
      <c r="K129"/>
      <c r="L129"/>
      <c r="M129" s="2" t="str">
        <f t="shared" si="3"/>
        <v>Юбилейное.Неоком..3</v>
      </c>
      <c r="N129"/>
      <c r="O129" s="2" t="str">
        <f t="shared" si="4"/>
        <v>Юбилейное.Неоком.УКПГ-НТС</v>
      </c>
      <c r="P129"/>
      <c r="Q129" s="2" t="str">
        <f t="shared" si="5"/>
        <v>Юбилейное.Неоком</v>
      </c>
      <c r="R129" s="18" t="s">
        <v>46</v>
      </c>
      <c r="S129" s="19" t="s">
        <v>151</v>
      </c>
      <c r="T129" s="20">
        <v>3</v>
      </c>
      <c r="U129" s="25" t="s">
        <v>75</v>
      </c>
      <c r="V129" t="s">
        <v>169</v>
      </c>
      <c r="W129" t="s">
        <v>76</v>
      </c>
      <c r="X129"/>
    </row>
    <row r="130" spans="3:24" x14ac:dyDescent="0.2">
      <c r="C130" s="10"/>
      <c r="D130" s="10"/>
      <c r="K130"/>
      <c r="L130"/>
      <c r="M130" s="2" t="str">
        <f t="shared" si="3"/>
        <v>Юбилейное.Сеноман..1</v>
      </c>
      <c r="N130"/>
      <c r="O130" s="2" t="str">
        <f t="shared" si="4"/>
        <v>Юбилейное.Сеноман.УКПГ</v>
      </c>
      <c r="P130"/>
      <c r="Q130" s="2" t="str">
        <f t="shared" si="5"/>
        <v>Юбилейное.Сеноман</v>
      </c>
      <c r="R130" s="21" t="s">
        <v>46</v>
      </c>
      <c r="S130" s="22" t="s">
        <v>70</v>
      </c>
      <c r="T130" s="23">
        <v>1</v>
      </c>
      <c r="U130" s="25" t="s">
        <v>59</v>
      </c>
      <c r="V130" t="s">
        <v>72</v>
      </c>
      <c r="W130" t="s">
        <v>72</v>
      </c>
      <c r="X130"/>
    </row>
    <row r="131" spans="3:24" x14ac:dyDescent="0.2">
      <c r="C131" s="10"/>
      <c r="D131" s="10"/>
      <c r="K131"/>
      <c r="L131"/>
      <c r="M131" s="2" t="str">
        <f t="shared" si="3"/>
        <v>Южно-Русское НГКМ.Турон..1</v>
      </c>
      <c r="N131"/>
      <c r="O131" s="2" t="str">
        <f t="shared" si="4"/>
        <v>Южно-Русское НГКМ.Турон.УКПГ</v>
      </c>
      <c r="P131"/>
      <c r="Q131" s="2" t="str">
        <f t="shared" si="5"/>
        <v>Южно-Русское НГКМ.Турон</v>
      </c>
      <c r="R131" s="18" t="s">
        <v>47</v>
      </c>
      <c r="S131" s="19" t="s">
        <v>70</v>
      </c>
      <c r="T131" s="20">
        <v>1</v>
      </c>
      <c r="U131" s="25" t="s">
        <v>152</v>
      </c>
      <c r="V131" t="s">
        <v>153</v>
      </c>
      <c r="W131" t="s">
        <v>153</v>
      </c>
      <c r="X131"/>
    </row>
    <row r="132" spans="3:24" x14ac:dyDescent="0.2">
      <c r="C132" s="10"/>
      <c r="D132" s="10"/>
      <c r="K132"/>
      <c r="L132"/>
      <c r="M132" s="2" t="str">
        <f t="shared" si="3"/>
        <v>Южно-Русское НГКМ.Сеноман..2</v>
      </c>
      <c r="N132"/>
      <c r="O132" s="2" t="str">
        <f t="shared" si="4"/>
        <v>Южно-Русское НГКМ.Сеноман.УКПГ</v>
      </c>
      <c r="P132"/>
      <c r="Q132" s="2" t="str">
        <f t="shared" si="5"/>
        <v>Южно-Русское НГКМ.Сеноман</v>
      </c>
      <c r="R132" s="21" t="s">
        <v>47</v>
      </c>
      <c r="S132" s="22" t="s">
        <v>70</v>
      </c>
      <c r="T132" s="23">
        <v>2</v>
      </c>
      <c r="U132" s="24" t="s">
        <v>59</v>
      </c>
      <c r="V132" t="s">
        <v>72</v>
      </c>
      <c r="W132" t="s">
        <v>72</v>
      </c>
      <c r="X132"/>
    </row>
    <row r="133" spans="3:24" x14ac:dyDescent="0.2">
      <c r="C133" s="10"/>
      <c r="D133" s="10"/>
      <c r="K133"/>
      <c r="L133"/>
      <c r="M133" s="2" t="str">
        <f t="shared" ref="M133:M159" si="6">CONCATENATE(R133,".",W133,".",X133,".",T133)</f>
        <v>Ямбургское.Неоком..I</v>
      </c>
      <c r="N133"/>
      <c r="O133" s="2" t="str">
        <f t="shared" ref="O133:O159" si="7">CONCATENATE(R133,".",W133,".",S133)</f>
        <v>Ямбургское.Неоком.УКПГ-1В</v>
      </c>
      <c r="P133"/>
      <c r="Q133" s="2" t="str">
        <f t="shared" ref="Q133:Q159" si="8">CONCATENATE(R133,".",W133)</f>
        <v>Ямбургское.Неоком</v>
      </c>
      <c r="R133" s="18" t="s">
        <v>48</v>
      </c>
      <c r="S133" s="19" t="s">
        <v>87</v>
      </c>
      <c r="T133" s="20" t="s">
        <v>71</v>
      </c>
      <c r="U133" s="24" t="s">
        <v>75</v>
      </c>
      <c r="V133" t="s">
        <v>169</v>
      </c>
      <c r="W133" t="s">
        <v>76</v>
      </c>
      <c r="X133"/>
    </row>
    <row r="134" spans="3:24" x14ac:dyDescent="0.2">
      <c r="C134" s="10"/>
      <c r="D134" s="10"/>
      <c r="K134"/>
      <c r="L134"/>
      <c r="M134" s="2" t="str">
        <f t="shared" si="6"/>
        <v>Ямбургское.Неоком..I</v>
      </c>
      <c r="N134"/>
      <c r="O134" s="2" t="str">
        <f t="shared" si="7"/>
        <v>Ямбургское.Неоком.УППГ-3В</v>
      </c>
      <c r="P134"/>
      <c r="Q134" s="2" t="str">
        <f t="shared" si="8"/>
        <v>Ямбургское.Неоком</v>
      </c>
      <c r="R134" s="21" t="s">
        <v>48</v>
      </c>
      <c r="S134" s="22" t="s">
        <v>154</v>
      </c>
      <c r="T134" s="23" t="s">
        <v>71</v>
      </c>
      <c r="U134" s="24" t="s">
        <v>75</v>
      </c>
      <c r="V134" t="s">
        <v>169</v>
      </c>
      <c r="W134" t="s">
        <v>76</v>
      </c>
      <c r="X134"/>
    </row>
    <row r="135" spans="3:24" x14ac:dyDescent="0.2">
      <c r="C135" s="10"/>
      <c r="D135" s="10"/>
      <c r="K135"/>
      <c r="L135"/>
      <c r="M135" s="2" t="str">
        <f t="shared" si="6"/>
        <v>Ямбургское.Неоком..II</v>
      </c>
      <c r="N135"/>
      <c r="O135" s="2" t="str">
        <f t="shared" si="7"/>
        <v>Ямбургское.Неоком.УКПГ-1В</v>
      </c>
      <c r="P135"/>
      <c r="Q135" s="2" t="str">
        <f t="shared" si="8"/>
        <v>Ямбургское.Неоком</v>
      </c>
      <c r="R135" s="18" t="s">
        <v>48</v>
      </c>
      <c r="S135" s="19" t="s">
        <v>87</v>
      </c>
      <c r="T135" s="20" t="s">
        <v>83</v>
      </c>
      <c r="U135" s="25" t="s">
        <v>80</v>
      </c>
      <c r="V135" t="s">
        <v>170</v>
      </c>
      <c r="W135" t="s">
        <v>76</v>
      </c>
      <c r="X135"/>
    </row>
    <row r="136" spans="3:24" x14ac:dyDescent="0.2">
      <c r="C136" s="10"/>
      <c r="D136" s="10"/>
      <c r="K136"/>
      <c r="L136"/>
      <c r="M136" s="2" t="str">
        <f t="shared" si="6"/>
        <v>Ямбургское.Неоком..II</v>
      </c>
      <c r="N136"/>
      <c r="O136" s="2" t="str">
        <f t="shared" si="7"/>
        <v>Ямбургское.Неоком.УКПГ-1В</v>
      </c>
      <c r="P136"/>
      <c r="Q136" s="2" t="str">
        <f t="shared" si="8"/>
        <v>Ямбургское.Неоком</v>
      </c>
      <c r="R136" s="21" t="s">
        <v>48</v>
      </c>
      <c r="S136" s="22" t="s">
        <v>87</v>
      </c>
      <c r="T136" s="23" t="s">
        <v>83</v>
      </c>
      <c r="U136" s="24" t="s">
        <v>75</v>
      </c>
      <c r="V136" t="s">
        <v>169</v>
      </c>
      <c r="W136" t="s">
        <v>76</v>
      </c>
      <c r="X136"/>
    </row>
    <row r="137" spans="3:24" x14ac:dyDescent="0.2">
      <c r="C137" s="10"/>
      <c r="D137" s="10"/>
      <c r="K137"/>
      <c r="L137"/>
      <c r="M137" s="2" t="str">
        <f t="shared" si="6"/>
        <v>Ямбургское.Неоком..II</v>
      </c>
      <c r="N137"/>
      <c r="O137" s="2" t="str">
        <f t="shared" si="7"/>
        <v>Ямбургское.Неоком.УППГ-2В</v>
      </c>
      <c r="P137"/>
      <c r="Q137" s="2" t="str">
        <f t="shared" si="8"/>
        <v>Ямбургское.Неоком</v>
      </c>
      <c r="R137" s="18" t="s">
        <v>48</v>
      </c>
      <c r="S137" s="19" t="s">
        <v>155</v>
      </c>
      <c r="T137" s="20" t="s">
        <v>83</v>
      </c>
      <c r="U137" s="25" t="s">
        <v>80</v>
      </c>
      <c r="V137" t="s">
        <v>170</v>
      </c>
      <c r="W137" t="s">
        <v>76</v>
      </c>
      <c r="X137"/>
    </row>
    <row r="138" spans="3:24" x14ac:dyDescent="0.2">
      <c r="C138" s="10"/>
      <c r="D138" s="10"/>
      <c r="K138"/>
      <c r="L138"/>
      <c r="M138" s="2" t="str">
        <f t="shared" si="6"/>
        <v>Ямбургское.Неоком..II</v>
      </c>
      <c r="N138"/>
      <c r="O138" s="2" t="str">
        <f t="shared" si="7"/>
        <v>Ямбургское.Неоком.УППГ-3В</v>
      </c>
      <c r="P138"/>
      <c r="Q138" s="2" t="str">
        <f t="shared" si="8"/>
        <v>Ямбургское.Неоком</v>
      </c>
      <c r="R138" s="21" t="s">
        <v>48</v>
      </c>
      <c r="S138" s="22" t="s">
        <v>154</v>
      </c>
      <c r="T138" s="23" t="s">
        <v>83</v>
      </c>
      <c r="U138" s="25" t="s">
        <v>80</v>
      </c>
      <c r="V138" t="s">
        <v>170</v>
      </c>
      <c r="W138" t="s">
        <v>76</v>
      </c>
      <c r="X138"/>
    </row>
    <row r="139" spans="3:24" x14ac:dyDescent="0.2">
      <c r="C139" s="10"/>
      <c r="D139" s="10"/>
      <c r="K139"/>
      <c r="L139"/>
      <c r="M139" s="2" t="str">
        <f t="shared" si="6"/>
        <v>Ямбургское.Неоком..II</v>
      </c>
      <c r="N139"/>
      <c r="O139" s="2" t="str">
        <f t="shared" si="7"/>
        <v>Ямбургское.Неоком.УППГ-3В</v>
      </c>
      <c r="P139"/>
      <c r="Q139" s="2" t="str">
        <f t="shared" si="8"/>
        <v>Ямбургское.Неоком</v>
      </c>
      <c r="R139" s="18" t="s">
        <v>48</v>
      </c>
      <c r="S139" s="19" t="s">
        <v>154</v>
      </c>
      <c r="T139" s="20" t="s">
        <v>83</v>
      </c>
      <c r="U139" s="24" t="s">
        <v>75</v>
      </c>
      <c r="V139" t="s">
        <v>169</v>
      </c>
      <c r="W139" t="s">
        <v>76</v>
      </c>
      <c r="X139"/>
    </row>
    <row r="140" spans="3:24" ht="25.5" x14ac:dyDescent="0.2">
      <c r="C140" s="10"/>
      <c r="D140" s="10"/>
      <c r="K140"/>
      <c r="L140"/>
      <c r="M140" s="2" t="str">
        <f t="shared" si="6"/>
        <v>Ямбургское.Сеноман.Ямбургская.ПК1</v>
      </c>
      <c r="N140"/>
      <c r="O140" s="2" t="str">
        <f t="shared" si="7"/>
        <v>Ямбургское.Сеноман.УКПГ-1</v>
      </c>
      <c r="P140"/>
      <c r="Q140" s="2" t="str">
        <f t="shared" si="8"/>
        <v>Ямбургское.Сеноман</v>
      </c>
      <c r="R140" s="21" t="s">
        <v>48</v>
      </c>
      <c r="S140" s="22" t="s">
        <v>64</v>
      </c>
      <c r="T140" s="23" t="s">
        <v>58</v>
      </c>
      <c r="U140" s="26" t="s">
        <v>59</v>
      </c>
      <c r="V140" t="s">
        <v>72</v>
      </c>
      <c r="W140" t="s">
        <v>72</v>
      </c>
      <c r="X140" t="s">
        <v>156</v>
      </c>
    </row>
    <row r="141" spans="3:24" ht="25.5" x14ac:dyDescent="0.2">
      <c r="C141" s="10"/>
      <c r="D141" s="10"/>
      <c r="K141"/>
      <c r="L141"/>
      <c r="M141" s="2" t="str">
        <f t="shared" si="6"/>
        <v>Ямбургское.Сеноман.Ямбургская.ПК1</v>
      </c>
      <c r="N141"/>
      <c r="O141" s="2" t="str">
        <f t="shared" si="7"/>
        <v>Ямбургское.Сеноман.УКПГ-2</v>
      </c>
      <c r="P141"/>
      <c r="Q141" s="2" t="str">
        <f t="shared" si="8"/>
        <v>Ямбургское.Сеноман</v>
      </c>
      <c r="R141" s="18" t="s">
        <v>48</v>
      </c>
      <c r="S141" s="19" t="s">
        <v>57</v>
      </c>
      <c r="T141" s="20" t="s">
        <v>58</v>
      </c>
      <c r="U141" s="26" t="s">
        <v>59</v>
      </c>
      <c r="V141" t="s">
        <v>72</v>
      </c>
      <c r="W141" t="s">
        <v>72</v>
      </c>
      <c r="X141" t="s">
        <v>156</v>
      </c>
    </row>
    <row r="142" spans="3:24" ht="25.5" x14ac:dyDescent="0.2">
      <c r="C142" s="10"/>
      <c r="D142" s="10"/>
      <c r="K142"/>
      <c r="L142"/>
      <c r="M142" s="2" t="str">
        <f t="shared" si="6"/>
        <v>Ямбургское.Сеноман.Ямбургская.ПК1</v>
      </c>
      <c r="N142"/>
      <c r="O142" s="2" t="str">
        <f t="shared" si="7"/>
        <v>Ямбургское.Сеноман.УКПГ-3</v>
      </c>
      <c r="P142"/>
      <c r="Q142" s="2" t="str">
        <f t="shared" si="8"/>
        <v>Ямбургское.Сеноман</v>
      </c>
      <c r="R142" s="21" t="s">
        <v>48</v>
      </c>
      <c r="S142" s="22" t="s">
        <v>61</v>
      </c>
      <c r="T142" s="23" t="s">
        <v>58</v>
      </c>
      <c r="U142" s="26" t="s">
        <v>59</v>
      </c>
      <c r="V142" t="s">
        <v>72</v>
      </c>
      <c r="W142" t="s">
        <v>72</v>
      </c>
      <c r="X142" t="s">
        <v>156</v>
      </c>
    </row>
    <row r="143" spans="3:24" ht="25.5" x14ac:dyDescent="0.2">
      <c r="C143" s="10"/>
      <c r="D143" s="10"/>
      <c r="K143"/>
      <c r="L143"/>
      <c r="M143" s="2" t="str">
        <f t="shared" si="6"/>
        <v>Ямбургское.Сеноман.Ямбургская.ПК1</v>
      </c>
      <c r="N143"/>
      <c r="O143" s="2" t="str">
        <f t="shared" si="7"/>
        <v>Ямбургское.Сеноман.УКПГ-4</v>
      </c>
      <c r="P143"/>
      <c r="Q143" s="2" t="str">
        <f t="shared" si="8"/>
        <v>Ямбургское.Сеноман</v>
      </c>
      <c r="R143" s="18" t="s">
        <v>48</v>
      </c>
      <c r="S143" s="19" t="s">
        <v>109</v>
      </c>
      <c r="T143" s="20" t="s">
        <v>58</v>
      </c>
      <c r="U143" s="26" t="s">
        <v>59</v>
      </c>
      <c r="V143" t="s">
        <v>72</v>
      </c>
      <c r="W143" t="s">
        <v>72</v>
      </c>
      <c r="X143" t="s">
        <v>156</v>
      </c>
    </row>
    <row r="144" spans="3:24" ht="25.5" x14ac:dyDescent="0.2">
      <c r="C144" s="10"/>
      <c r="D144" s="10"/>
      <c r="K144"/>
      <c r="L144"/>
      <c r="M144" s="2" t="str">
        <f t="shared" si="6"/>
        <v>Ямбургское.Сеноман.Ямбургская.ПК1</v>
      </c>
      <c r="N144"/>
      <c r="O144" s="2" t="str">
        <f t="shared" si="7"/>
        <v>Ямбургское.Сеноман.УКПГ-5</v>
      </c>
      <c r="P144"/>
      <c r="Q144" s="2" t="str">
        <f t="shared" si="8"/>
        <v>Ямбургское.Сеноман</v>
      </c>
      <c r="R144" s="21" t="s">
        <v>48</v>
      </c>
      <c r="S144" s="22" t="s">
        <v>110</v>
      </c>
      <c r="T144" s="23" t="s">
        <v>58</v>
      </c>
      <c r="U144" s="26" t="s">
        <v>59</v>
      </c>
      <c r="V144" t="s">
        <v>72</v>
      </c>
      <c r="W144" t="s">
        <v>72</v>
      </c>
      <c r="X144" t="s">
        <v>156</v>
      </c>
    </row>
    <row r="145" spans="3:24" ht="25.5" x14ac:dyDescent="0.2">
      <c r="C145" s="10"/>
      <c r="D145" s="10"/>
      <c r="K145"/>
      <c r="L145"/>
      <c r="M145" s="2" t="str">
        <f t="shared" si="6"/>
        <v>Ямбургское.Сеноман.Ямбургская.ПК1</v>
      </c>
      <c r="N145"/>
      <c r="O145" s="2" t="str">
        <f t="shared" si="7"/>
        <v>Ямбургское.Сеноман.УКПГ-6</v>
      </c>
      <c r="P145"/>
      <c r="Q145" s="2" t="str">
        <f t="shared" si="8"/>
        <v>Ямбургское.Сеноман</v>
      </c>
      <c r="R145" s="18" t="s">
        <v>48</v>
      </c>
      <c r="S145" s="19" t="s">
        <v>111</v>
      </c>
      <c r="T145" s="20" t="s">
        <v>58</v>
      </c>
      <c r="U145" s="26" t="s">
        <v>59</v>
      </c>
      <c r="V145" t="s">
        <v>72</v>
      </c>
      <c r="W145" t="s">
        <v>72</v>
      </c>
      <c r="X145" t="s">
        <v>156</v>
      </c>
    </row>
    <row r="146" spans="3:24" ht="25.5" x14ac:dyDescent="0.2">
      <c r="C146" s="10"/>
      <c r="D146" s="10"/>
      <c r="K146"/>
      <c r="L146"/>
      <c r="M146" s="2" t="str">
        <f t="shared" si="6"/>
        <v>Ямбургское.Сеноман.Ямбургская.ПК1</v>
      </c>
      <c r="N146"/>
      <c r="O146" s="2" t="str">
        <f t="shared" si="7"/>
        <v>Ямбургское.Сеноман.УКПГ-7</v>
      </c>
      <c r="P146"/>
      <c r="Q146" s="2" t="str">
        <f t="shared" si="8"/>
        <v>Ямбургское.Сеноман</v>
      </c>
      <c r="R146" s="21" t="s">
        <v>48</v>
      </c>
      <c r="S146" s="22" t="s">
        <v>112</v>
      </c>
      <c r="T146" s="23" t="s">
        <v>58</v>
      </c>
      <c r="U146" s="26" t="s">
        <v>59</v>
      </c>
      <c r="V146" t="s">
        <v>72</v>
      </c>
      <c r="W146" t="s">
        <v>72</v>
      </c>
      <c r="X146" t="s">
        <v>156</v>
      </c>
    </row>
    <row r="147" spans="3:24" ht="25.5" x14ac:dyDescent="0.2">
      <c r="C147" s="10"/>
      <c r="D147" s="10"/>
      <c r="K147"/>
      <c r="L147"/>
      <c r="M147" s="2" t="str">
        <f t="shared" si="6"/>
        <v>Ямбургское.Сеноман.Харвутинская.ПК1</v>
      </c>
      <c r="N147"/>
      <c r="O147" s="2" t="str">
        <f t="shared" si="7"/>
        <v>Ямбургское.Сеноман.УППГ-8</v>
      </c>
      <c r="P147"/>
      <c r="Q147" s="2" t="str">
        <f t="shared" si="8"/>
        <v>Ямбургское.Сеноман</v>
      </c>
      <c r="R147" s="18" t="s">
        <v>48</v>
      </c>
      <c r="S147" s="19" t="s">
        <v>157</v>
      </c>
      <c r="T147" s="20" t="s">
        <v>58</v>
      </c>
      <c r="U147" s="26" t="s">
        <v>59</v>
      </c>
      <c r="V147" t="s">
        <v>72</v>
      </c>
      <c r="W147" t="s">
        <v>72</v>
      </c>
      <c r="X147" t="s">
        <v>158</v>
      </c>
    </row>
    <row r="148" spans="3:24" ht="25.5" x14ac:dyDescent="0.2">
      <c r="C148" s="10"/>
      <c r="D148" s="10"/>
      <c r="K148"/>
      <c r="L148"/>
      <c r="M148" s="2" t="str">
        <f t="shared" si="6"/>
        <v>Ямбургское.Сеноман.Анерьяхинская.ПК1</v>
      </c>
      <c r="N148"/>
      <c r="O148" s="2" t="str">
        <f t="shared" si="7"/>
        <v>Ямбургское.Сеноман.УППГ-4А</v>
      </c>
      <c r="P148"/>
      <c r="Q148" s="2" t="str">
        <f t="shared" si="8"/>
        <v>Ямбургское.Сеноман</v>
      </c>
      <c r="R148" s="21" t="s">
        <v>48</v>
      </c>
      <c r="S148" s="22" t="s">
        <v>159</v>
      </c>
      <c r="T148" s="23" t="s">
        <v>58</v>
      </c>
      <c r="U148" s="26" t="s">
        <v>59</v>
      </c>
      <c r="V148" t="s">
        <v>72</v>
      </c>
      <c r="W148" t="s">
        <v>72</v>
      </c>
      <c r="X148" t="s">
        <v>160</v>
      </c>
    </row>
    <row r="149" spans="3:24" ht="25.5" x14ac:dyDescent="0.2">
      <c r="C149" s="10"/>
      <c r="D149" s="10"/>
      <c r="K149"/>
      <c r="L149"/>
      <c r="M149" s="2" t="str">
        <f t="shared" si="6"/>
        <v>Ямбургское.Сеноман.Харвутинская.ПК1</v>
      </c>
      <c r="N149"/>
      <c r="O149" s="2" t="str">
        <f t="shared" si="7"/>
        <v>Ямбургское.Сеноман.УКПГ-9 (Уч-11)</v>
      </c>
      <c r="P149"/>
      <c r="Q149" s="2" t="str">
        <f t="shared" si="8"/>
        <v>Ямбургское.Сеноман</v>
      </c>
      <c r="R149" s="18" t="s">
        <v>48</v>
      </c>
      <c r="S149" s="19" t="s">
        <v>161</v>
      </c>
      <c r="T149" s="20" t="s">
        <v>58</v>
      </c>
      <c r="U149" s="26" t="s">
        <v>59</v>
      </c>
      <c r="V149" t="s">
        <v>72</v>
      </c>
      <c r="W149" t="s">
        <v>72</v>
      </c>
      <c r="X149" t="s">
        <v>158</v>
      </c>
    </row>
    <row r="150" spans="3:24" ht="25.5" x14ac:dyDescent="0.2">
      <c r="C150" s="10"/>
      <c r="D150" s="10"/>
      <c r="K150"/>
      <c r="L150"/>
      <c r="M150" s="2" t="str">
        <f t="shared" si="6"/>
        <v>Ямбургское.Сеноман.Харвутинская.ПК1</v>
      </c>
      <c r="N150"/>
      <c r="O150" s="2" t="str">
        <f t="shared" si="7"/>
        <v>Ямбургское.Сеноман.УППГ-10 (Уч-10)</v>
      </c>
      <c r="P150"/>
      <c r="Q150" s="2" t="str">
        <f t="shared" si="8"/>
        <v>Ямбургское.Сеноман</v>
      </c>
      <c r="R150" s="21" t="s">
        <v>48</v>
      </c>
      <c r="S150" s="22" t="s">
        <v>162</v>
      </c>
      <c r="T150" s="23" t="s">
        <v>58</v>
      </c>
      <c r="U150" s="26" t="s">
        <v>59</v>
      </c>
      <c r="V150" t="s">
        <v>72</v>
      </c>
      <c r="W150" t="s">
        <v>72</v>
      </c>
      <c r="X150" t="s">
        <v>158</v>
      </c>
    </row>
    <row r="151" spans="3:24" ht="25.5" x14ac:dyDescent="0.2">
      <c r="C151" s="10"/>
      <c r="D151" s="10"/>
      <c r="K151"/>
      <c r="L151"/>
      <c r="M151" s="2" t="str">
        <f t="shared" si="6"/>
        <v>Ямбургское.Сеноман.Харвутинская.ПК1</v>
      </c>
      <c r="N151"/>
      <c r="O151" s="2" t="str">
        <f t="shared" si="7"/>
        <v>Ямбургское.Сеноман.ТП-9 (Уч-9)</v>
      </c>
      <c r="P151"/>
      <c r="Q151" s="2" t="str">
        <f t="shared" si="8"/>
        <v>Ямбургское.Сеноман</v>
      </c>
      <c r="R151" s="18" t="s">
        <v>48</v>
      </c>
      <c r="S151" s="19" t="s">
        <v>163</v>
      </c>
      <c r="T151" s="20" t="s">
        <v>58</v>
      </c>
      <c r="U151" s="26" t="s">
        <v>59</v>
      </c>
      <c r="V151" t="s">
        <v>72</v>
      </c>
      <c r="W151" t="s">
        <v>72</v>
      </c>
      <c r="X151" t="s">
        <v>158</v>
      </c>
    </row>
    <row r="152" spans="3:24" x14ac:dyDescent="0.2">
      <c r="C152" s="10"/>
      <c r="D152" s="10"/>
      <c r="K152"/>
      <c r="L152"/>
      <c r="M152" s="2" t="str">
        <f t="shared" si="6"/>
        <v>Ямсовейское.Сеноман..1</v>
      </c>
      <c r="N152"/>
      <c r="O152" s="2" t="str">
        <f t="shared" si="7"/>
        <v>Ямсовейское.Сеноман.УКПГ-1</v>
      </c>
      <c r="P152"/>
      <c r="Q152" s="2" t="str">
        <f t="shared" si="8"/>
        <v>Ямсовейское.Сеноман</v>
      </c>
      <c r="R152" s="21" t="s">
        <v>49</v>
      </c>
      <c r="S152" s="22" t="s">
        <v>64</v>
      </c>
      <c r="T152" s="23">
        <v>1</v>
      </c>
      <c r="U152" s="25" t="s">
        <v>59</v>
      </c>
      <c r="V152" t="s">
        <v>72</v>
      </c>
      <c r="W152" t="s">
        <v>72</v>
      </c>
      <c r="X152"/>
    </row>
    <row r="153" spans="3:24" x14ac:dyDescent="0.2">
      <c r="C153" s="10"/>
      <c r="D153" s="10"/>
      <c r="K153"/>
      <c r="L153"/>
      <c r="M153" s="2" t="str">
        <f t="shared" si="6"/>
        <v>Заполярное.Турон..Т1</v>
      </c>
      <c r="N153"/>
      <c r="O153" s="2" t="str">
        <f t="shared" si="7"/>
        <v>Заполярное.Турон.УКПГ-2С</v>
      </c>
      <c r="P153"/>
      <c r="Q153" s="2" t="str">
        <f t="shared" si="8"/>
        <v>Заполярное.Турон</v>
      </c>
      <c r="R153" s="18" t="s">
        <v>40</v>
      </c>
      <c r="S153" s="19" t="s">
        <v>91</v>
      </c>
      <c r="T153" s="20" t="s">
        <v>164</v>
      </c>
      <c r="U153" s="25" t="s">
        <v>152</v>
      </c>
      <c r="V153" t="s">
        <v>153</v>
      </c>
      <c r="W153" t="s">
        <v>153</v>
      </c>
      <c r="X153"/>
    </row>
    <row r="154" spans="3:24" x14ac:dyDescent="0.2">
      <c r="C154" s="10"/>
      <c r="D154" s="10"/>
      <c r="K154"/>
      <c r="L154"/>
      <c r="M154" s="2" t="str">
        <f t="shared" si="6"/>
        <v>Уренгойское.Неоком..1</v>
      </c>
      <c r="N154"/>
      <c r="O154" s="2" t="str">
        <f t="shared" si="7"/>
        <v>Уренгойское.Неоком.</v>
      </c>
      <c r="P154"/>
      <c r="Q154" s="2" t="str">
        <f t="shared" si="8"/>
        <v>Уренгойское.Неоком</v>
      </c>
      <c r="R154" s="21" t="s">
        <v>45</v>
      </c>
      <c r="S154" s="22"/>
      <c r="T154" s="23">
        <v>1</v>
      </c>
      <c r="U154" s="27" t="s">
        <v>165</v>
      </c>
      <c r="V154" t="s">
        <v>168</v>
      </c>
      <c r="W154" t="s">
        <v>76</v>
      </c>
      <c r="X154"/>
    </row>
    <row r="155" spans="3:24" x14ac:dyDescent="0.2">
      <c r="C155" s="10"/>
      <c r="D155" s="10"/>
      <c r="K155"/>
      <c r="L155"/>
      <c r="M155" s="2" t="str">
        <f t="shared" si="6"/>
        <v>Уренгойское.Неоком..1</v>
      </c>
      <c r="N155"/>
      <c r="O155" s="2" t="str">
        <f t="shared" si="7"/>
        <v>Уренгойское.Неоком.</v>
      </c>
      <c r="P155"/>
      <c r="Q155" s="2" t="str">
        <f t="shared" si="8"/>
        <v>Уренгойское.Неоком</v>
      </c>
      <c r="R155" s="18" t="s">
        <v>45</v>
      </c>
      <c r="S155" s="19"/>
      <c r="T155" s="20">
        <v>1</v>
      </c>
      <c r="U155" s="27" t="s">
        <v>166</v>
      </c>
      <c r="V155" t="s">
        <v>169</v>
      </c>
      <c r="W155" t="s">
        <v>76</v>
      </c>
      <c r="X155"/>
    </row>
    <row r="156" spans="3:24" x14ac:dyDescent="0.2">
      <c r="C156" s="10"/>
      <c r="D156" s="10"/>
      <c r="K156"/>
      <c r="L156"/>
      <c r="M156" s="2" t="str">
        <f t="shared" si="6"/>
        <v>Уренгойское.Неоком..2</v>
      </c>
      <c r="N156"/>
      <c r="O156" s="2" t="str">
        <f t="shared" si="7"/>
        <v>Уренгойское.Неоком.</v>
      </c>
      <c r="P156"/>
      <c r="Q156" s="2" t="str">
        <f t="shared" si="8"/>
        <v>Уренгойское.Неоком</v>
      </c>
      <c r="R156" s="21" t="s">
        <v>45</v>
      </c>
      <c r="S156" s="22"/>
      <c r="T156" s="23">
        <v>2</v>
      </c>
      <c r="U156" s="27" t="s">
        <v>166</v>
      </c>
      <c r="V156" t="s">
        <v>169</v>
      </c>
      <c r="W156" t="s">
        <v>76</v>
      </c>
      <c r="X156"/>
    </row>
    <row r="157" spans="3:24" x14ac:dyDescent="0.2">
      <c r="C157" s="10"/>
      <c r="D157" s="10"/>
      <c r="K157"/>
      <c r="L157"/>
      <c r="M157" s="2" t="str">
        <f t="shared" si="6"/>
        <v>Уренгойское.Неоком..3</v>
      </c>
      <c r="N157"/>
      <c r="O157" s="2" t="str">
        <f t="shared" si="7"/>
        <v>Уренгойское.Неоком.</v>
      </c>
      <c r="P157"/>
      <c r="Q157" s="2" t="str">
        <f t="shared" si="8"/>
        <v>Уренгойское.Неоком</v>
      </c>
      <c r="R157" s="18" t="s">
        <v>45</v>
      </c>
      <c r="S157" s="19"/>
      <c r="T157" s="20">
        <v>3</v>
      </c>
      <c r="U157" s="27" t="s">
        <v>166</v>
      </c>
      <c r="V157" t="s">
        <v>169</v>
      </c>
      <c r="W157" t="s">
        <v>76</v>
      </c>
      <c r="X157"/>
    </row>
    <row r="158" spans="3:24" x14ac:dyDescent="0.2">
      <c r="C158" s="10"/>
      <c r="D158" s="10"/>
      <c r="K158"/>
      <c r="L158"/>
      <c r="M158" s="2" t="str">
        <f t="shared" si="6"/>
        <v>Уренгойское.Неоком..4</v>
      </c>
      <c r="N158"/>
      <c r="O158" s="2" t="str">
        <f t="shared" si="7"/>
        <v>Уренгойское.Неоком.</v>
      </c>
      <c r="P158"/>
      <c r="Q158" s="2" t="str">
        <f t="shared" si="8"/>
        <v>Уренгойское.Неоком</v>
      </c>
      <c r="R158" s="21" t="s">
        <v>45</v>
      </c>
      <c r="S158" s="22"/>
      <c r="T158" s="23">
        <v>4</v>
      </c>
      <c r="U158" s="27" t="s">
        <v>166</v>
      </c>
      <c r="V158" t="s">
        <v>169</v>
      </c>
      <c r="W158" t="s">
        <v>76</v>
      </c>
      <c r="X158"/>
    </row>
    <row r="159" spans="3:24" x14ac:dyDescent="0.2">
      <c r="C159" s="10"/>
      <c r="D159" s="10"/>
      <c r="L159"/>
      <c r="M159" s="2" t="str">
        <f t="shared" si="6"/>
        <v>Уренгойское.Неоком..5</v>
      </c>
      <c r="N159"/>
      <c r="O159" s="2" t="str">
        <f t="shared" si="7"/>
        <v>Уренгойское.Неоком.</v>
      </c>
      <c r="P159"/>
      <c r="Q159" s="2" t="str">
        <f t="shared" si="8"/>
        <v>Уренгойское.Неоком</v>
      </c>
      <c r="R159" s="18" t="s">
        <v>45</v>
      </c>
      <c r="S159" s="19"/>
      <c r="T159" s="20">
        <v>5</v>
      </c>
      <c r="U159" s="27" t="s">
        <v>166</v>
      </c>
      <c r="V159" t="s">
        <v>169</v>
      </c>
      <c r="W159" t="s">
        <v>76</v>
      </c>
      <c r="X159"/>
    </row>
    <row r="160" spans="3:24" x14ac:dyDescent="0.2">
      <c r="C160" s="10"/>
      <c r="D160" s="10"/>
      <c r="L160"/>
      <c r="N160"/>
      <c r="P160"/>
    </row>
    <row r="161" spans="3:16" x14ac:dyDescent="0.2">
      <c r="C161" s="10"/>
      <c r="D161" s="10"/>
      <c r="L161"/>
      <c r="N161"/>
      <c r="P161"/>
    </row>
    <row r="162" spans="3:16" x14ac:dyDescent="0.2">
      <c r="C162" s="10"/>
      <c r="D162" s="10"/>
      <c r="L162"/>
      <c r="N162"/>
      <c r="P162"/>
    </row>
    <row r="163" spans="3:16" x14ac:dyDescent="0.2">
      <c r="C163" s="10"/>
      <c r="D163" s="10"/>
      <c r="L163"/>
      <c r="N163"/>
      <c r="P163"/>
    </row>
    <row r="164" spans="3:16" x14ac:dyDescent="0.2">
      <c r="C164" s="10"/>
      <c r="D164" s="10"/>
      <c r="L164"/>
      <c r="N164"/>
      <c r="P164"/>
    </row>
    <row r="165" spans="3:16" x14ac:dyDescent="0.2">
      <c r="C165" s="10"/>
      <c r="D165" s="10"/>
      <c r="L165"/>
      <c r="N165"/>
      <c r="P165"/>
    </row>
    <row r="166" spans="3:16" x14ac:dyDescent="0.2">
      <c r="C166" s="10"/>
      <c r="D166" s="10"/>
      <c r="L166"/>
      <c r="N166"/>
      <c r="P166"/>
    </row>
    <row r="167" spans="3:16" x14ac:dyDescent="0.2">
      <c r="C167" s="10"/>
      <c r="D167" s="10"/>
      <c r="L167"/>
      <c r="N167"/>
      <c r="P167"/>
    </row>
    <row r="168" spans="3:16" x14ac:dyDescent="0.2">
      <c r="C168" s="10"/>
      <c r="D168" s="10"/>
      <c r="L168"/>
      <c r="N168"/>
      <c r="P168"/>
    </row>
    <row r="169" spans="3:16" x14ac:dyDescent="0.2">
      <c r="C169" s="10"/>
      <c r="D169" s="10"/>
      <c r="L169"/>
      <c r="N169"/>
      <c r="P169"/>
    </row>
    <row r="170" spans="3:16" x14ac:dyDescent="0.2">
      <c r="C170" s="10"/>
      <c r="D170" s="10"/>
      <c r="L170"/>
      <c r="N170"/>
      <c r="P170"/>
    </row>
    <row r="171" spans="3:16" x14ac:dyDescent="0.2">
      <c r="C171" s="10"/>
      <c r="D171" s="10"/>
      <c r="L171"/>
      <c r="N171"/>
      <c r="P171"/>
    </row>
    <row r="172" spans="3:16" x14ac:dyDescent="0.2">
      <c r="C172" s="10"/>
      <c r="D172" s="10"/>
      <c r="L172"/>
      <c r="N172"/>
      <c r="P172"/>
    </row>
    <row r="173" spans="3:16" x14ac:dyDescent="0.2">
      <c r="C173" s="10"/>
      <c r="D173" s="10"/>
      <c r="L173"/>
      <c r="N173"/>
      <c r="P173"/>
    </row>
    <row r="174" spans="3:16" x14ac:dyDescent="0.2">
      <c r="C174" s="10"/>
      <c r="D174" s="10"/>
      <c r="L174"/>
      <c r="N174"/>
      <c r="P174"/>
    </row>
    <row r="175" spans="3:16" x14ac:dyDescent="0.2">
      <c r="C175" s="10"/>
      <c r="D175" s="10"/>
      <c r="L175"/>
      <c r="N175"/>
      <c r="P175"/>
    </row>
    <row r="176" spans="3:16" x14ac:dyDescent="0.2">
      <c r="C176" s="10"/>
      <c r="D176" s="10"/>
      <c r="L176"/>
      <c r="N176"/>
      <c r="P176"/>
    </row>
    <row r="177" spans="3:16" x14ac:dyDescent="0.2">
      <c r="C177" s="10"/>
      <c r="D177" s="10"/>
      <c r="L177"/>
      <c r="N177"/>
      <c r="P177"/>
    </row>
    <row r="178" spans="3:16" x14ac:dyDescent="0.2">
      <c r="C178" s="10"/>
      <c r="D178" s="10"/>
      <c r="L178"/>
      <c r="N178"/>
      <c r="P178"/>
    </row>
    <row r="179" spans="3:16" x14ac:dyDescent="0.2">
      <c r="C179" s="10"/>
      <c r="D179" s="10"/>
      <c r="L179"/>
      <c r="N179"/>
      <c r="P179"/>
    </row>
    <row r="180" spans="3:16" x14ac:dyDescent="0.2">
      <c r="C180" s="10"/>
      <c r="D180" s="10"/>
      <c r="L180"/>
      <c r="N180"/>
      <c r="P180"/>
    </row>
    <row r="181" spans="3:16" x14ac:dyDescent="0.2">
      <c r="C181" s="10"/>
      <c r="D181" s="10"/>
      <c r="L181"/>
      <c r="N181"/>
      <c r="P181"/>
    </row>
    <row r="182" spans="3:16" x14ac:dyDescent="0.2">
      <c r="C182" s="10"/>
      <c r="D182" s="10"/>
      <c r="L182"/>
      <c r="N182"/>
      <c r="P182"/>
    </row>
    <row r="183" spans="3:16" x14ac:dyDescent="0.2">
      <c r="C183" s="10"/>
      <c r="D183" s="10"/>
      <c r="L183"/>
      <c r="N183"/>
      <c r="P183"/>
    </row>
    <row r="184" spans="3:16" x14ac:dyDescent="0.2">
      <c r="C184" s="10"/>
      <c r="D184" s="10"/>
      <c r="L184"/>
      <c r="N184"/>
      <c r="P184"/>
    </row>
    <row r="185" spans="3:16" x14ac:dyDescent="0.2">
      <c r="C185" s="10"/>
      <c r="D185" s="10"/>
      <c r="L185"/>
      <c r="N185"/>
      <c r="P185"/>
    </row>
    <row r="186" spans="3:16" x14ac:dyDescent="0.2">
      <c r="C186" s="10"/>
      <c r="D186" s="10"/>
      <c r="L186"/>
      <c r="N186"/>
      <c r="P186"/>
    </row>
    <row r="187" spans="3:16" x14ac:dyDescent="0.2">
      <c r="C187" s="10"/>
      <c r="D187" s="10"/>
      <c r="L187"/>
      <c r="N187"/>
      <c r="P187"/>
    </row>
    <row r="188" spans="3:16" x14ac:dyDescent="0.2">
      <c r="C188" s="10"/>
      <c r="D188" s="10"/>
      <c r="L188"/>
      <c r="N188"/>
      <c r="P188"/>
    </row>
    <row r="189" spans="3:16" x14ac:dyDescent="0.2">
      <c r="C189" s="10"/>
      <c r="D189" s="10"/>
      <c r="L189"/>
      <c r="N189"/>
      <c r="P189"/>
    </row>
    <row r="190" spans="3:16" x14ac:dyDescent="0.2">
      <c r="C190" s="10"/>
      <c r="D190" s="10"/>
      <c r="L190"/>
      <c r="N190"/>
      <c r="P190"/>
    </row>
    <row r="191" spans="3:16" x14ac:dyDescent="0.2">
      <c r="C191" s="10"/>
      <c r="D191" s="10"/>
      <c r="L191"/>
      <c r="N191"/>
      <c r="P191"/>
    </row>
    <row r="192" spans="3:16" x14ac:dyDescent="0.2">
      <c r="C192" s="10"/>
      <c r="D192" s="10"/>
      <c r="L192"/>
      <c r="N192"/>
      <c r="P192"/>
    </row>
    <row r="193" spans="3:16" x14ac:dyDescent="0.2">
      <c r="C193" s="10"/>
      <c r="D193" s="10"/>
      <c r="L193"/>
      <c r="N193"/>
      <c r="P193"/>
    </row>
    <row r="194" spans="3:16" x14ac:dyDescent="0.2">
      <c r="C194" s="10"/>
      <c r="D194" s="10"/>
      <c r="L194"/>
      <c r="N194"/>
      <c r="P194"/>
    </row>
    <row r="195" spans="3:16" x14ac:dyDescent="0.2">
      <c r="C195" s="10"/>
      <c r="D195" s="10"/>
      <c r="L195"/>
      <c r="N195"/>
      <c r="P195"/>
    </row>
    <row r="196" spans="3:16" x14ac:dyDescent="0.2">
      <c r="C196" s="10"/>
      <c r="D196" s="10"/>
      <c r="L196"/>
      <c r="N196"/>
      <c r="P196"/>
    </row>
    <row r="197" spans="3:16" x14ac:dyDescent="0.2">
      <c r="C197" s="10"/>
      <c r="D197" s="10"/>
      <c r="L197"/>
      <c r="N197"/>
      <c r="P197"/>
    </row>
    <row r="198" spans="3:16" x14ac:dyDescent="0.2">
      <c r="C198" s="10"/>
      <c r="D198" s="10"/>
      <c r="L198"/>
      <c r="N198"/>
      <c r="P198"/>
    </row>
    <row r="199" spans="3:16" x14ac:dyDescent="0.2">
      <c r="C199" s="10"/>
      <c r="D199" s="10"/>
      <c r="L199"/>
      <c r="N199"/>
      <c r="P199"/>
    </row>
    <row r="200" spans="3:16" x14ac:dyDescent="0.2">
      <c r="C200" s="10"/>
      <c r="D200" s="10"/>
      <c r="L200"/>
      <c r="N200"/>
      <c r="P200"/>
    </row>
    <row r="201" spans="3:16" x14ac:dyDescent="0.2">
      <c r="C201" s="10"/>
      <c r="D201" s="10"/>
      <c r="L201"/>
      <c r="N201"/>
      <c r="P201"/>
    </row>
    <row r="202" spans="3:16" x14ac:dyDescent="0.2">
      <c r="C202" s="10"/>
      <c r="D202" s="10"/>
      <c r="L202"/>
      <c r="N202"/>
      <c r="P202"/>
    </row>
    <row r="203" spans="3:16" x14ac:dyDescent="0.2">
      <c r="C203" s="10"/>
      <c r="D203" s="10"/>
      <c r="L203"/>
      <c r="N203"/>
      <c r="P203"/>
    </row>
    <row r="204" spans="3:16" x14ac:dyDescent="0.2">
      <c r="C204" s="10"/>
      <c r="D204" s="10"/>
      <c r="L204"/>
      <c r="N204"/>
      <c r="P204"/>
    </row>
    <row r="205" spans="3:16" x14ac:dyDescent="0.2">
      <c r="C205" s="10"/>
      <c r="D205" s="10"/>
      <c r="L205"/>
      <c r="N205"/>
      <c r="P205"/>
    </row>
    <row r="206" spans="3:16" x14ac:dyDescent="0.2">
      <c r="C206" s="10"/>
      <c r="D206" s="10"/>
      <c r="L206"/>
      <c r="N206"/>
      <c r="P206"/>
    </row>
    <row r="207" spans="3:16" x14ac:dyDescent="0.2">
      <c r="C207" s="10"/>
      <c r="D207" s="10"/>
      <c r="L207"/>
      <c r="N207"/>
      <c r="P207"/>
    </row>
    <row r="208" spans="3:16" x14ac:dyDescent="0.2">
      <c r="C208" s="10"/>
      <c r="D208" s="10"/>
      <c r="L208"/>
      <c r="N208"/>
      <c r="P208"/>
    </row>
    <row r="209" spans="3:16" x14ac:dyDescent="0.2">
      <c r="C209" s="10"/>
      <c r="D209" s="10"/>
      <c r="L209"/>
      <c r="N209"/>
      <c r="P209"/>
    </row>
    <row r="210" spans="3:16" x14ac:dyDescent="0.2">
      <c r="C210" s="10"/>
      <c r="D210" s="10"/>
      <c r="L210"/>
      <c r="N210"/>
      <c r="P210"/>
    </row>
    <row r="211" spans="3:16" x14ac:dyDescent="0.2">
      <c r="C211" s="10"/>
      <c r="D211" s="10"/>
      <c r="L211"/>
      <c r="N211"/>
      <c r="P211"/>
    </row>
    <row r="212" spans="3:16" x14ac:dyDescent="0.2">
      <c r="C212" s="10"/>
      <c r="D212" s="10"/>
      <c r="L212"/>
      <c r="N212"/>
      <c r="P212"/>
    </row>
    <row r="213" spans="3:16" x14ac:dyDescent="0.2">
      <c r="C213" s="10"/>
      <c r="D213" s="10"/>
      <c r="L213"/>
      <c r="N213"/>
      <c r="P213"/>
    </row>
    <row r="214" spans="3:16" x14ac:dyDescent="0.2">
      <c r="C214" s="10"/>
      <c r="D214" s="10"/>
      <c r="L214"/>
      <c r="N214"/>
      <c r="P214"/>
    </row>
    <row r="215" spans="3:16" x14ac:dyDescent="0.2">
      <c r="C215" s="10"/>
      <c r="D215" s="10"/>
      <c r="L215"/>
      <c r="N215"/>
      <c r="P215"/>
    </row>
    <row r="216" spans="3:16" x14ac:dyDescent="0.2">
      <c r="C216" s="10"/>
      <c r="D216" s="10"/>
      <c r="L216"/>
      <c r="N216"/>
      <c r="P216"/>
    </row>
    <row r="217" spans="3:16" x14ac:dyDescent="0.2">
      <c r="C217" s="10"/>
      <c r="D217" s="10"/>
      <c r="L217"/>
      <c r="N217"/>
      <c r="P217"/>
    </row>
    <row r="218" spans="3:16" x14ac:dyDescent="0.2">
      <c r="C218" s="10"/>
      <c r="D218" s="10"/>
      <c r="L218"/>
      <c r="N218"/>
      <c r="P218"/>
    </row>
    <row r="219" spans="3:16" x14ac:dyDescent="0.2">
      <c r="C219" s="10"/>
      <c r="D219" s="10"/>
      <c r="L219"/>
      <c r="N219"/>
      <c r="P219"/>
    </row>
    <row r="220" spans="3:16" x14ac:dyDescent="0.2">
      <c r="C220" s="10"/>
      <c r="D220" s="10"/>
      <c r="L220"/>
      <c r="N220"/>
      <c r="P220"/>
    </row>
    <row r="221" spans="3:16" x14ac:dyDescent="0.2">
      <c r="C221" s="10"/>
      <c r="D221" s="10"/>
      <c r="L221"/>
      <c r="N221"/>
      <c r="P221"/>
    </row>
    <row r="222" spans="3:16" x14ac:dyDescent="0.2">
      <c r="C222" s="10"/>
      <c r="D222" s="10"/>
      <c r="L222"/>
      <c r="N222"/>
      <c r="P222"/>
    </row>
    <row r="223" spans="3:16" x14ac:dyDescent="0.2">
      <c r="C223" s="10"/>
      <c r="D223" s="10"/>
      <c r="L223"/>
      <c r="N223"/>
      <c r="P223"/>
    </row>
    <row r="224" spans="3:16" x14ac:dyDescent="0.2">
      <c r="C224" s="10"/>
      <c r="D224" s="10"/>
      <c r="L224"/>
      <c r="N224"/>
      <c r="P224"/>
    </row>
    <row r="225" spans="3:16" x14ac:dyDescent="0.2">
      <c r="C225" s="10"/>
      <c r="D225" s="10"/>
      <c r="L225"/>
      <c r="N225"/>
      <c r="P225"/>
    </row>
    <row r="226" spans="3:16" x14ac:dyDescent="0.2">
      <c r="C226" s="10"/>
      <c r="D226" s="10"/>
      <c r="L226"/>
      <c r="N226"/>
      <c r="P226"/>
    </row>
    <row r="227" spans="3:16" x14ac:dyDescent="0.2">
      <c r="C227" s="10"/>
      <c r="D227" s="10"/>
      <c r="L227"/>
      <c r="N227"/>
      <c r="P227"/>
    </row>
    <row r="228" spans="3:16" x14ac:dyDescent="0.2">
      <c r="C228" s="10"/>
      <c r="D228" s="10"/>
      <c r="L228"/>
      <c r="N228"/>
      <c r="P228"/>
    </row>
    <row r="229" spans="3:16" x14ac:dyDescent="0.2">
      <c r="C229" s="10"/>
      <c r="D229" s="10"/>
      <c r="L229"/>
      <c r="N229"/>
      <c r="P229"/>
    </row>
    <row r="230" spans="3:16" x14ac:dyDescent="0.2">
      <c r="C230" s="10"/>
      <c r="D230" s="10"/>
      <c r="L230"/>
      <c r="N230"/>
      <c r="P230"/>
    </row>
    <row r="231" spans="3:16" x14ac:dyDescent="0.2">
      <c r="C231" s="10"/>
      <c r="D231" s="10"/>
      <c r="L231"/>
      <c r="N231"/>
      <c r="P231"/>
    </row>
    <row r="232" spans="3:16" x14ac:dyDescent="0.2">
      <c r="C232" s="10"/>
      <c r="D232" s="10"/>
      <c r="L232"/>
      <c r="N232"/>
      <c r="P232"/>
    </row>
    <row r="233" spans="3:16" x14ac:dyDescent="0.2">
      <c r="C233" s="10"/>
      <c r="D233" s="10"/>
      <c r="L233"/>
      <c r="N233"/>
      <c r="P233"/>
    </row>
    <row r="234" spans="3:16" x14ac:dyDescent="0.2">
      <c r="C234" s="10"/>
      <c r="D234" s="10"/>
      <c r="L234"/>
      <c r="N234"/>
      <c r="P234"/>
    </row>
    <row r="235" spans="3:16" x14ac:dyDescent="0.2">
      <c r="C235" s="10"/>
      <c r="D235" s="10"/>
      <c r="L235"/>
      <c r="N235"/>
      <c r="P235"/>
    </row>
    <row r="236" spans="3:16" x14ac:dyDescent="0.2">
      <c r="C236" s="10"/>
      <c r="D236" s="10"/>
      <c r="L236"/>
      <c r="N236"/>
      <c r="P236"/>
    </row>
    <row r="237" spans="3:16" x14ac:dyDescent="0.2">
      <c r="C237" s="10"/>
      <c r="D237" s="10"/>
      <c r="L237"/>
      <c r="N237"/>
      <c r="P237"/>
    </row>
    <row r="238" spans="3:16" x14ac:dyDescent="0.2">
      <c r="C238" s="10"/>
      <c r="D238" s="10"/>
      <c r="L238"/>
      <c r="N238"/>
      <c r="P238"/>
    </row>
    <row r="239" spans="3:16" x14ac:dyDescent="0.2">
      <c r="C239" s="10"/>
      <c r="D239" s="10"/>
      <c r="L239"/>
      <c r="N239"/>
      <c r="P239"/>
    </row>
    <row r="240" spans="3:16" x14ac:dyDescent="0.2">
      <c r="C240" s="10"/>
      <c r="D240" s="10"/>
      <c r="L240"/>
      <c r="N240"/>
      <c r="P240"/>
    </row>
    <row r="241" spans="3:16" x14ac:dyDescent="0.2">
      <c r="C241" s="10"/>
      <c r="D241" s="10"/>
      <c r="L241"/>
      <c r="N241"/>
      <c r="P241"/>
    </row>
    <row r="242" spans="3:16" x14ac:dyDescent="0.2">
      <c r="C242" s="10"/>
      <c r="D242" s="10"/>
      <c r="L242"/>
      <c r="N242"/>
      <c r="P242"/>
    </row>
    <row r="243" spans="3:16" x14ac:dyDescent="0.2">
      <c r="C243" s="10"/>
      <c r="D243" s="10"/>
      <c r="L243"/>
      <c r="N243"/>
      <c r="P243"/>
    </row>
    <row r="244" spans="3:16" x14ac:dyDescent="0.2">
      <c r="C244" s="10"/>
      <c r="D244" s="10"/>
      <c r="L244"/>
      <c r="N244"/>
      <c r="P244"/>
    </row>
    <row r="245" spans="3:16" x14ac:dyDescent="0.2">
      <c r="C245" s="10"/>
      <c r="D245" s="10"/>
      <c r="L245"/>
      <c r="N245"/>
      <c r="P245"/>
    </row>
    <row r="246" spans="3:16" x14ac:dyDescent="0.2">
      <c r="C246" s="10"/>
      <c r="D246" s="10"/>
      <c r="L246"/>
      <c r="N246"/>
      <c r="P246"/>
    </row>
    <row r="247" spans="3:16" x14ac:dyDescent="0.2">
      <c r="C247" s="10"/>
      <c r="D247" s="10"/>
      <c r="L247"/>
      <c r="N247"/>
      <c r="P247"/>
    </row>
    <row r="248" spans="3:16" x14ac:dyDescent="0.2">
      <c r="C248" s="10"/>
      <c r="D248" s="10"/>
      <c r="L248"/>
      <c r="N248"/>
      <c r="P248"/>
    </row>
    <row r="249" spans="3:16" x14ac:dyDescent="0.2">
      <c r="C249" s="10"/>
      <c r="D249" s="10"/>
      <c r="L249"/>
      <c r="N249"/>
      <c r="P249"/>
    </row>
    <row r="250" spans="3:16" x14ac:dyDescent="0.2">
      <c r="C250" s="10"/>
      <c r="D250" s="10"/>
      <c r="L250"/>
      <c r="N250"/>
      <c r="P250"/>
    </row>
    <row r="251" spans="3:16" x14ac:dyDescent="0.2">
      <c r="C251" s="10"/>
      <c r="D251" s="10"/>
      <c r="L251"/>
      <c r="N251"/>
      <c r="P251"/>
    </row>
    <row r="252" spans="3:16" x14ac:dyDescent="0.2">
      <c r="C252" s="10"/>
      <c r="D252" s="10"/>
      <c r="L252"/>
      <c r="N252"/>
      <c r="P252"/>
    </row>
    <row r="253" spans="3:16" x14ac:dyDescent="0.2">
      <c r="C253" s="10"/>
      <c r="D253" s="10"/>
      <c r="L253"/>
      <c r="N253"/>
      <c r="P253"/>
    </row>
    <row r="254" spans="3:16" x14ac:dyDescent="0.2">
      <c r="C254" s="10"/>
      <c r="D254" s="10"/>
      <c r="L254"/>
      <c r="N254"/>
      <c r="P254"/>
    </row>
    <row r="255" spans="3:16" x14ac:dyDescent="0.2">
      <c r="C255" s="10"/>
      <c r="D255" s="10"/>
      <c r="L255"/>
      <c r="N255"/>
      <c r="P255"/>
    </row>
    <row r="256" spans="3:16" x14ac:dyDescent="0.2">
      <c r="C256" s="10"/>
      <c r="D256" s="10"/>
      <c r="L256"/>
      <c r="N256"/>
      <c r="P256"/>
    </row>
    <row r="257" spans="3:16" x14ac:dyDescent="0.2">
      <c r="C257" s="10"/>
      <c r="D257" s="10"/>
      <c r="L257"/>
      <c r="N257"/>
      <c r="P257"/>
    </row>
    <row r="258" spans="3:16" x14ac:dyDescent="0.2">
      <c r="C258" s="10"/>
      <c r="D258" s="10"/>
      <c r="L258"/>
      <c r="N258"/>
      <c r="P258"/>
    </row>
    <row r="259" spans="3:16" x14ac:dyDescent="0.2">
      <c r="C259" s="10"/>
      <c r="D259" s="10"/>
      <c r="L259"/>
      <c r="N259"/>
      <c r="P259"/>
    </row>
    <row r="260" spans="3:16" x14ac:dyDescent="0.2">
      <c r="C260" s="10"/>
      <c r="D260" s="10"/>
      <c r="L260"/>
      <c r="N260"/>
      <c r="P260"/>
    </row>
    <row r="261" spans="3:16" x14ac:dyDescent="0.2">
      <c r="C261" s="10"/>
      <c r="D261" s="10"/>
      <c r="L261"/>
      <c r="N261"/>
      <c r="P261"/>
    </row>
    <row r="262" spans="3:16" x14ac:dyDescent="0.2">
      <c r="C262" s="10"/>
      <c r="D262" s="10"/>
      <c r="L262"/>
      <c r="N262"/>
      <c r="P262"/>
    </row>
    <row r="263" spans="3:16" x14ac:dyDescent="0.2">
      <c r="C263" s="10"/>
      <c r="D263" s="10"/>
      <c r="L263"/>
      <c r="N263"/>
      <c r="P263"/>
    </row>
    <row r="264" spans="3:16" x14ac:dyDescent="0.2">
      <c r="C264" s="10"/>
      <c r="D264" s="10"/>
      <c r="L264"/>
      <c r="N264"/>
      <c r="P264"/>
    </row>
    <row r="265" spans="3:16" x14ac:dyDescent="0.2">
      <c r="C265" s="10"/>
      <c r="D265" s="10"/>
      <c r="L265"/>
      <c r="N265"/>
      <c r="P265"/>
    </row>
    <row r="266" spans="3:16" x14ac:dyDescent="0.2">
      <c r="C266" s="10"/>
      <c r="D266" s="10"/>
      <c r="L266"/>
      <c r="N266"/>
      <c r="P266"/>
    </row>
    <row r="267" spans="3:16" x14ac:dyDescent="0.2">
      <c r="C267" s="10"/>
      <c r="D267" s="10"/>
      <c r="L267"/>
      <c r="N267"/>
      <c r="P267"/>
    </row>
    <row r="268" spans="3:16" x14ac:dyDescent="0.2">
      <c r="C268" s="10"/>
      <c r="D268" s="10"/>
      <c r="L268"/>
      <c r="N268"/>
      <c r="P268"/>
    </row>
    <row r="269" spans="3:16" x14ac:dyDescent="0.2">
      <c r="C269" s="10"/>
      <c r="D269" s="10"/>
      <c r="L269"/>
      <c r="N269"/>
      <c r="P269"/>
    </row>
    <row r="270" spans="3:16" x14ac:dyDescent="0.2">
      <c r="C270" s="10"/>
      <c r="D270" s="10"/>
      <c r="L270"/>
      <c r="N270"/>
      <c r="P270"/>
    </row>
    <row r="271" spans="3:16" x14ac:dyDescent="0.2">
      <c r="C271" s="10"/>
      <c r="D271" s="10"/>
      <c r="L271"/>
      <c r="N271"/>
      <c r="P271"/>
    </row>
    <row r="272" spans="3:16" x14ac:dyDescent="0.2">
      <c r="C272" s="10"/>
      <c r="D272" s="10"/>
      <c r="L272"/>
      <c r="N272"/>
      <c r="P272"/>
    </row>
    <row r="273" spans="3:16" x14ac:dyDescent="0.2">
      <c r="C273" s="10"/>
      <c r="D273" s="10"/>
      <c r="L273"/>
      <c r="N273"/>
      <c r="P273"/>
    </row>
    <row r="274" spans="3:16" x14ac:dyDescent="0.2">
      <c r="C274" s="10"/>
      <c r="D274" s="10"/>
      <c r="L274"/>
      <c r="N274"/>
      <c r="P274"/>
    </row>
    <row r="275" spans="3:16" x14ac:dyDescent="0.2">
      <c r="C275" s="10"/>
      <c r="D275" s="10"/>
      <c r="L275"/>
      <c r="N275"/>
      <c r="P275"/>
    </row>
    <row r="276" spans="3:16" x14ac:dyDescent="0.2">
      <c r="C276" s="10"/>
      <c r="D276" s="10"/>
      <c r="L276"/>
      <c r="N276"/>
      <c r="P276"/>
    </row>
    <row r="277" spans="3:16" x14ac:dyDescent="0.2">
      <c r="C277" s="10"/>
      <c r="D277" s="10"/>
      <c r="L277"/>
      <c r="N277"/>
      <c r="P277"/>
    </row>
    <row r="278" spans="3:16" x14ac:dyDescent="0.2">
      <c r="C278" s="10"/>
      <c r="D278" s="10"/>
      <c r="L278"/>
      <c r="N278"/>
      <c r="P278"/>
    </row>
    <row r="279" spans="3:16" x14ac:dyDescent="0.2">
      <c r="C279" s="10"/>
      <c r="D279" s="10"/>
      <c r="L279"/>
      <c r="N279"/>
      <c r="P279"/>
    </row>
    <row r="280" spans="3:16" x14ac:dyDescent="0.2">
      <c r="C280" s="10"/>
      <c r="D280" s="10"/>
      <c r="L280"/>
      <c r="N280"/>
      <c r="P280"/>
    </row>
    <row r="281" spans="3:16" x14ac:dyDescent="0.2">
      <c r="C281" s="10"/>
      <c r="D281" s="10"/>
      <c r="L281"/>
      <c r="N281"/>
      <c r="P281"/>
    </row>
    <row r="282" spans="3:16" x14ac:dyDescent="0.2">
      <c r="C282" s="10"/>
      <c r="D282" s="10"/>
      <c r="L282"/>
      <c r="N282"/>
      <c r="P282"/>
    </row>
    <row r="283" spans="3:16" x14ac:dyDescent="0.2">
      <c r="C283" s="10"/>
      <c r="D283" s="10"/>
      <c r="L283"/>
      <c r="N283"/>
      <c r="P283"/>
    </row>
    <row r="284" spans="3:16" x14ac:dyDescent="0.2">
      <c r="C284" s="10"/>
      <c r="D284" s="10"/>
      <c r="L284"/>
      <c r="N284"/>
      <c r="P284"/>
    </row>
    <row r="285" spans="3:16" x14ac:dyDescent="0.2">
      <c r="C285" s="10"/>
      <c r="D285" s="10"/>
      <c r="L285"/>
      <c r="N285"/>
      <c r="P285"/>
    </row>
    <row r="286" spans="3:16" x14ac:dyDescent="0.2">
      <c r="C286" s="10"/>
      <c r="D286" s="10"/>
      <c r="L286"/>
      <c r="N286"/>
      <c r="P286"/>
    </row>
    <row r="287" spans="3:16" x14ac:dyDescent="0.2">
      <c r="C287" s="10"/>
      <c r="D287" s="10"/>
      <c r="L287"/>
      <c r="N287"/>
      <c r="P287"/>
    </row>
    <row r="288" spans="3:16" x14ac:dyDescent="0.2">
      <c r="C288" s="10"/>
      <c r="D288" s="10"/>
      <c r="L288"/>
      <c r="N288"/>
      <c r="P288"/>
    </row>
    <row r="289" spans="3:16" x14ac:dyDescent="0.2">
      <c r="C289" s="10"/>
      <c r="D289" s="10"/>
      <c r="L289"/>
      <c r="N289"/>
      <c r="P289"/>
    </row>
    <row r="290" spans="3:16" x14ac:dyDescent="0.2">
      <c r="C290" s="10"/>
      <c r="D290" s="10"/>
      <c r="L290"/>
      <c r="N290"/>
      <c r="P290"/>
    </row>
    <row r="291" spans="3:16" x14ac:dyDescent="0.2">
      <c r="C291" s="10"/>
      <c r="D291" s="10"/>
      <c r="L291"/>
      <c r="N291"/>
      <c r="P291"/>
    </row>
    <row r="292" spans="3:16" x14ac:dyDescent="0.2">
      <c r="C292" s="10"/>
      <c r="D292" s="10"/>
      <c r="L292"/>
      <c r="N292"/>
      <c r="P292"/>
    </row>
    <row r="293" spans="3:16" x14ac:dyDescent="0.2">
      <c r="C293" s="10"/>
      <c r="D293" s="10"/>
      <c r="L293"/>
      <c r="N293"/>
      <c r="P293"/>
    </row>
    <row r="294" spans="3:16" x14ac:dyDescent="0.2">
      <c r="C294" s="10"/>
      <c r="D294" s="10"/>
      <c r="L294"/>
      <c r="N294"/>
      <c r="P294"/>
    </row>
    <row r="295" spans="3:16" x14ac:dyDescent="0.2">
      <c r="C295" s="10"/>
      <c r="D295" s="10"/>
      <c r="L295"/>
      <c r="N295"/>
      <c r="P295"/>
    </row>
    <row r="296" spans="3:16" x14ac:dyDescent="0.2">
      <c r="C296" s="10"/>
      <c r="D296" s="10"/>
      <c r="L296"/>
      <c r="N296"/>
      <c r="P296"/>
    </row>
    <row r="297" spans="3:16" x14ac:dyDescent="0.2">
      <c r="C297" s="10"/>
      <c r="D297" s="10"/>
      <c r="L297"/>
      <c r="N297"/>
      <c r="P297"/>
    </row>
    <row r="298" spans="3:16" x14ac:dyDescent="0.2">
      <c r="C298" s="10"/>
      <c r="D298" s="10"/>
      <c r="L298"/>
      <c r="N298"/>
      <c r="P298"/>
    </row>
    <row r="299" spans="3:16" x14ac:dyDescent="0.2">
      <c r="C299" s="10"/>
      <c r="D299" s="10"/>
      <c r="L299"/>
      <c r="N299"/>
      <c r="P299"/>
    </row>
    <row r="300" spans="3:16" x14ac:dyDescent="0.2">
      <c r="C300" s="10"/>
      <c r="D300" s="10"/>
      <c r="L300"/>
      <c r="N300"/>
      <c r="P300"/>
    </row>
    <row r="301" spans="3:16" x14ac:dyDescent="0.2">
      <c r="C301" s="10"/>
      <c r="D301" s="10"/>
      <c r="L301"/>
      <c r="N301"/>
      <c r="P301"/>
    </row>
    <row r="302" spans="3:16" x14ac:dyDescent="0.2">
      <c r="C302" s="10"/>
      <c r="D302" s="10"/>
      <c r="L302"/>
      <c r="N302"/>
      <c r="P302"/>
    </row>
    <row r="303" spans="3:16" x14ac:dyDescent="0.2">
      <c r="C303" s="10"/>
      <c r="D303" s="10"/>
      <c r="L303"/>
      <c r="N303"/>
      <c r="P303"/>
    </row>
    <row r="304" spans="3:16" x14ac:dyDescent="0.2">
      <c r="C304" s="10"/>
      <c r="D304" s="10"/>
      <c r="L304"/>
      <c r="N304"/>
      <c r="P304"/>
    </row>
    <row r="305" spans="3:16" x14ac:dyDescent="0.2">
      <c r="C305" s="10"/>
      <c r="D305" s="10"/>
      <c r="L305"/>
      <c r="N305"/>
      <c r="P305"/>
    </row>
    <row r="306" spans="3:16" x14ac:dyDescent="0.2">
      <c r="C306" s="10"/>
      <c r="D306" s="10"/>
      <c r="L306"/>
      <c r="N306"/>
      <c r="P306"/>
    </row>
    <row r="307" spans="3:16" x14ac:dyDescent="0.2">
      <c r="C307" s="10"/>
      <c r="D307" s="10"/>
      <c r="L307"/>
      <c r="N307"/>
      <c r="P307"/>
    </row>
    <row r="308" spans="3:16" x14ac:dyDescent="0.2">
      <c r="C308" s="10"/>
      <c r="D308" s="10"/>
      <c r="L308"/>
      <c r="N308"/>
      <c r="P308"/>
    </row>
    <row r="309" spans="3:16" x14ac:dyDescent="0.2">
      <c r="C309" s="10"/>
      <c r="D309" s="10"/>
      <c r="L309"/>
      <c r="N309"/>
      <c r="P309"/>
    </row>
    <row r="310" spans="3:16" x14ac:dyDescent="0.2">
      <c r="C310" s="10"/>
      <c r="D310" s="10"/>
      <c r="L310"/>
      <c r="N310"/>
      <c r="P310"/>
    </row>
    <row r="311" spans="3:16" x14ac:dyDescent="0.2">
      <c r="C311" s="10"/>
      <c r="D311" s="10"/>
      <c r="L311"/>
      <c r="N311"/>
      <c r="P311"/>
    </row>
    <row r="312" spans="3:16" x14ac:dyDescent="0.2">
      <c r="C312" s="10"/>
      <c r="D312" s="10"/>
      <c r="L312"/>
      <c r="N312"/>
      <c r="P312"/>
    </row>
    <row r="313" spans="3:16" x14ac:dyDescent="0.2">
      <c r="C313" s="10"/>
      <c r="D313" s="10"/>
      <c r="L313"/>
      <c r="N313"/>
      <c r="P313"/>
    </row>
    <row r="314" spans="3:16" x14ac:dyDescent="0.2">
      <c r="C314" s="10"/>
      <c r="D314" s="10"/>
      <c r="L314"/>
      <c r="N314"/>
      <c r="P314"/>
    </row>
    <row r="315" spans="3:16" x14ac:dyDescent="0.2">
      <c r="C315" s="10"/>
      <c r="D315" s="10"/>
      <c r="L315"/>
      <c r="N315"/>
      <c r="P315"/>
    </row>
    <row r="316" spans="3:16" x14ac:dyDescent="0.2">
      <c r="C316" s="10"/>
      <c r="D316" s="10"/>
      <c r="L316"/>
      <c r="N316"/>
      <c r="P316"/>
    </row>
    <row r="317" spans="3:16" x14ac:dyDescent="0.2">
      <c r="C317" s="10"/>
      <c r="D317" s="10"/>
      <c r="L317"/>
      <c r="N317"/>
      <c r="P317"/>
    </row>
    <row r="318" spans="3:16" x14ac:dyDescent="0.2">
      <c r="C318" s="10"/>
      <c r="D318" s="10"/>
      <c r="L318"/>
      <c r="N318"/>
      <c r="P318"/>
    </row>
    <row r="319" spans="3:16" x14ac:dyDescent="0.2">
      <c r="C319" s="10"/>
      <c r="D319" s="10"/>
      <c r="L319"/>
      <c r="N319"/>
      <c r="P319"/>
    </row>
    <row r="320" spans="3:16" x14ac:dyDescent="0.2">
      <c r="C320" s="10"/>
      <c r="D320" s="10"/>
      <c r="L320"/>
      <c r="N320"/>
      <c r="P320"/>
    </row>
    <row r="321" spans="3:16" x14ac:dyDescent="0.2">
      <c r="C321" s="10"/>
      <c r="D321" s="10"/>
      <c r="L321"/>
      <c r="N321"/>
      <c r="P321"/>
    </row>
    <row r="322" spans="3:16" x14ac:dyDescent="0.2">
      <c r="C322" s="10"/>
      <c r="D322" s="10"/>
      <c r="L322"/>
      <c r="N322"/>
      <c r="P322"/>
    </row>
    <row r="323" spans="3:16" x14ac:dyDescent="0.2">
      <c r="C323" s="10"/>
      <c r="D323" s="10"/>
      <c r="L323"/>
      <c r="N323"/>
      <c r="P323"/>
    </row>
    <row r="324" spans="3:16" x14ac:dyDescent="0.2">
      <c r="C324" s="10"/>
      <c r="D324" s="10"/>
      <c r="L324"/>
      <c r="N324"/>
      <c r="P324"/>
    </row>
    <row r="325" spans="3:16" x14ac:dyDescent="0.2">
      <c r="C325" s="10"/>
      <c r="D325" s="10"/>
      <c r="L325"/>
      <c r="N325"/>
      <c r="P325"/>
    </row>
    <row r="326" spans="3:16" x14ac:dyDescent="0.2">
      <c r="C326" s="10"/>
      <c r="D326" s="10"/>
      <c r="L326"/>
      <c r="N326"/>
      <c r="P326"/>
    </row>
    <row r="327" spans="3:16" x14ac:dyDescent="0.2">
      <c r="C327" s="10"/>
      <c r="D327" s="10"/>
      <c r="L327"/>
      <c r="N327"/>
      <c r="P327"/>
    </row>
    <row r="328" spans="3:16" x14ac:dyDescent="0.2">
      <c r="C328" s="10"/>
      <c r="D328" s="10"/>
      <c r="L328"/>
      <c r="N328"/>
      <c r="P328"/>
    </row>
    <row r="329" spans="3:16" x14ac:dyDescent="0.2">
      <c r="C329" s="10"/>
      <c r="D329" s="10"/>
      <c r="L329"/>
      <c r="N329"/>
      <c r="P329"/>
    </row>
    <row r="330" spans="3:16" x14ac:dyDescent="0.2">
      <c r="C330" s="10"/>
      <c r="D330" s="10"/>
      <c r="L330"/>
      <c r="N330"/>
      <c r="P330"/>
    </row>
    <row r="331" spans="3:16" x14ac:dyDescent="0.2">
      <c r="C331" s="10"/>
      <c r="D331" s="10"/>
      <c r="L331"/>
      <c r="N331"/>
      <c r="P331"/>
    </row>
    <row r="332" spans="3:16" x14ac:dyDescent="0.2">
      <c r="C332" s="10"/>
      <c r="D332" s="10"/>
      <c r="L332"/>
      <c r="N332"/>
      <c r="P332"/>
    </row>
    <row r="333" spans="3:16" x14ac:dyDescent="0.2">
      <c r="C333" s="10"/>
      <c r="D333" s="10"/>
      <c r="L333"/>
      <c r="N333"/>
      <c r="P333"/>
    </row>
    <row r="334" spans="3:16" x14ac:dyDescent="0.2">
      <c r="C334" s="10"/>
      <c r="D334" s="10"/>
      <c r="L334"/>
      <c r="N334"/>
      <c r="P334"/>
    </row>
    <row r="335" spans="3:16" x14ac:dyDescent="0.2">
      <c r="C335" s="10"/>
      <c r="D335" s="10"/>
      <c r="L335"/>
      <c r="N335"/>
      <c r="P335"/>
    </row>
    <row r="336" spans="3:16" x14ac:dyDescent="0.2">
      <c r="C336" s="10"/>
      <c r="D336" s="10"/>
      <c r="L336"/>
      <c r="N336"/>
      <c r="P336"/>
    </row>
    <row r="337" spans="3:16" x14ac:dyDescent="0.2">
      <c r="C337" s="10"/>
      <c r="D337" s="10"/>
      <c r="L337"/>
      <c r="N337"/>
      <c r="P337"/>
    </row>
    <row r="338" spans="3:16" x14ac:dyDescent="0.2">
      <c r="C338" s="10"/>
      <c r="D338" s="10"/>
      <c r="L338"/>
      <c r="N338"/>
      <c r="P338"/>
    </row>
    <row r="339" spans="3:16" x14ac:dyDescent="0.2">
      <c r="C339" s="10"/>
      <c r="D339" s="10"/>
      <c r="L339"/>
      <c r="N339"/>
      <c r="P339"/>
    </row>
    <row r="340" spans="3:16" x14ac:dyDescent="0.2">
      <c r="C340" s="10"/>
      <c r="D340" s="10"/>
      <c r="L340"/>
      <c r="N340"/>
      <c r="P340"/>
    </row>
    <row r="341" spans="3:16" x14ac:dyDescent="0.2">
      <c r="C341" s="10"/>
      <c r="D341" s="10"/>
      <c r="L341"/>
      <c r="N341"/>
      <c r="P341"/>
    </row>
    <row r="342" spans="3:16" x14ac:dyDescent="0.2">
      <c r="C342" s="10"/>
      <c r="D342" s="10"/>
      <c r="L342"/>
      <c r="N342"/>
      <c r="P342"/>
    </row>
    <row r="343" spans="3:16" x14ac:dyDescent="0.2">
      <c r="C343" s="10"/>
      <c r="D343" s="10"/>
      <c r="L343"/>
      <c r="N343"/>
      <c r="P343"/>
    </row>
    <row r="344" spans="3:16" x14ac:dyDescent="0.2">
      <c r="C344" s="10"/>
      <c r="D344" s="10"/>
      <c r="L344"/>
      <c r="N344"/>
      <c r="P344"/>
    </row>
    <row r="345" spans="3:16" x14ac:dyDescent="0.2">
      <c r="C345" s="10"/>
      <c r="D345" s="10"/>
      <c r="L345"/>
      <c r="N345"/>
      <c r="P345"/>
    </row>
    <row r="346" spans="3:16" x14ac:dyDescent="0.2">
      <c r="C346" s="10"/>
      <c r="D346" s="10"/>
      <c r="L346"/>
      <c r="N346"/>
      <c r="P346"/>
    </row>
    <row r="347" spans="3:16" x14ac:dyDescent="0.2">
      <c r="C347" s="10"/>
      <c r="D347" s="10"/>
      <c r="L347"/>
      <c r="N347"/>
      <c r="P347"/>
    </row>
    <row r="348" spans="3:16" x14ac:dyDescent="0.2">
      <c r="C348" s="10"/>
      <c r="D348" s="10"/>
      <c r="L348"/>
      <c r="N348"/>
      <c r="P348"/>
    </row>
    <row r="349" spans="3:16" x14ac:dyDescent="0.2">
      <c r="C349" s="10"/>
      <c r="D349" s="10"/>
      <c r="L349"/>
      <c r="N349"/>
      <c r="P349"/>
    </row>
    <row r="350" spans="3:16" x14ac:dyDescent="0.2">
      <c r="C350" s="10"/>
      <c r="D350" s="10"/>
      <c r="L350"/>
      <c r="N350"/>
      <c r="P350"/>
    </row>
    <row r="351" spans="3:16" x14ac:dyDescent="0.2">
      <c r="C351" s="10"/>
      <c r="D351" s="10"/>
      <c r="L351"/>
      <c r="N351"/>
      <c r="P351"/>
    </row>
    <row r="352" spans="3:16" x14ac:dyDescent="0.2">
      <c r="C352" s="10"/>
      <c r="D352" s="10"/>
      <c r="L352"/>
      <c r="N352"/>
      <c r="P352"/>
    </row>
    <row r="353" spans="3:16" x14ac:dyDescent="0.2">
      <c r="C353" s="10"/>
      <c r="D353" s="10"/>
      <c r="L353"/>
      <c r="N353"/>
      <c r="P353"/>
    </row>
    <row r="354" spans="3:16" x14ac:dyDescent="0.2">
      <c r="C354" s="10"/>
      <c r="D354" s="10"/>
      <c r="L354"/>
      <c r="N354"/>
      <c r="P354"/>
    </row>
    <row r="355" spans="3:16" x14ac:dyDescent="0.2">
      <c r="C355" s="10"/>
      <c r="D355" s="10"/>
      <c r="L355"/>
      <c r="N355"/>
      <c r="P355"/>
    </row>
    <row r="356" spans="3:16" x14ac:dyDescent="0.2">
      <c r="C356" s="10"/>
      <c r="D356" s="10"/>
      <c r="L356"/>
      <c r="N356"/>
      <c r="P356"/>
    </row>
    <row r="357" spans="3:16" x14ac:dyDescent="0.2">
      <c r="C357" s="10"/>
      <c r="D357" s="10"/>
      <c r="L357"/>
      <c r="N357"/>
      <c r="P357"/>
    </row>
    <row r="358" spans="3:16" x14ac:dyDescent="0.2">
      <c r="C358" s="10"/>
      <c r="D358" s="10"/>
      <c r="L358"/>
      <c r="N358"/>
      <c r="P358"/>
    </row>
    <row r="359" spans="3:16" x14ac:dyDescent="0.2">
      <c r="C359" s="10"/>
      <c r="D359" s="10"/>
      <c r="L359"/>
      <c r="N359"/>
      <c r="P359"/>
    </row>
    <row r="360" spans="3:16" x14ac:dyDescent="0.2">
      <c r="C360" s="10"/>
      <c r="D360" s="10"/>
      <c r="L360"/>
      <c r="N360"/>
      <c r="P360"/>
    </row>
    <row r="361" spans="3:16" x14ac:dyDescent="0.2">
      <c r="C361" s="10"/>
      <c r="D361" s="10"/>
      <c r="L361"/>
      <c r="N361"/>
      <c r="P361"/>
    </row>
    <row r="362" spans="3:16" x14ac:dyDescent="0.2">
      <c r="C362" s="10"/>
      <c r="D362" s="10"/>
      <c r="L362"/>
      <c r="N362"/>
      <c r="P362"/>
    </row>
    <row r="363" spans="3:16" x14ac:dyDescent="0.2">
      <c r="C363" s="10"/>
      <c r="D363" s="10"/>
      <c r="L363"/>
      <c r="N363"/>
      <c r="P363"/>
    </row>
    <row r="364" spans="3:16" x14ac:dyDescent="0.2">
      <c r="C364" s="10"/>
      <c r="D364" s="10"/>
      <c r="L364"/>
      <c r="N364"/>
      <c r="P364"/>
    </row>
    <row r="365" spans="3:16" x14ac:dyDescent="0.2">
      <c r="C365" s="10"/>
      <c r="D365" s="10"/>
      <c r="L365"/>
      <c r="N365"/>
      <c r="P365"/>
    </row>
    <row r="366" spans="3:16" x14ac:dyDescent="0.2">
      <c r="C366" s="10"/>
      <c r="D366" s="10"/>
      <c r="L366"/>
      <c r="N366"/>
      <c r="P366"/>
    </row>
    <row r="367" spans="3:16" x14ac:dyDescent="0.2">
      <c r="C367" s="10"/>
      <c r="D367" s="10"/>
      <c r="L367"/>
      <c r="N367"/>
      <c r="P367"/>
    </row>
    <row r="368" spans="3:16" x14ac:dyDescent="0.2">
      <c r="C368" s="10"/>
      <c r="D368" s="10"/>
      <c r="L368"/>
      <c r="N368"/>
      <c r="P368"/>
    </row>
    <row r="369" spans="3:16" x14ac:dyDescent="0.2">
      <c r="C369" s="10"/>
      <c r="D369" s="10"/>
      <c r="L369"/>
      <c r="N369"/>
      <c r="P369"/>
    </row>
    <row r="370" spans="3:16" x14ac:dyDescent="0.2">
      <c r="C370" s="10"/>
      <c r="D370" s="10"/>
      <c r="L370"/>
      <c r="N370"/>
      <c r="P370"/>
    </row>
    <row r="371" spans="3:16" x14ac:dyDescent="0.2">
      <c r="C371" s="10"/>
      <c r="D371" s="10"/>
      <c r="L371"/>
      <c r="N371"/>
      <c r="P371"/>
    </row>
    <row r="372" spans="3:16" x14ac:dyDescent="0.2">
      <c r="C372" s="10"/>
      <c r="D372" s="10"/>
      <c r="L372"/>
      <c r="N372"/>
      <c r="P372"/>
    </row>
    <row r="373" spans="3:16" x14ac:dyDescent="0.2">
      <c r="C373" s="10"/>
      <c r="D373" s="10"/>
      <c r="L373"/>
      <c r="N373"/>
      <c r="P373"/>
    </row>
    <row r="374" spans="3:16" x14ac:dyDescent="0.2">
      <c r="C374" s="10"/>
      <c r="D374" s="10"/>
      <c r="L374"/>
      <c r="N374"/>
      <c r="P374"/>
    </row>
    <row r="375" spans="3:16" x14ac:dyDescent="0.2">
      <c r="C375" s="10"/>
      <c r="D375" s="10"/>
      <c r="L375"/>
      <c r="N375"/>
      <c r="P375"/>
    </row>
    <row r="376" spans="3:16" x14ac:dyDescent="0.2">
      <c r="C376" s="10"/>
      <c r="D376" s="10"/>
      <c r="L376"/>
      <c r="N376"/>
      <c r="P376"/>
    </row>
    <row r="377" spans="3:16" x14ac:dyDescent="0.2">
      <c r="C377" s="10"/>
      <c r="D377" s="10"/>
      <c r="L377"/>
      <c r="N377"/>
      <c r="P377"/>
    </row>
    <row r="378" spans="3:16" x14ac:dyDescent="0.2">
      <c r="C378" s="10"/>
      <c r="D378" s="10"/>
      <c r="L378"/>
      <c r="N378"/>
      <c r="P378"/>
    </row>
    <row r="379" spans="3:16" x14ac:dyDescent="0.2">
      <c r="C379" s="10"/>
      <c r="D379" s="10"/>
      <c r="L379"/>
      <c r="N379"/>
      <c r="P379"/>
    </row>
    <row r="380" spans="3:16" x14ac:dyDescent="0.2">
      <c r="C380" s="10"/>
      <c r="D380" s="10"/>
      <c r="L380"/>
      <c r="N380"/>
      <c r="P380"/>
    </row>
    <row r="381" spans="3:16" x14ac:dyDescent="0.2">
      <c r="C381" s="10"/>
      <c r="D381" s="10"/>
      <c r="L381"/>
      <c r="N381"/>
      <c r="P381"/>
    </row>
    <row r="382" spans="3:16" x14ac:dyDescent="0.2">
      <c r="C382" s="10"/>
      <c r="D382" s="10"/>
      <c r="L382"/>
      <c r="N382"/>
      <c r="P382"/>
    </row>
    <row r="383" spans="3:16" x14ac:dyDescent="0.2">
      <c r="C383" s="10"/>
      <c r="D383" s="10"/>
      <c r="L383"/>
      <c r="N383"/>
      <c r="P383"/>
    </row>
    <row r="384" spans="3:16" x14ac:dyDescent="0.2">
      <c r="C384" s="10"/>
      <c r="D384" s="10"/>
      <c r="L384"/>
      <c r="N384"/>
      <c r="P384"/>
    </row>
    <row r="385" spans="3:16" x14ac:dyDescent="0.2">
      <c r="C385" s="10"/>
      <c r="D385" s="10"/>
      <c r="L385"/>
      <c r="N385"/>
      <c r="P385"/>
    </row>
    <row r="386" spans="3:16" x14ac:dyDescent="0.2">
      <c r="C386" s="10"/>
      <c r="D386" s="10"/>
      <c r="L386"/>
      <c r="N386"/>
      <c r="P386"/>
    </row>
    <row r="387" spans="3:16" x14ac:dyDescent="0.2">
      <c r="C387" s="10"/>
      <c r="D387" s="10"/>
      <c r="L387"/>
      <c r="N387"/>
      <c r="P387"/>
    </row>
    <row r="388" spans="3:16" x14ac:dyDescent="0.2">
      <c r="C388" s="10"/>
      <c r="D388" s="10"/>
      <c r="L388"/>
      <c r="N388"/>
      <c r="P388"/>
    </row>
    <row r="389" spans="3:16" x14ac:dyDescent="0.2">
      <c r="C389" s="10"/>
      <c r="D389" s="10"/>
      <c r="L389"/>
      <c r="N389"/>
      <c r="P389"/>
    </row>
    <row r="390" spans="3:16" x14ac:dyDescent="0.2">
      <c r="C390" s="10"/>
      <c r="D390" s="10"/>
      <c r="L390"/>
      <c r="N390"/>
      <c r="P390"/>
    </row>
    <row r="391" spans="3:16" x14ac:dyDescent="0.2">
      <c r="C391" s="10"/>
      <c r="D391" s="10"/>
      <c r="L391"/>
      <c r="N391"/>
      <c r="P391"/>
    </row>
    <row r="392" spans="3:16" x14ac:dyDescent="0.2">
      <c r="C392" s="10"/>
      <c r="D392" s="10"/>
      <c r="L392"/>
      <c r="N392"/>
      <c r="P392"/>
    </row>
    <row r="393" spans="3:16" x14ac:dyDescent="0.2">
      <c r="C393" s="10"/>
      <c r="D393" s="10"/>
      <c r="L393"/>
      <c r="N393"/>
      <c r="P393"/>
    </row>
    <row r="394" spans="3:16" x14ac:dyDescent="0.2">
      <c r="C394" s="10"/>
      <c r="D394" s="10"/>
      <c r="L394"/>
      <c r="N394"/>
      <c r="P394"/>
    </row>
    <row r="395" spans="3:16" x14ac:dyDescent="0.2">
      <c r="C395" s="10"/>
      <c r="D395" s="10"/>
      <c r="L395"/>
      <c r="N395"/>
      <c r="P395"/>
    </row>
    <row r="396" spans="3:16" x14ac:dyDescent="0.2">
      <c r="C396" s="10"/>
      <c r="D396" s="10"/>
      <c r="L396"/>
      <c r="N396"/>
      <c r="P396"/>
    </row>
    <row r="397" spans="3:16" x14ac:dyDescent="0.2">
      <c r="C397" s="10"/>
      <c r="D397" s="10"/>
      <c r="L397"/>
      <c r="N397"/>
      <c r="P397"/>
    </row>
    <row r="398" spans="3:16" x14ac:dyDescent="0.2">
      <c r="C398" s="10"/>
      <c r="D398" s="10"/>
      <c r="L398"/>
      <c r="N398"/>
      <c r="P398"/>
    </row>
    <row r="399" spans="3:16" x14ac:dyDescent="0.2">
      <c r="C399" s="10"/>
      <c r="D399" s="10"/>
      <c r="L399"/>
      <c r="N399"/>
      <c r="P399"/>
    </row>
    <row r="400" spans="3:16" x14ac:dyDescent="0.2">
      <c r="C400" s="10"/>
      <c r="D400" s="10"/>
      <c r="L400"/>
      <c r="N400"/>
      <c r="P400"/>
    </row>
    <row r="401" spans="3:16" x14ac:dyDescent="0.2">
      <c r="C401" s="10"/>
      <c r="D401" s="10"/>
      <c r="L401"/>
      <c r="N401"/>
      <c r="P401"/>
    </row>
    <row r="402" spans="3:16" x14ac:dyDescent="0.2">
      <c r="C402" s="10"/>
      <c r="D402" s="10"/>
      <c r="L402"/>
      <c r="N402"/>
      <c r="P402"/>
    </row>
    <row r="403" spans="3:16" x14ac:dyDescent="0.2">
      <c r="C403" s="10"/>
      <c r="D403" s="10"/>
      <c r="L403"/>
      <c r="N403"/>
      <c r="P403"/>
    </row>
    <row r="404" spans="3:16" x14ac:dyDescent="0.2">
      <c r="C404" s="10"/>
      <c r="D404" s="10"/>
      <c r="L404"/>
      <c r="N404"/>
      <c r="P404"/>
    </row>
    <row r="405" spans="3:16" x14ac:dyDescent="0.2">
      <c r="C405" s="10"/>
      <c r="D405" s="10"/>
      <c r="L405"/>
      <c r="N405"/>
      <c r="P405"/>
    </row>
    <row r="406" spans="3:16" x14ac:dyDescent="0.2">
      <c r="C406" s="10"/>
      <c r="D406" s="10"/>
      <c r="L406"/>
      <c r="N406"/>
      <c r="P406"/>
    </row>
    <row r="407" spans="3:16" x14ac:dyDescent="0.2">
      <c r="C407" s="10"/>
      <c r="D407" s="10"/>
      <c r="L407"/>
      <c r="N407"/>
      <c r="P407"/>
    </row>
    <row r="408" spans="3:16" x14ac:dyDescent="0.2">
      <c r="C408" s="10"/>
      <c r="D408" s="10"/>
      <c r="L408"/>
      <c r="N408"/>
      <c r="P408"/>
    </row>
    <row r="409" spans="3:16" x14ac:dyDescent="0.2">
      <c r="C409" s="10"/>
      <c r="D409" s="10"/>
      <c r="L409"/>
      <c r="N409"/>
      <c r="P409"/>
    </row>
    <row r="410" spans="3:16" x14ac:dyDescent="0.2">
      <c r="C410" s="10"/>
      <c r="D410" s="10"/>
      <c r="L410"/>
      <c r="N410"/>
      <c r="P410"/>
    </row>
    <row r="411" spans="3:16" x14ac:dyDescent="0.2">
      <c r="C411" s="10"/>
      <c r="D411" s="10"/>
      <c r="L411"/>
      <c r="N411"/>
      <c r="P411"/>
    </row>
    <row r="412" spans="3:16" x14ac:dyDescent="0.2">
      <c r="C412" s="10"/>
      <c r="D412" s="10"/>
      <c r="L412"/>
      <c r="N412"/>
      <c r="P412"/>
    </row>
    <row r="413" spans="3:16" x14ac:dyDescent="0.2">
      <c r="C413" s="10"/>
      <c r="D413" s="10"/>
      <c r="L413"/>
      <c r="N413"/>
      <c r="P413"/>
    </row>
    <row r="414" spans="3:16" x14ac:dyDescent="0.2">
      <c r="C414" s="10"/>
      <c r="D414" s="10"/>
      <c r="L414"/>
      <c r="N414"/>
      <c r="P414"/>
    </row>
    <row r="415" spans="3:16" x14ac:dyDescent="0.2">
      <c r="C415" s="10"/>
      <c r="D415" s="10"/>
      <c r="L415"/>
      <c r="N415"/>
      <c r="P415"/>
    </row>
    <row r="416" spans="3:16" x14ac:dyDescent="0.2">
      <c r="C416" s="10"/>
      <c r="D416" s="10"/>
      <c r="L416"/>
      <c r="N416"/>
      <c r="P416"/>
    </row>
    <row r="417" spans="3:16" x14ac:dyDescent="0.2">
      <c r="C417" s="10"/>
      <c r="D417" s="10"/>
      <c r="L417"/>
      <c r="N417"/>
      <c r="P417"/>
    </row>
    <row r="418" spans="3:16" x14ac:dyDescent="0.2">
      <c r="C418" s="10"/>
      <c r="D418" s="10"/>
      <c r="L418"/>
      <c r="N418"/>
      <c r="P418"/>
    </row>
    <row r="419" spans="3:16" x14ac:dyDescent="0.2">
      <c r="C419" s="10"/>
      <c r="D419" s="10"/>
      <c r="L419"/>
      <c r="N419"/>
      <c r="P419"/>
    </row>
    <row r="420" spans="3:16" x14ac:dyDescent="0.2">
      <c r="C420" s="10"/>
      <c r="D420" s="10"/>
      <c r="L420"/>
      <c r="N420"/>
      <c r="P420"/>
    </row>
    <row r="421" spans="3:16" x14ac:dyDescent="0.2">
      <c r="C421" s="10"/>
      <c r="D421" s="10"/>
      <c r="L421"/>
      <c r="N421"/>
      <c r="P421"/>
    </row>
    <row r="422" spans="3:16" x14ac:dyDescent="0.2">
      <c r="C422" s="10"/>
      <c r="D422" s="10"/>
      <c r="L422"/>
      <c r="N422"/>
      <c r="P422"/>
    </row>
    <row r="423" spans="3:16" x14ac:dyDescent="0.2">
      <c r="C423" s="10"/>
      <c r="D423" s="10"/>
      <c r="L423"/>
      <c r="N423"/>
      <c r="P423"/>
    </row>
    <row r="424" spans="3:16" x14ac:dyDescent="0.2">
      <c r="C424" s="10"/>
      <c r="D424" s="10"/>
      <c r="L424"/>
      <c r="N424"/>
      <c r="P424"/>
    </row>
    <row r="425" spans="3:16" x14ac:dyDescent="0.2">
      <c r="C425" s="10"/>
      <c r="D425" s="10"/>
      <c r="L425"/>
      <c r="N425"/>
      <c r="P425"/>
    </row>
    <row r="426" spans="3:16" x14ac:dyDescent="0.2">
      <c r="C426" s="10"/>
      <c r="D426" s="10"/>
      <c r="L426"/>
      <c r="N426"/>
      <c r="P426"/>
    </row>
    <row r="427" spans="3:16" x14ac:dyDescent="0.2">
      <c r="C427" s="10"/>
      <c r="D427" s="10"/>
      <c r="L427"/>
      <c r="N427"/>
      <c r="P427"/>
    </row>
    <row r="428" spans="3:16" x14ac:dyDescent="0.2">
      <c r="C428" s="10"/>
      <c r="D428" s="10"/>
      <c r="L428"/>
      <c r="N428"/>
      <c r="P428"/>
    </row>
    <row r="429" spans="3:16" x14ac:dyDescent="0.2">
      <c r="C429" s="10"/>
      <c r="D429" s="10"/>
      <c r="L429"/>
      <c r="N429"/>
      <c r="P429"/>
    </row>
    <row r="430" spans="3:16" x14ac:dyDescent="0.2">
      <c r="C430" s="10"/>
      <c r="D430" s="10"/>
      <c r="L430"/>
      <c r="N430"/>
      <c r="P430"/>
    </row>
    <row r="431" spans="3:16" x14ac:dyDescent="0.2">
      <c r="C431" s="10"/>
      <c r="D431" s="10"/>
      <c r="L431"/>
      <c r="N431"/>
      <c r="P431"/>
    </row>
    <row r="432" spans="3:16" x14ac:dyDescent="0.2">
      <c r="C432" s="10"/>
      <c r="D432" s="10"/>
      <c r="L432"/>
      <c r="N432"/>
      <c r="P432"/>
    </row>
    <row r="433" spans="3:16" x14ac:dyDescent="0.2">
      <c r="C433" s="10"/>
      <c r="D433" s="10"/>
      <c r="L433"/>
      <c r="N433"/>
      <c r="P433"/>
    </row>
    <row r="434" spans="3:16" x14ac:dyDescent="0.2">
      <c r="C434" s="10"/>
      <c r="D434" s="10"/>
      <c r="L434"/>
      <c r="N434"/>
      <c r="P434"/>
    </row>
    <row r="435" spans="3:16" x14ac:dyDescent="0.2">
      <c r="C435" s="10"/>
      <c r="D435" s="10"/>
      <c r="L435"/>
      <c r="N435"/>
      <c r="P435"/>
    </row>
    <row r="436" spans="3:16" x14ac:dyDescent="0.2">
      <c r="C436" s="10"/>
      <c r="D436" s="10"/>
      <c r="L436"/>
      <c r="N436"/>
      <c r="P436"/>
    </row>
    <row r="437" spans="3:16" x14ac:dyDescent="0.2">
      <c r="C437" s="10"/>
      <c r="D437" s="10"/>
      <c r="L437"/>
      <c r="N437"/>
      <c r="P437"/>
    </row>
    <row r="438" spans="3:16" x14ac:dyDescent="0.2">
      <c r="C438" s="10"/>
      <c r="D438" s="10"/>
      <c r="L438"/>
      <c r="N438"/>
      <c r="P438"/>
    </row>
    <row r="439" spans="3:16" x14ac:dyDescent="0.2">
      <c r="C439" s="10"/>
      <c r="D439" s="10"/>
      <c r="L439"/>
      <c r="N439"/>
      <c r="P439"/>
    </row>
    <row r="440" spans="3:16" x14ac:dyDescent="0.2">
      <c r="C440" s="10"/>
      <c r="D440" s="10"/>
      <c r="L440"/>
      <c r="N440"/>
      <c r="P440"/>
    </row>
    <row r="441" spans="3:16" x14ac:dyDescent="0.2">
      <c r="C441" s="10"/>
      <c r="D441" s="10"/>
      <c r="L441"/>
      <c r="N441"/>
      <c r="P441"/>
    </row>
    <row r="442" spans="3:16" x14ac:dyDescent="0.2">
      <c r="C442" s="10"/>
      <c r="D442" s="10"/>
      <c r="L442"/>
      <c r="N442"/>
      <c r="P442"/>
    </row>
    <row r="443" spans="3:16" x14ac:dyDescent="0.2">
      <c r="C443" s="10"/>
      <c r="D443" s="10"/>
      <c r="L443"/>
      <c r="N443"/>
      <c r="P443"/>
    </row>
    <row r="444" spans="3:16" x14ac:dyDescent="0.2">
      <c r="C444" s="10"/>
      <c r="D444" s="10"/>
      <c r="L444"/>
      <c r="N444"/>
      <c r="P444"/>
    </row>
    <row r="445" spans="3:16" x14ac:dyDescent="0.2">
      <c r="C445" s="10"/>
      <c r="D445" s="10"/>
      <c r="L445"/>
      <c r="N445"/>
      <c r="P445"/>
    </row>
    <row r="446" spans="3:16" x14ac:dyDescent="0.2">
      <c r="C446" s="10"/>
      <c r="D446" s="10"/>
      <c r="L446"/>
      <c r="N446"/>
      <c r="P446"/>
    </row>
    <row r="447" spans="3:16" x14ac:dyDescent="0.2">
      <c r="C447" s="10"/>
      <c r="D447" s="10"/>
      <c r="L447"/>
      <c r="N447"/>
      <c r="P447"/>
    </row>
    <row r="448" spans="3:16" x14ac:dyDescent="0.2">
      <c r="C448" s="10"/>
      <c r="D448" s="10"/>
      <c r="L448"/>
      <c r="N448"/>
      <c r="P448"/>
    </row>
    <row r="449" spans="3:16" x14ac:dyDescent="0.2">
      <c r="C449" s="10"/>
      <c r="D449" s="10"/>
      <c r="L449"/>
      <c r="N449"/>
      <c r="P449"/>
    </row>
    <row r="450" spans="3:16" x14ac:dyDescent="0.2">
      <c r="C450" s="10"/>
      <c r="D450" s="10"/>
      <c r="L450"/>
      <c r="N450"/>
      <c r="P450"/>
    </row>
    <row r="451" spans="3:16" x14ac:dyDescent="0.2">
      <c r="C451" s="10"/>
      <c r="D451" s="10"/>
      <c r="L451"/>
      <c r="N451"/>
      <c r="P451"/>
    </row>
    <row r="452" spans="3:16" x14ac:dyDescent="0.2">
      <c r="C452" s="10"/>
      <c r="D452" s="10"/>
      <c r="L452"/>
      <c r="N452"/>
      <c r="P452"/>
    </row>
    <row r="453" spans="3:16" x14ac:dyDescent="0.2">
      <c r="C453" s="10"/>
      <c r="D453" s="10"/>
      <c r="L453"/>
      <c r="N453"/>
      <c r="P453"/>
    </row>
    <row r="454" spans="3:16" x14ac:dyDescent="0.2">
      <c r="C454" s="10"/>
      <c r="D454" s="10"/>
      <c r="L454"/>
      <c r="N454"/>
      <c r="P454"/>
    </row>
    <row r="455" spans="3:16" x14ac:dyDescent="0.2">
      <c r="C455" s="10"/>
      <c r="D455" s="10"/>
      <c r="L455"/>
      <c r="N455"/>
      <c r="P455"/>
    </row>
    <row r="456" spans="3:16" x14ac:dyDescent="0.2">
      <c r="C456" s="10"/>
      <c r="D456" s="10"/>
      <c r="L456"/>
      <c r="N456"/>
      <c r="P456"/>
    </row>
    <row r="457" spans="3:16" x14ac:dyDescent="0.2">
      <c r="C457" s="10"/>
      <c r="D457" s="10"/>
      <c r="L457"/>
      <c r="N457"/>
      <c r="P457"/>
    </row>
    <row r="458" spans="3:16" x14ac:dyDescent="0.2">
      <c r="C458" s="10"/>
      <c r="D458" s="10"/>
      <c r="L458"/>
      <c r="N458"/>
      <c r="P458"/>
    </row>
    <row r="459" spans="3:16" x14ac:dyDescent="0.2">
      <c r="C459" s="10"/>
      <c r="D459" s="10"/>
      <c r="L459"/>
      <c r="N459"/>
      <c r="P459"/>
    </row>
    <row r="460" spans="3:16" x14ac:dyDescent="0.2">
      <c r="C460" s="10"/>
      <c r="D460" s="10"/>
      <c r="L460"/>
      <c r="N460"/>
      <c r="P460"/>
    </row>
    <row r="461" spans="3:16" x14ac:dyDescent="0.2">
      <c r="C461" s="10"/>
      <c r="D461" s="10"/>
      <c r="L461"/>
      <c r="N461"/>
      <c r="P461"/>
    </row>
    <row r="462" spans="3:16" x14ac:dyDescent="0.2">
      <c r="C462" s="10"/>
      <c r="D462" s="10"/>
      <c r="L462"/>
      <c r="N462"/>
      <c r="P462"/>
    </row>
    <row r="463" spans="3:16" x14ac:dyDescent="0.2">
      <c r="C463" s="10"/>
      <c r="D463" s="10"/>
      <c r="L463"/>
      <c r="N463"/>
      <c r="P463"/>
    </row>
    <row r="464" spans="3:16" x14ac:dyDescent="0.2">
      <c r="C464" s="10"/>
      <c r="D464" s="10"/>
      <c r="L464"/>
      <c r="N464"/>
      <c r="P464"/>
    </row>
    <row r="465" spans="3:16" x14ac:dyDescent="0.2">
      <c r="C465" s="10"/>
      <c r="D465" s="10"/>
      <c r="L465"/>
      <c r="N465"/>
      <c r="P465"/>
    </row>
    <row r="466" spans="3:16" x14ac:dyDescent="0.2">
      <c r="C466" s="10"/>
      <c r="D466" s="10"/>
      <c r="L466"/>
      <c r="N466"/>
      <c r="P466"/>
    </row>
    <row r="467" spans="3:16" x14ac:dyDescent="0.2">
      <c r="C467" s="10"/>
      <c r="D467" s="10"/>
      <c r="L467"/>
      <c r="N467"/>
      <c r="P467"/>
    </row>
    <row r="468" spans="3:16" x14ac:dyDescent="0.2">
      <c r="C468" s="10"/>
      <c r="D468" s="10"/>
      <c r="L468"/>
      <c r="N468"/>
      <c r="P468"/>
    </row>
    <row r="469" spans="3:16" x14ac:dyDescent="0.2">
      <c r="C469" s="10"/>
      <c r="D469" s="10"/>
      <c r="L469"/>
      <c r="N469"/>
      <c r="P469"/>
    </row>
    <row r="470" spans="3:16" x14ac:dyDescent="0.2">
      <c r="C470" s="10"/>
      <c r="D470" s="10"/>
      <c r="L470"/>
      <c r="N470"/>
      <c r="P470"/>
    </row>
    <row r="471" spans="3:16" x14ac:dyDescent="0.2">
      <c r="C471" s="10"/>
      <c r="D471" s="10"/>
      <c r="L471"/>
      <c r="N471"/>
      <c r="P471"/>
    </row>
    <row r="472" spans="3:16" x14ac:dyDescent="0.2">
      <c r="C472" s="10"/>
      <c r="D472" s="10"/>
      <c r="L472"/>
      <c r="N472"/>
      <c r="P472"/>
    </row>
    <row r="473" spans="3:16" x14ac:dyDescent="0.2">
      <c r="C473" s="10"/>
      <c r="D473" s="10"/>
      <c r="L473"/>
      <c r="N473"/>
      <c r="P473"/>
    </row>
    <row r="474" spans="3:16" x14ac:dyDescent="0.2">
      <c r="C474" s="10"/>
      <c r="D474" s="10"/>
      <c r="L474"/>
      <c r="N474"/>
      <c r="P474"/>
    </row>
    <row r="475" spans="3:16" x14ac:dyDescent="0.2">
      <c r="C475" s="10"/>
      <c r="D475" s="10"/>
      <c r="L475"/>
      <c r="N475"/>
      <c r="P475"/>
    </row>
    <row r="476" spans="3:16" x14ac:dyDescent="0.2">
      <c r="C476" s="10"/>
      <c r="D476" s="10"/>
      <c r="L476"/>
      <c r="N476"/>
      <c r="P476"/>
    </row>
    <row r="477" spans="3:16" x14ac:dyDescent="0.2">
      <c r="C477" s="10"/>
      <c r="D477" s="10"/>
      <c r="L477"/>
      <c r="N477"/>
      <c r="P477"/>
    </row>
    <row r="478" spans="3:16" x14ac:dyDescent="0.2">
      <c r="C478" s="10"/>
      <c r="D478" s="10"/>
      <c r="L478"/>
      <c r="N478"/>
      <c r="P478"/>
    </row>
    <row r="479" spans="3:16" x14ac:dyDescent="0.2">
      <c r="C479" s="10"/>
      <c r="D479" s="10"/>
      <c r="L479"/>
      <c r="N479"/>
      <c r="P479"/>
    </row>
    <row r="480" spans="3:16" x14ac:dyDescent="0.2">
      <c r="C480" s="10"/>
      <c r="D480" s="10"/>
      <c r="L480"/>
      <c r="N480"/>
      <c r="P480"/>
    </row>
    <row r="481" spans="3:16" x14ac:dyDescent="0.2">
      <c r="C481" s="10"/>
      <c r="D481" s="10"/>
      <c r="L481"/>
      <c r="N481"/>
      <c r="P481"/>
    </row>
    <row r="482" spans="3:16" x14ac:dyDescent="0.2">
      <c r="C482" s="10"/>
      <c r="D482" s="10"/>
      <c r="L482"/>
      <c r="N482"/>
      <c r="P482"/>
    </row>
    <row r="483" spans="3:16" x14ac:dyDescent="0.2">
      <c r="C483" s="10"/>
      <c r="D483" s="10"/>
      <c r="L483"/>
      <c r="N483"/>
      <c r="P483"/>
    </row>
    <row r="484" spans="3:16" x14ac:dyDescent="0.2">
      <c r="C484" s="10"/>
      <c r="D484" s="10"/>
      <c r="L484"/>
      <c r="N484"/>
      <c r="P484"/>
    </row>
    <row r="485" spans="3:16" x14ac:dyDescent="0.2">
      <c r="C485" s="10"/>
      <c r="D485" s="10"/>
      <c r="L485"/>
      <c r="N485"/>
      <c r="P485"/>
    </row>
    <row r="486" spans="3:16" x14ac:dyDescent="0.2">
      <c r="C486" s="10"/>
      <c r="D486" s="10"/>
      <c r="L486"/>
      <c r="N486"/>
      <c r="P486"/>
    </row>
    <row r="487" spans="3:16" x14ac:dyDescent="0.2">
      <c r="C487" s="10"/>
      <c r="D487" s="10"/>
      <c r="L487"/>
      <c r="N487"/>
      <c r="P487"/>
    </row>
    <row r="488" spans="3:16" x14ac:dyDescent="0.2">
      <c r="C488" s="10"/>
      <c r="D488" s="10"/>
      <c r="L488"/>
      <c r="N488"/>
      <c r="P488"/>
    </row>
    <row r="489" spans="3:16" x14ac:dyDescent="0.2">
      <c r="C489" s="10"/>
      <c r="D489" s="10"/>
      <c r="L489"/>
      <c r="N489"/>
      <c r="P489"/>
    </row>
    <row r="490" spans="3:16" x14ac:dyDescent="0.2">
      <c r="C490" s="10"/>
      <c r="D490" s="10"/>
      <c r="L490"/>
      <c r="N490"/>
      <c r="P490"/>
    </row>
    <row r="491" spans="3:16" x14ac:dyDescent="0.2">
      <c r="C491" s="10"/>
      <c r="D491" s="10"/>
      <c r="L491"/>
      <c r="N491"/>
      <c r="P491"/>
    </row>
    <row r="492" spans="3:16" x14ac:dyDescent="0.2">
      <c r="C492" s="10"/>
      <c r="D492" s="10"/>
      <c r="L492"/>
      <c r="N492"/>
      <c r="P492"/>
    </row>
    <row r="493" spans="3:16" x14ac:dyDescent="0.2">
      <c r="C493" s="10"/>
      <c r="D493" s="10"/>
      <c r="L493"/>
      <c r="N493"/>
      <c r="P493"/>
    </row>
    <row r="494" spans="3:16" x14ac:dyDescent="0.2">
      <c r="C494" s="10"/>
      <c r="D494" s="10"/>
      <c r="L494"/>
      <c r="N494"/>
      <c r="P494"/>
    </row>
    <row r="495" spans="3:16" x14ac:dyDescent="0.2">
      <c r="C495" s="10"/>
      <c r="D495" s="10"/>
      <c r="L495"/>
      <c r="N495"/>
      <c r="P495"/>
    </row>
    <row r="496" spans="3:16" x14ac:dyDescent="0.2">
      <c r="C496" s="10"/>
      <c r="D496" s="10"/>
      <c r="L496"/>
      <c r="N496"/>
      <c r="P496"/>
    </row>
    <row r="497" spans="3:16" x14ac:dyDescent="0.2">
      <c r="C497" s="10"/>
      <c r="D497" s="10"/>
      <c r="L497"/>
      <c r="N497"/>
      <c r="P497"/>
    </row>
    <row r="498" spans="3:16" x14ac:dyDescent="0.2">
      <c r="C498" s="10"/>
      <c r="D498" s="10"/>
      <c r="L498"/>
      <c r="N498"/>
      <c r="P498"/>
    </row>
    <row r="499" spans="3:16" x14ac:dyDescent="0.2">
      <c r="C499" s="10"/>
      <c r="D499" s="10"/>
      <c r="L499"/>
      <c r="N499"/>
      <c r="P499"/>
    </row>
    <row r="500" spans="3:16" x14ac:dyDescent="0.2">
      <c r="C500" s="10"/>
      <c r="D500" s="10"/>
      <c r="L500"/>
      <c r="N500"/>
      <c r="P500"/>
    </row>
    <row r="501" spans="3:16" x14ac:dyDescent="0.2">
      <c r="C501" s="10"/>
      <c r="D501" s="10"/>
      <c r="L501"/>
      <c r="N501"/>
      <c r="P501"/>
    </row>
    <row r="502" spans="3:16" x14ac:dyDescent="0.2">
      <c r="C502" s="10"/>
      <c r="D502" s="10"/>
      <c r="L502"/>
      <c r="N502"/>
      <c r="P502"/>
    </row>
    <row r="503" spans="3:16" x14ac:dyDescent="0.2">
      <c r="C503" s="10"/>
      <c r="D503" s="10"/>
      <c r="L503"/>
      <c r="N503"/>
      <c r="P503"/>
    </row>
    <row r="504" spans="3:16" x14ac:dyDescent="0.2">
      <c r="C504" s="10"/>
      <c r="D504" s="10"/>
      <c r="L504"/>
      <c r="N504"/>
      <c r="P504"/>
    </row>
    <row r="505" spans="3:16" x14ac:dyDescent="0.2">
      <c r="C505" s="10"/>
      <c r="D505" s="10"/>
      <c r="L505"/>
      <c r="N505"/>
      <c r="P505"/>
    </row>
    <row r="506" spans="3:16" x14ac:dyDescent="0.2">
      <c r="C506" s="10"/>
      <c r="D506" s="10"/>
      <c r="L506"/>
      <c r="N506"/>
      <c r="P506"/>
    </row>
    <row r="507" spans="3:16" x14ac:dyDescent="0.2">
      <c r="C507" s="10"/>
      <c r="D507" s="10"/>
      <c r="L507"/>
      <c r="N507"/>
      <c r="P507"/>
    </row>
    <row r="508" spans="3:16" x14ac:dyDescent="0.2">
      <c r="C508" s="10"/>
      <c r="D508" s="10"/>
      <c r="L508"/>
      <c r="N508"/>
      <c r="P508"/>
    </row>
    <row r="509" spans="3:16" x14ac:dyDescent="0.2">
      <c r="C509" s="10"/>
      <c r="D509" s="10"/>
      <c r="L509"/>
      <c r="N509"/>
      <c r="P509"/>
    </row>
    <row r="510" spans="3:16" x14ac:dyDescent="0.2">
      <c r="C510" s="10"/>
      <c r="D510" s="10"/>
      <c r="L510"/>
      <c r="N510"/>
      <c r="P510"/>
    </row>
    <row r="511" spans="3:16" x14ac:dyDescent="0.2">
      <c r="C511" s="10"/>
      <c r="D511" s="10"/>
      <c r="L511"/>
      <c r="N511"/>
      <c r="P511"/>
    </row>
    <row r="512" spans="3:16" x14ac:dyDescent="0.2">
      <c r="C512" s="10"/>
      <c r="D512" s="10"/>
      <c r="L512"/>
      <c r="N512"/>
      <c r="P512"/>
    </row>
    <row r="513" spans="3:16" x14ac:dyDescent="0.2">
      <c r="C513" s="10"/>
      <c r="D513" s="10"/>
      <c r="L513"/>
      <c r="N513"/>
      <c r="P513"/>
    </row>
    <row r="514" spans="3:16" x14ac:dyDescent="0.2">
      <c r="C514" s="10"/>
      <c r="D514" s="10"/>
      <c r="L514"/>
      <c r="N514"/>
      <c r="P514"/>
    </row>
    <row r="515" spans="3:16" x14ac:dyDescent="0.2">
      <c r="C515" s="10"/>
      <c r="D515" s="10"/>
      <c r="L515"/>
      <c r="N515"/>
      <c r="P515"/>
    </row>
    <row r="516" spans="3:16" x14ac:dyDescent="0.2">
      <c r="C516" s="10"/>
      <c r="D516" s="10"/>
      <c r="L516"/>
      <c r="N516"/>
      <c r="P516"/>
    </row>
    <row r="517" spans="3:16" x14ac:dyDescent="0.2">
      <c r="C517" s="10"/>
      <c r="D517" s="10"/>
      <c r="L517"/>
      <c r="N517"/>
      <c r="P517"/>
    </row>
    <row r="518" spans="3:16" x14ac:dyDescent="0.2">
      <c r="C518" s="10"/>
      <c r="D518" s="10"/>
      <c r="L518"/>
      <c r="N518"/>
      <c r="P518"/>
    </row>
    <row r="519" spans="3:16" x14ac:dyDescent="0.2">
      <c r="C519" s="10"/>
      <c r="D519" s="10"/>
      <c r="L519"/>
      <c r="N519"/>
      <c r="P519"/>
    </row>
    <row r="520" spans="3:16" x14ac:dyDescent="0.2">
      <c r="C520" s="10"/>
      <c r="D520" s="10"/>
      <c r="L520"/>
      <c r="N520"/>
      <c r="P520"/>
    </row>
    <row r="521" spans="3:16" x14ac:dyDescent="0.2">
      <c r="C521" s="10"/>
      <c r="D521" s="10"/>
      <c r="L521"/>
      <c r="N521"/>
      <c r="P521"/>
    </row>
    <row r="522" spans="3:16" x14ac:dyDescent="0.2">
      <c r="C522" s="10"/>
      <c r="D522" s="10"/>
      <c r="L522"/>
      <c r="N522"/>
      <c r="P522"/>
    </row>
    <row r="523" spans="3:16" x14ac:dyDescent="0.2">
      <c r="C523" s="10"/>
      <c r="D523" s="10"/>
      <c r="L523"/>
      <c r="N523"/>
      <c r="P523"/>
    </row>
    <row r="524" spans="3:16" x14ac:dyDescent="0.2">
      <c r="C524" s="10"/>
      <c r="D524" s="10"/>
      <c r="L524"/>
      <c r="N524"/>
      <c r="P524"/>
    </row>
    <row r="525" spans="3:16" x14ac:dyDescent="0.2">
      <c r="C525" s="10"/>
      <c r="D525" s="10"/>
      <c r="L525"/>
      <c r="N525"/>
      <c r="P525"/>
    </row>
    <row r="526" spans="3:16" x14ac:dyDescent="0.2">
      <c r="C526" s="10"/>
      <c r="D526" s="10"/>
      <c r="L526"/>
      <c r="N526"/>
      <c r="P526"/>
    </row>
    <row r="527" spans="3:16" x14ac:dyDescent="0.2">
      <c r="C527" s="10"/>
      <c r="D527" s="10"/>
      <c r="L527"/>
      <c r="N527"/>
      <c r="P527"/>
    </row>
    <row r="528" spans="3:16" x14ac:dyDescent="0.2">
      <c r="C528" s="10"/>
      <c r="D528" s="10"/>
      <c r="L528"/>
      <c r="N528"/>
      <c r="P528"/>
    </row>
    <row r="529" spans="3:16" x14ac:dyDescent="0.2">
      <c r="C529" s="10"/>
      <c r="D529" s="10"/>
      <c r="L529"/>
      <c r="N529"/>
      <c r="P529"/>
    </row>
    <row r="530" spans="3:16" x14ac:dyDescent="0.2">
      <c r="C530" s="10"/>
      <c r="D530" s="10"/>
      <c r="L530"/>
      <c r="N530"/>
      <c r="P530"/>
    </row>
    <row r="531" spans="3:16" x14ac:dyDescent="0.2">
      <c r="C531" s="10"/>
      <c r="D531" s="10"/>
      <c r="L531"/>
      <c r="N531"/>
      <c r="P531"/>
    </row>
    <row r="532" spans="3:16" x14ac:dyDescent="0.2">
      <c r="C532" s="10"/>
      <c r="D532" s="10"/>
      <c r="L532"/>
      <c r="N532"/>
      <c r="P532"/>
    </row>
    <row r="533" spans="3:16" x14ac:dyDescent="0.2">
      <c r="C533" s="10"/>
      <c r="D533" s="10"/>
      <c r="L533"/>
      <c r="N533"/>
      <c r="P533"/>
    </row>
    <row r="534" spans="3:16" x14ac:dyDescent="0.2">
      <c r="C534" s="10"/>
      <c r="D534" s="10"/>
      <c r="L534"/>
      <c r="N534"/>
      <c r="P534"/>
    </row>
    <row r="535" spans="3:16" x14ac:dyDescent="0.2">
      <c r="C535" s="10"/>
      <c r="D535" s="10"/>
      <c r="L535"/>
      <c r="N535"/>
      <c r="P535"/>
    </row>
    <row r="536" spans="3:16" x14ac:dyDescent="0.2">
      <c r="C536" s="10"/>
      <c r="D536" s="10"/>
      <c r="L536"/>
      <c r="N536"/>
      <c r="P536"/>
    </row>
    <row r="537" spans="3:16" x14ac:dyDescent="0.2">
      <c r="C537" s="10"/>
      <c r="D537" s="10"/>
      <c r="L537"/>
      <c r="N537"/>
      <c r="P537"/>
    </row>
    <row r="538" spans="3:16" x14ac:dyDescent="0.2">
      <c r="C538" s="10"/>
      <c r="D538" s="10"/>
      <c r="L538"/>
      <c r="N538"/>
      <c r="P538"/>
    </row>
    <row r="539" spans="3:16" x14ac:dyDescent="0.2">
      <c r="C539" s="10"/>
      <c r="D539" s="10"/>
      <c r="L539"/>
      <c r="N539"/>
      <c r="P539"/>
    </row>
    <row r="540" spans="3:16" x14ac:dyDescent="0.2">
      <c r="C540" s="10"/>
      <c r="D540" s="10"/>
      <c r="L540"/>
      <c r="N540"/>
      <c r="P540"/>
    </row>
    <row r="541" spans="3:16" x14ac:dyDescent="0.2">
      <c r="C541" s="10"/>
      <c r="D541" s="10"/>
      <c r="L541"/>
      <c r="N541"/>
      <c r="P541"/>
    </row>
    <row r="542" spans="3:16" x14ac:dyDescent="0.2">
      <c r="C542" s="10"/>
      <c r="D542" s="10"/>
      <c r="L542"/>
      <c r="N542"/>
      <c r="P542"/>
    </row>
    <row r="543" spans="3:16" x14ac:dyDescent="0.2">
      <c r="C543" s="10"/>
      <c r="D543" s="10"/>
      <c r="L543"/>
      <c r="N543"/>
      <c r="P543"/>
    </row>
    <row r="544" spans="3:16" x14ac:dyDescent="0.2">
      <c r="C544" s="10"/>
      <c r="D544" s="10"/>
      <c r="L544"/>
      <c r="N544"/>
      <c r="P544"/>
    </row>
    <row r="545" spans="3:16" x14ac:dyDescent="0.2">
      <c r="C545" s="10"/>
      <c r="D545" s="10"/>
      <c r="L545"/>
      <c r="N545"/>
      <c r="P545"/>
    </row>
    <row r="546" spans="3:16" x14ac:dyDescent="0.2">
      <c r="C546" s="10"/>
      <c r="D546" s="10"/>
      <c r="L546"/>
      <c r="N546"/>
      <c r="P546"/>
    </row>
    <row r="547" spans="3:16" x14ac:dyDescent="0.2">
      <c r="C547" s="10"/>
      <c r="D547" s="10"/>
      <c r="L547"/>
      <c r="N547"/>
      <c r="P547"/>
    </row>
    <row r="548" spans="3:16" x14ac:dyDescent="0.2">
      <c r="C548" s="10"/>
      <c r="D548" s="10"/>
      <c r="L548"/>
      <c r="N548"/>
      <c r="P548"/>
    </row>
    <row r="549" spans="3:16" x14ac:dyDescent="0.2">
      <c r="C549" s="10"/>
      <c r="D549" s="10"/>
      <c r="L549"/>
      <c r="N549"/>
      <c r="P549"/>
    </row>
    <row r="550" spans="3:16" x14ac:dyDescent="0.2">
      <c r="C550" s="10"/>
      <c r="D550" s="10"/>
      <c r="L550"/>
      <c r="N550"/>
      <c r="P550"/>
    </row>
    <row r="551" spans="3:16" x14ac:dyDescent="0.2">
      <c r="C551" s="10"/>
      <c r="D551" s="10"/>
      <c r="L551"/>
      <c r="N551"/>
      <c r="P551"/>
    </row>
    <row r="552" spans="3:16" x14ac:dyDescent="0.2">
      <c r="C552" s="10"/>
      <c r="D552" s="10"/>
      <c r="L552"/>
      <c r="N552"/>
      <c r="P552"/>
    </row>
    <row r="553" spans="3:16" x14ac:dyDescent="0.2">
      <c r="C553" s="10"/>
      <c r="D553" s="10"/>
      <c r="L553"/>
      <c r="N553"/>
      <c r="P553"/>
    </row>
    <row r="554" spans="3:16" x14ac:dyDescent="0.2">
      <c r="C554" s="10"/>
      <c r="D554" s="10"/>
      <c r="L554"/>
      <c r="N554"/>
      <c r="P554"/>
    </row>
    <row r="555" spans="3:16" x14ac:dyDescent="0.2">
      <c r="C555" s="10"/>
      <c r="D555" s="10"/>
      <c r="L555"/>
      <c r="N555"/>
      <c r="P555"/>
    </row>
    <row r="556" spans="3:16" x14ac:dyDescent="0.2">
      <c r="C556" s="10"/>
      <c r="D556" s="10"/>
      <c r="L556"/>
      <c r="N556"/>
      <c r="P556"/>
    </row>
    <row r="557" spans="3:16" x14ac:dyDescent="0.2">
      <c r="C557" s="10"/>
      <c r="D557" s="10"/>
      <c r="L557"/>
      <c r="N557"/>
      <c r="P557"/>
    </row>
    <row r="558" spans="3:16" x14ac:dyDescent="0.2">
      <c r="C558" s="10"/>
      <c r="D558" s="10"/>
      <c r="L558"/>
      <c r="N558"/>
      <c r="P558"/>
    </row>
    <row r="559" spans="3:16" x14ac:dyDescent="0.2">
      <c r="C559" s="10"/>
      <c r="D559" s="10"/>
      <c r="L559"/>
      <c r="N559"/>
      <c r="P559"/>
    </row>
    <row r="560" spans="3:16" x14ac:dyDescent="0.2">
      <c r="C560" s="10"/>
      <c r="D560" s="10"/>
      <c r="L560"/>
      <c r="N560"/>
      <c r="P560"/>
    </row>
    <row r="561" spans="3:16" x14ac:dyDescent="0.2">
      <c r="C561" s="10"/>
      <c r="D561" s="10"/>
      <c r="L561"/>
      <c r="N561"/>
      <c r="P561"/>
    </row>
    <row r="562" spans="3:16" x14ac:dyDescent="0.2">
      <c r="C562" s="10"/>
      <c r="D562" s="10"/>
      <c r="L562"/>
      <c r="N562"/>
      <c r="P562"/>
    </row>
    <row r="563" spans="3:16" x14ac:dyDescent="0.2">
      <c r="C563" s="10"/>
      <c r="D563" s="10"/>
      <c r="L563"/>
      <c r="N563"/>
      <c r="P563"/>
    </row>
    <row r="564" spans="3:16" x14ac:dyDescent="0.2">
      <c r="C564" s="10"/>
      <c r="D564" s="10"/>
      <c r="L564"/>
      <c r="N564"/>
      <c r="P564"/>
    </row>
    <row r="565" spans="3:16" x14ac:dyDescent="0.2">
      <c r="C565" s="10"/>
      <c r="D565" s="10"/>
      <c r="L565"/>
      <c r="N565"/>
      <c r="P565"/>
    </row>
    <row r="566" spans="3:16" x14ac:dyDescent="0.2">
      <c r="C566" s="10"/>
      <c r="D566" s="10"/>
      <c r="L566"/>
      <c r="N566"/>
      <c r="P566"/>
    </row>
    <row r="567" spans="3:16" x14ac:dyDescent="0.2">
      <c r="C567" s="10"/>
      <c r="D567" s="10"/>
      <c r="L567"/>
      <c r="N567"/>
      <c r="P567"/>
    </row>
    <row r="568" spans="3:16" x14ac:dyDescent="0.2">
      <c r="C568" s="10"/>
      <c r="D568" s="10"/>
      <c r="L568"/>
      <c r="N568"/>
      <c r="P568"/>
    </row>
    <row r="569" spans="3:16" x14ac:dyDescent="0.2">
      <c r="C569" s="10"/>
      <c r="D569" s="10"/>
      <c r="L569"/>
      <c r="N569"/>
      <c r="P569"/>
    </row>
    <row r="570" spans="3:16" x14ac:dyDescent="0.2">
      <c r="C570" s="10"/>
      <c r="D570" s="10"/>
      <c r="L570"/>
      <c r="N570"/>
      <c r="P570"/>
    </row>
    <row r="571" spans="3:16" x14ac:dyDescent="0.2">
      <c r="C571" s="10"/>
      <c r="D571" s="10"/>
      <c r="L571"/>
      <c r="N571"/>
      <c r="P571"/>
    </row>
    <row r="572" spans="3:16" x14ac:dyDescent="0.2">
      <c r="C572" s="10"/>
      <c r="D572" s="10"/>
      <c r="L572"/>
      <c r="N572"/>
      <c r="P572"/>
    </row>
    <row r="573" spans="3:16" x14ac:dyDescent="0.2">
      <c r="C573" s="10"/>
      <c r="D573" s="10"/>
      <c r="L573"/>
      <c r="N573"/>
      <c r="P573"/>
    </row>
    <row r="574" spans="3:16" x14ac:dyDescent="0.2">
      <c r="C574" s="10"/>
      <c r="D574" s="10"/>
      <c r="L574"/>
      <c r="N574"/>
      <c r="P574"/>
    </row>
    <row r="575" spans="3:16" x14ac:dyDescent="0.2">
      <c r="C575" s="10"/>
      <c r="D575" s="10"/>
      <c r="L575"/>
      <c r="N575"/>
      <c r="P575"/>
    </row>
    <row r="576" spans="3:16" x14ac:dyDescent="0.2">
      <c r="C576" s="10"/>
      <c r="D576" s="10"/>
      <c r="L576"/>
      <c r="N576"/>
      <c r="P576"/>
    </row>
    <row r="577" spans="3:16" x14ac:dyDescent="0.2">
      <c r="C577" s="10"/>
      <c r="D577" s="10"/>
      <c r="L577"/>
      <c r="N577"/>
      <c r="P577"/>
    </row>
    <row r="578" spans="3:16" x14ac:dyDescent="0.2">
      <c r="C578" s="10"/>
      <c r="D578" s="10"/>
      <c r="L578"/>
      <c r="N578"/>
      <c r="P578"/>
    </row>
    <row r="579" spans="3:16" x14ac:dyDescent="0.2">
      <c r="C579" s="10"/>
      <c r="D579" s="10"/>
      <c r="L579"/>
      <c r="N579"/>
      <c r="P579"/>
    </row>
    <row r="580" spans="3:16" x14ac:dyDescent="0.2">
      <c r="C580" s="10"/>
      <c r="D580" s="10"/>
      <c r="L580"/>
      <c r="N580"/>
      <c r="P580"/>
    </row>
    <row r="581" spans="3:16" x14ac:dyDescent="0.2">
      <c r="C581" s="10"/>
      <c r="D581" s="10"/>
      <c r="L581"/>
      <c r="N581"/>
      <c r="P581"/>
    </row>
    <row r="582" spans="3:16" x14ac:dyDescent="0.2">
      <c r="C582" s="10"/>
      <c r="D582" s="10"/>
      <c r="L582"/>
      <c r="N582"/>
      <c r="P582"/>
    </row>
    <row r="583" spans="3:16" x14ac:dyDescent="0.2">
      <c r="C583" s="10"/>
      <c r="D583" s="10"/>
      <c r="L583"/>
      <c r="N583"/>
      <c r="P583"/>
    </row>
    <row r="584" spans="3:16" x14ac:dyDescent="0.2">
      <c r="C584" s="10"/>
      <c r="D584" s="10"/>
      <c r="L584"/>
      <c r="N584"/>
      <c r="P584"/>
    </row>
    <row r="585" spans="3:16" x14ac:dyDescent="0.2">
      <c r="C585" s="10"/>
      <c r="D585" s="10"/>
      <c r="L585"/>
      <c r="N585"/>
      <c r="P585"/>
    </row>
    <row r="586" spans="3:16" x14ac:dyDescent="0.2">
      <c r="C586" s="10"/>
      <c r="D586" s="10"/>
      <c r="L586"/>
      <c r="N586"/>
      <c r="P586"/>
    </row>
    <row r="587" spans="3:16" x14ac:dyDescent="0.2">
      <c r="C587" s="10"/>
      <c r="D587" s="10"/>
      <c r="L587"/>
      <c r="N587"/>
      <c r="P587"/>
    </row>
    <row r="588" spans="3:16" x14ac:dyDescent="0.2">
      <c r="C588" s="10"/>
      <c r="D588" s="10"/>
      <c r="L588"/>
      <c r="N588"/>
      <c r="P588"/>
    </row>
    <row r="589" spans="3:16" x14ac:dyDescent="0.2">
      <c r="C589" s="10"/>
      <c r="D589" s="10"/>
      <c r="L589"/>
      <c r="N589"/>
      <c r="P589"/>
    </row>
    <row r="590" spans="3:16" x14ac:dyDescent="0.2">
      <c r="C590" s="10"/>
      <c r="D590" s="10"/>
      <c r="L590"/>
      <c r="N590"/>
      <c r="P590"/>
    </row>
    <row r="591" spans="3:16" x14ac:dyDescent="0.2">
      <c r="C591" s="10"/>
      <c r="D591" s="10"/>
      <c r="L591"/>
      <c r="N591"/>
      <c r="P591"/>
    </row>
    <row r="592" spans="3:16" x14ac:dyDescent="0.2">
      <c r="C592" s="10"/>
      <c r="D592" s="10"/>
      <c r="L592"/>
      <c r="N592"/>
      <c r="P592"/>
    </row>
    <row r="593" spans="3:16" x14ac:dyDescent="0.2">
      <c r="C593" s="10"/>
      <c r="D593" s="10"/>
      <c r="L593"/>
      <c r="N593"/>
      <c r="P593"/>
    </row>
    <row r="594" spans="3:16" x14ac:dyDescent="0.2">
      <c r="C594" s="10"/>
      <c r="D594" s="10"/>
      <c r="L594"/>
      <c r="N594"/>
      <c r="P594"/>
    </row>
    <row r="595" spans="3:16" x14ac:dyDescent="0.2">
      <c r="C595" s="10"/>
      <c r="D595" s="10"/>
      <c r="L595"/>
      <c r="N595"/>
      <c r="P595"/>
    </row>
    <row r="596" spans="3:16" x14ac:dyDescent="0.2">
      <c r="C596" s="10"/>
      <c r="D596" s="10"/>
      <c r="L596"/>
      <c r="N596"/>
      <c r="P596"/>
    </row>
    <row r="597" spans="3:16" x14ac:dyDescent="0.2">
      <c r="C597" s="10"/>
      <c r="D597" s="10"/>
      <c r="L597"/>
      <c r="N597"/>
      <c r="P597"/>
    </row>
    <row r="598" spans="3:16" x14ac:dyDescent="0.2">
      <c r="C598" s="10"/>
      <c r="D598" s="10"/>
      <c r="L598"/>
      <c r="N598"/>
      <c r="P598"/>
    </row>
    <row r="599" spans="3:16" x14ac:dyDescent="0.2">
      <c r="C599" s="10"/>
      <c r="D599" s="10"/>
      <c r="L599"/>
      <c r="N599"/>
      <c r="P599"/>
    </row>
    <row r="600" spans="3:16" x14ac:dyDescent="0.2">
      <c r="C600" s="10"/>
      <c r="D600" s="10"/>
      <c r="L600"/>
      <c r="N600"/>
      <c r="P600"/>
    </row>
    <row r="601" spans="3:16" x14ac:dyDescent="0.2">
      <c r="C601" s="10"/>
      <c r="D601" s="10"/>
      <c r="L601"/>
      <c r="N601"/>
      <c r="P601"/>
    </row>
    <row r="602" spans="3:16" x14ac:dyDescent="0.2">
      <c r="C602" s="10"/>
      <c r="D602" s="10"/>
      <c r="L602"/>
      <c r="N602"/>
      <c r="P602"/>
    </row>
    <row r="603" spans="3:16" x14ac:dyDescent="0.2">
      <c r="C603" s="10"/>
      <c r="D603" s="10"/>
      <c r="L603"/>
      <c r="N603"/>
      <c r="P603"/>
    </row>
    <row r="604" spans="3:16" x14ac:dyDescent="0.2">
      <c r="C604" s="10"/>
      <c r="D604" s="10"/>
      <c r="L604"/>
      <c r="N604"/>
      <c r="P604"/>
    </row>
    <row r="605" spans="3:16" x14ac:dyDescent="0.2">
      <c r="C605" s="10"/>
      <c r="D605" s="10"/>
      <c r="L605"/>
      <c r="N605"/>
      <c r="P605"/>
    </row>
    <row r="606" spans="3:16" x14ac:dyDescent="0.2">
      <c r="C606" s="10"/>
      <c r="D606" s="10"/>
      <c r="L606"/>
      <c r="N606"/>
      <c r="P606"/>
    </row>
    <row r="607" spans="3:16" x14ac:dyDescent="0.2">
      <c r="C607" s="10"/>
      <c r="D607" s="10"/>
      <c r="L607"/>
      <c r="N607"/>
      <c r="P607"/>
    </row>
    <row r="608" spans="3:16" x14ac:dyDescent="0.2">
      <c r="C608" s="10"/>
      <c r="D608" s="10"/>
      <c r="L608"/>
      <c r="N608"/>
      <c r="P608"/>
    </row>
    <row r="609" spans="3:16" x14ac:dyDescent="0.2">
      <c r="C609" s="10"/>
      <c r="D609" s="10"/>
      <c r="L609"/>
      <c r="N609"/>
      <c r="P609"/>
    </row>
    <row r="610" spans="3:16" x14ac:dyDescent="0.2">
      <c r="C610" s="10"/>
      <c r="D610" s="10"/>
      <c r="L610"/>
      <c r="N610"/>
      <c r="P610"/>
    </row>
    <row r="611" spans="3:16" x14ac:dyDescent="0.2">
      <c r="C611" s="10"/>
      <c r="D611" s="10"/>
      <c r="L611"/>
      <c r="N611"/>
      <c r="P611"/>
    </row>
    <row r="612" spans="3:16" x14ac:dyDescent="0.2">
      <c r="C612" s="10"/>
      <c r="D612" s="10"/>
      <c r="L612"/>
      <c r="N612"/>
      <c r="P612"/>
    </row>
    <row r="613" spans="3:16" x14ac:dyDescent="0.2">
      <c r="C613" s="10"/>
      <c r="D613" s="10"/>
      <c r="L613"/>
      <c r="N613"/>
      <c r="P613"/>
    </row>
    <row r="614" spans="3:16" x14ac:dyDescent="0.2">
      <c r="C614" s="10"/>
      <c r="D614" s="10"/>
      <c r="L614"/>
      <c r="N614"/>
      <c r="P614"/>
    </row>
    <row r="615" spans="3:16" x14ac:dyDescent="0.2">
      <c r="C615" s="10"/>
      <c r="D615" s="10"/>
      <c r="L615"/>
      <c r="N615"/>
      <c r="P615"/>
    </row>
    <row r="616" spans="3:16" x14ac:dyDescent="0.2">
      <c r="C616" s="10"/>
      <c r="D616" s="10"/>
      <c r="L616"/>
      <c r="N616"/>
      <c r="P616"/>
    </row>
    <row r="617" spans="3:16" x14ac:dyDescent="0.2">
      <c r="C617" s="10"/>
      <c r="D617" s="10"/>
      <c r="L617"/>
      <c r="N617"/>
      <c r="P617"/>
    </row>
    <row r="618" spans="3:16" x14ac:dyDescent="0.2">
      <c r="C618" s="10"/>
      <c r="D618" s="10"/>
      <c r="L618"/>
      <c r="N618"/>
      <c r="P618"/>
    </row>
    <row r="619" spans="3:16" x14ac:dyDescent="0.2">
      <c r="C619" s="10"/>
      <c r="D619" s="10"/>
      <c r="L619"/>
      <c r="N619"/>
      <c r="P619"/>
    </row>
    <row r="620" spans="3:16" x14ac:dyDescent="0.2">
      <c r="C620" s="10"/>
      <c r="D620" s="10"/>
      <c r="L620"/>
      <c r="N620"/>
      <c r="P620"/>
    </row>
    <row r="621" spans="3:16" x14ac:dyDescent="0.2">
      <c r="C621" s="10"/>
      <c r="D621" s="10"/>
      <c r="L621"/>
      <c r="N621"/>
      <c r="P621"/>
    </row>
    <row r="622" spans="3:16" x14ac:dyDescent="0.2">
      <c r="C622" s="10"/>
      <c r="D622" s="10"/>
      <c r="L622"/>
      <c r="N622"/>
      <c r="P622"/>
    </row>
    <row r="623" spans="3:16" x14ac:dyDescent="0.2">
      <c r="C623" s="10"/>
      <c r="D623" s="10"/>
      <c r="L623"/>
      <c r="N623"/>
      <c r="P623"/>
    </row>
    <row r="624" spans="3:16" x14ac:dyDescent="0.2">
      <c r="C624" s="10"/>
      <c r="D624" s="10"/>
      <c r="L624"/>
      <c r="N624"/>
      <c r="P624"/>
    </row>
    <row r="625" spans="3:16" x14ac:dyDescent="0.2">
      <c r="C625" s="10"/>
      <c r="D625" s="10"/>
      <c r="L625"/>
      <c r="N625"/>
      <c r="P625"/>
    </row>
    <row r="626" spans="3:16" x14ac:dyDescent="0.2">
      <c r="C626" s="10"/>
      <c r="D626" s="10"/>
      <c r="L626"/>
      <c r="N626"/>
      <c r="P626"/>
    </row>
    <row r="627" spans="3:16" x14ac:dyDescent="0.2">
      <c r="C627" s="10"/>
      <c r="D627" s="10"/>
      <c r="L627"/>
      <c r="N627"/>
      <c r="P627"/>
    </row>
    <row r="628" spans="3:16" x14ac:dyDescent="0.2">
      <c r="C628" s="10"/>
      <c r="D628" s="10"/>
      <c r="L628"/>
      <c r="N628"/>
      <c r="P628"/>
    </row>
    <row r="629" spans="3:16" x14ac:dyDescent="0.2">
      <c r="C629" s="10"/>
      <c r="D629" s="10"/>
      <c r="L629"/>
      <c r="N629"/>
      <c r="P629"/>
    </row>
    <row r="630" spans="3:16" x14ac:dyDescent="0.2">
      <c r="C630" s="10"/>
      <c r="D630" s="10"/>
      <c r="L630"/>
      <c r="N630"/>
      <c r="P630"/>
    </row>
    <row r="631" spans="3:16" x14ac:dyDescent="0.2">
      <c r="C631" s="10"/>
      <c r="D631" s="10"/>
      <c r="L631"/>
      <c r="N631"/>
      <c r="P631"/>
    </row>
    <row r="632" spans="3:16" x14ac:dyDescent="0.2">
      <c r="C632" s="10"/>
      <c r="D632" s="10"/>
      <c r="L632"/>
      <c r="N632"/>
      <c r="P632"/>
    </row>
    <row r="633" spans="3:16" x14ac:dyDescent="0.2">
      <c r="C633" s="10"/>
      <c r="D633" s="10"/>
      <c r="L633"/>
      <c r="N633"/>
      <c r="P633"/>
    </row>
    <row r="634" spans="3:16" x14ac:dyDescent="0.2">
      <c r="C634" s="10"/>
      <c r="D634" s="10"/>
      <c r="L634"/>
      <c r="N634"/>
      <c r="P634"/>
    </row>
    <row r="635" spans="3:16" x14ac:dyDescent="0.2">
      <c r="C635" s="10"/>
      <c r="D635" s="10"/>
      <c r="L635"/>
      <c r="N635"/>
      <c r="P635"/>
    </row>
    <row r="636" spans="3:16" x14ac:dyDescent="0.2">
      <c r="C636" s="10"/>
      <c r="D636" s="10"/>
      <c r="L636"/>
      <c r="N636"/>
      <c r="P636"/>
    </row>
    <row r="637" spans="3:16" x14ac:dyDescent="0.2">
      <c r="C637" s="10"/>
      <c r="D637" s="10"/>
      <c r="L637"/>
      <c r="N637"/>
      <c r="P637"/>
    </row>
    <row r="638" spans="3:16" x14ac:dyDescent="0.2">
      <c r="C638" s="10"/>
      <c r="D638" s="10"/>
      <c r="L638"/>
      <c r="N638"/>
      <c r="P638"/>
    </row>
    <row r="639" spans="3:16" x14ac:dyDescent="0.2">
      <c r="C639" s="10"/>
      <c r="D639" s="10"/>
      <c r="L639"/>
      <c r="N639"/>
      <c r="P639"/>
    </row>
    <row r="640" spans="3:16" x14ac:dyDescent="0.2">
      <c r="C640" s="10"/>
      <c r="D640" s="10"/>
      <c r="L640"/>
      <c r="N640"/>
      <c r="P640"/>
    </row>
    <row r="641" spans="3:16" x14ac:dyDescent="0.2">
      <c r="C641" s="10"/>
      <c r="D641" s="10"/>
      <c r="L641"/>
      <c r="N641"/>
      <c r="P641"/>
    </row>
    <row r="642" spans="3:16" x14ac:dyDescent="0.2">
      <c r="C642" s="10"/>
      <c r="D642" s="10"/>
      <c r="L642"/>
      <c r="N642"/>
      <c r="P642"/>
    </row>
    <row r="643" spans="3:16" x14ac:dyDescent="0.2">
      <c r="C643" s="10"/>
      <c r="D643" s="10"/>
      <c r="L643"/>
      <c r="N643"/>
      <c r="P643"/>
    </row>
    <row r="644" spans="3:16" x14ac:dyDescent="0.2">
      <c r="C644" s="10"/>
      <c r="D644" s="10"/>
      <c r="L644"/>
      <c r="N644"/>
      <c r="P644"/>
    </row>
    <row r="645" spans="3:16" x14ac:dyDescent="0.2">
      <c r="C645" s="10"/>
      <c r="D645" s="10"/>
      <c r="L645"/>
      <c r="N645"/>
      <c r="P645"/>
    </row>
    <row r="646" spans="3:16" x14ac:dyDescent="0.2">
      <c r="C646" s="10"/>
      <c r="D646" s="10"/>
      <c r="L646"/>
      <c r="N646"/>
      <c r="P646"/>
    </row>
    <row r="647" spans="3:16" x14ac:dyDescent="0.2">
      <c r="C647" s="10"/>
      <c r="D647" s="10"/>
      <c r="L647"/>
      <c r="N647"/>
      <c r="P647"/>
    </row>
    <row r="648" spans="3:16" x14ac:dyDescent="0.2">
      <c r="C648" s="10"/>
      <c r="D648" s="10"/>
      <c r="L648"/>
      <c r="N648"/>
      <c r="P648"/>
    </row>
    <row r="649" spans="3:16" x14ac:dyDescent="0.2">
      <c r="C649" s="10"/>
      <c r="D649" s="10"/>
      <c r="L649"/>
      <c r="N649"/>
      <c r="P649"/>
    </row>
    <row r="650" spans="3:16" x14ac:dyDescent="0.2">
      <c r="C650" s="10"/>
      <c r="D650" s="10"/>
      <c r="L650"/>
      <c r="N650"/>
      <c r="P650"/>
    </row>
    <row r="651" spans="3:16" x14ac:dyDescent="0.2">
      <c r="C651" s="10"/>
      <c r="D651" s="10"/>
      <c r="L651"/>
      <c r="N651"/>
      <c r="P651"/>
    </row>
    <row r="652" spans="3:16" x14ac:dyDescent="0.2">
      <c r="C652" s="10"/>
      <c r="D652" s="10"/>
      <c r="L652"/>
      <c r="N652"/>
      <c r="P652"/>
    </row>
    <row r="653" spans="3:16" x14ac:dyDescent="0.2">
      <c r="C653" s="10"/>
      <c r="D653" s="10"/>
      <c r="L653"/>
      <c r="N653"/>
      <c r="P653"/>
    </row>
    <row r="654" spans="3:16" x14ac:dyDescent="0.2">
      <c r="C654" s="10"/>
      <c r="D654" s="10"/>
      <c r="L654"/>
      <c r="N654"/>
      <c r="P654"/>
    </row>
    <row r="655" spans="3:16" x14ac:dyDescent="0.2">
      <c r="C655" s="10"/>
      <c r="D655" s="10"/>
      <c r="L655"/>
      <c r="N655"/>
      <c r="P655"/>
    </row>
    <row r="656" spans="3:16" x14ac:dyDescent="0.2">
      <c r="C656" s="10"/>
      <c r="D656" s="10"/>
      <c r="L656"/>
      <c r="N656"/>
      <c r="P656"/>
    </row>
    <row r="657" spans="3:16" x14ac:dyDescent="0.2">
      <c r="C657" s="10"/>
      <c r="D657" s="10"/>
      <c r="L657"/>
      <c r="N657"/>
      <c r="P657"/>
    </row>
    <row r="658" spans="3:16" x14ac:dyDescent="0.2">
      <c r="C658" s="10"/>
      <c r="D658" s="10"/>
      <c r="L658"/>
      <c r="N658"/>
      <c r="P658"/>
    </row>
    <row r="659" spans="3:16" x14ac:dyDescent="0.2">
      <c r="C659" s="10"/>
      <c r="D659" s="10"/>
      <c r="L659"/>
      <c r="N659"/>
      <c r="P659"/>
    </row>
    <row r="660" spans="3:16" x14ac:dyDescent="0.2">
      <c r="C660" s="10"/>
      <c r="D660" s="10"/>
      <c r="L660"/>
      <c r="N660"/>
      <c r="P660"/>
    </row>
    <row r="661" spans="3:16" x14ac:dyDescent="0.2">
      <c r="C661" s="10"/>
      <c r="D661" s="10"/>
      <c r="L661"/>
      <c r="N661"/>
      <c r="P661"/>
    </row>
    <row r="662" spans="3:16" x14ac:dyDescent="0.2">
      <c r="C662" s="10"/>
      <c r="D662" s="10"/>
      <c r="L662"/>
      <c r="N662"/>
      <c r="P662"/>
    </row>
    <row r="663" spans="3:16" x14ac:dyDescent="0.2">
      <c r="C663" s="10"/>
      <c r="D663" s="10"/>
      <c r="L663"/>
      <c r="N663"/>
      <c r="P663"/>
    </row>
    <row r="664" spans="3:16" x14ac:dyDescent="0.2">
      <c r="C664" s="10"/>
      <c r="D664" s="10"/>
      <c r="L664"/>
      <c r="N664"/>
      <c r="P664"/>
    </row>
    <row r="665" spans="3:16" x14ac:dyDescent="0.2">
      <c r="C665" s="10"/>
      <c r="D665" s="10"/>
      <c r="L665"/>
      <c r="N665"/>
      <c r="P665"/>
    </row>
    <row r="666" spans="3:16" x14ac:dyDescent="0.2">
      <c r="C666" s="10"/>
      <c r="D666" s="10"/>
      <c r="L666"/>
      <c r="N666"/>
      <c r="P666"/>
    </row>
    <row r="667" spans="3:16" x14ac:dyDescent="0.2">
      <c r="C667" s="10"/>
      <c r="D667" s="10"/>
      <c r="L667"/>
      <c r="N667"/>
      <c r="P667"/>
    </row>
    <row r="668" spans="3:16" x14ac:dyDescent="0.2">
      <c r="C668" s="10"/>
      <c r="D668" s="10"/>
      <c r="L668"/>
      <c r="N668"/>
      <c r="P668"/>
    </row>
    <row r="669" spans="3:16" x14ac:dyDescent="0.2">
      <c r="C669" s="10"/>
      <c r="D669" s="10"/>
      <c r="L669"/>
      <c r="N669"/>
      <c r="P669"/>
    </row>
    <row r="670" spans="3:16" x14ac:dyDescent="0.2">
      <c r="C670" s="10"/>
      <c r="D670" s="10"/>
      <c r="L670"/>
      <c r="N670"/>
      <c r="P670"/>
    </row>
    <row r="671" spans="3:16" x14ac:dyDescent="0.2">
      <c r="C671" s="10"/>
      <c r="D671" s="10"/>
      <c r="L671"/>
      <c r="N671"/>
      <c r="P671"/>
    </row>
    <row r="672" spans="3:16" x14ac:dyDescent="0.2">
      <c r="C672" s="10"/>
      <c r="D672" s="10"/>
      <c r="L672"/>
      <c r="N672"/>
      <c r="P672"/>
    </row>
    <row r="673" spans="3:16" x14ac:dyDescent="0.2">
      <c r="C673" s="10"/>
      <c r="D673" s="10"/>
      <c r="L673"/>
      <c r="N673"/>
      <c r="P673"/>
    </row>
    <row r="674" spans="3:16" x14ac:dyDescent="0.2">
      <c r="C674" s="10"/>
      <c r="D674" s="10"/>
      <c r="L674"/>
      <c r="N674"/>
      <c r="P674"/>
    </row>
    <row r="675" spans="3:16" x14ac:dyDescent="0.2">
      <c r="C675" s="10"/>
      <c r="D675" s="10"/>
      <c r="L675"/>
      <c r="N675"/>
      <c r="P675"/>
    </row>
    <row r="676" spans="3:16" x14ac:dyDescent="0.2">
      <c r="C676" s="10"/>
      <c r="D676" s="10"/>
      <c r="L676"/>
      <c r="N676"/>
      <c r="P676"/>
    </row>
    <row r="677" spans="3:16" x14ac:dyDescent="0.2">
      <c r="C677" s="10"/>
      <c r="D677" s="10"/>
      <c r="L677"/>
      <c r="N677"/>
      <c r="P677"/>
    </row>
    <row r="678" spans="3:16" x14ac:dyDescent="0.2">
      <c r="C678" s="10"/>
      <c r="D678" s="10"/>
      <c r="L678"/>
      <c r="N678"/>
      <c r="P678"/>
    </row>
    <row r="679" spans="3:16" x14ac:dyDescent="0.2">
      <c r="C679" s="10"/>
      <c r="D679" s="10"/>
      <c r="L679"/>
      <c r="N679"/>
      <c r="P679"/>
    </row>
    <row r="680" spans="3:16" x14ac:dyDescent="0.2">
      <c r="C680" s="10"/>
      <c r="D680" s="10"/>
      <c r="L680"/>
      <c r="N680"/>
      <c r="P680"/>
    </row>
    <row r="681" spans="3:16" x14ac:dyDescent="0.2">
      <c r="C681" s="10"/>
      <c r="D681" s="10"/>
      <c r="L681"/>
      <c r="N681"/>
      <c r="P681"/>
    </row>
    <row r="682" spans="3:16" x14ac:dyDescent="0.2">
      <c r="C682" s="10"/>
      <c r="D682" s="10"/>
      <c r="L682"/>
      <c r="N682"/>
      <c r="P682"/>
    </row>
    <row r="683" spans="3:16" x14ac:dyDescent="0.2">
      <c r="C683" s="10"/>
      <c r="D683" s="10"/>
      <c r="L683"/>
      <c r="N683"/>
      <c r="P683"/>
    </row>
    <row r="684" spans="3:16" x14ac:dyDescent="0.2">
      <c r="C684" s="10"/>
      <c r="D684" s="10"/>
      <c r="L684"/>
      <c r="N684"/>
      <c r="P684"/>
    </row>
    <row r="685" spans="3:16" x14ac:dyDescent="0.2">
      <c r="C685" s="10"/>
      <c r="D685" s="10"/>
      <c r="L685"/>
      <c r="N685"/>
      <c r="P685"/>
    </row>
    <row r="686" spans="3:16" x14ac:dyDescent="0.2">
      <c r="C686" s="10"/>
      <c r="D686" s="10"/>
      <c r="L686"/>
      <c r="N686"/>
      <c r="P686"/>
    </row>
    <row r="687" spans="3:16" x14ac:dyDescent="0.2">
      <c r="C687" s="10"/>
      <c r="D687" s="10"/>
      <c r="L687"/>
      <c r="N687"/>
      <c r="P687"/>
    </row>
    <row r="688" spans="3:16" x14ac:dyDescent="0.2">
      <c r="C688" s="10"/>
      <c r="D688" s="10"/>
      <c r="L688"/>
      <c r="N688"/>
      <c r="P688"/>
    </row>
    <row r="689" spans="3:16" x14ac:dyDescent="0.2">
      <c r="C689" s="10"/>
      <c r="D689" s="10"/>
      <c r="L689"/>
      <c r="N689"/>
      <c r="P689"/>
    </row>
    <row r="690" spans="3:16" x14ac:dyDescent="0.2">
      <c r="C690" s="10"/>
      <c r="D690" s="10"/>
      <c r="L690"/>
      <c r="N690"/>
      <c r="P690"/>
    </row>
    <row r="691" spans="3:16" x14ac:dyDescent="0.2">
      <c r="C691" s="10"/>
      <c r="D691" s="10"/>
      <c r="L691"/>
      <c r="N691"/>
      <c r="P691"/>
    </row>
    <row r="692" spans="3:16" x14ac:dyDescent="0.2">
      <c r="C692" s="10"/>
      <c r="D692" s="10"/>
      <c r="L692"/>
      <c r="N692"/>
      <c r="P692"/>
    </row>
    <row r="693" spans="3:16" x14ac:dyDescent="0.2">
      <c r="C693" s="10"/>
      <c r="D693" s="10"/>
      <c r="L693"/>
      <c r="N693"/>
      <c r="P693"/>
    </row>
    <row r="694" spans="3:16" x14ac:dyDescent="0.2">
      <c r="C694" s="10"/>
      <c r="D694" s="10"/>
      <c r="L694"/>
      <c r="N694"/>
      <c r="P694"/>
    </row>
    <row r="695" spans="3:16" x14ac:dyDescent="0.2">
      <c r="C695" s="10"/>
      <c r="D695" s="10"/>
      <c r="L695"/>
      <c r="N695"/>
      <c r="P695"/>
    </row>
    <row r="696" spans="3:16" x14ac:dyDescent="0.2">
      <c r="C696" s="10"/>
      <c r="D696" s="10"/>
      <c r="L696"/>
      <c r="N696"/>
      <c r="P696"/>
    </row>
    <row r="697" spans="3:16" x14ac:dyDescent="0.2">
      <c r="C697" s="10"/>
      <c r="D697" s="10"/>
      <c r="L697"/>
      <c r="N697"/>
      <c r="P697"/>
    </row>
    <row r="698" spans="3:16" x14ac:dyDescent="0.2">
      <c r="C698" s="10"/>
      <c r="D698" s="10"/>
      <c r="L698"/>
      <c r="N698"/>
      <c r="P698"/>
    </row>
    <row r="699" spans="3:16" x14ac:dyDescent="0.2">
      <c r="C699" s="10"/>
      <c r="D699" s="10"/>
      <c r="L699"/>
      <c r="N699"/>
      <c r="P699"/>
    </row>
    <row r="700" spans="3:16" x14ac:dyDescent="0.2">
      <c r="C700" s="10"/>
      <c r="D700" s="10"/>
      <c r="L700"/>
      <c r="N700"/>
      <c r="P700"/>
    </row>
    <row r="701" spans="3:16" x14ac:dyDescent="0.2">
      <c r="C701" s="10"/>
      <c r="D701" s="10"/>
      <c r="L701"/>
      <c r="N701"/>
      <c r="P701"/>
    </row>
    <row r="702" spans="3:16" x14ac:dyDescent="0.2">
      <c r="C702" s="10"/>
      <c r="D702" s="10"/>
      <c r="L702"/>
      <c r="N702"/>
      <c r="P702"/>
    </row>
    <row r="703" spans="3:16" x14ac:dyDescent="0.2">
      <c r="C703" s="10"/>
      <c r="D703" s="10"/>
      <c r="L703"/>
      <c r="N703"/>
      <c r="P703"/>
    </row>
    <row r="704" spans="3:16" x14ac:dyDescent="0.2">
      <c r="C704" s="10"/>
      <c r="D704" s="10"/>
      <c r="L704"/>
      <c r="N704"/>
      <c r="P704"/>
    </row>
    <row r="705" spans="3:16" x14ac:dyDescent="0.2">
      <c r="C705" s="10"/>
      <c r="D705" s="10"/>
      <c r="L705"/>
      <c r="N705"/>
      <c r="P705"/>
    </row>
    <row r="706" spans="3:16" x14ac:dyDescent="0.2">
      <c r="C706" s="10"/>
      <c r="D706" s="10"/>
      <c r="L706"/>
      <c r="N706"/>
      <c r="P706"/>
    </row>
    <row r="707" spans="3:16" x14ac:dyDescent="0.2">
      <c r="C707" s="10"/>
      <c r="D707" s="10"/>
      <c r="L707"/>
      <c r="N707"/>
      <c r="P707"/>
    </row>
    <row r="708" spans="3:16" x14ac:dyDescent="0.2">
      <c r="C708" s="10"/>
      <c r="D708" s="10"/>
      <c r="L708"/>
      <c r="N708"/>
      <c r="P708"/>
    </row>
    <row r="709" spans="3:16" x14ac:dyDescent="0.2">
      <c r="C709" s="10"/>
      <c r="D709" s="10"/>
      <c r="L709"/>
      <c r="N709"/>
      <c r="P709"/>
    </row>
    <row r="710" spans="3:16" x14ac:dyDescent="0.2">
      <c r="C710" s="10"/>
      <c r="D710" s="10"/>
      <c r="L710"/>
      <c r="N710"/>
      <c r="P710"/>
    </row>
    <row r="711" spans="3:16" x14ac:dyDescent="0.2">
      <c r="C711" s="10"/>
      <c r="D711" s="10"/>
      <c r="L711"/>
      <c r="N711"/>
      <c r="P711"/>
    </row>
    <row r="712" spans="3:16" x14ac:dyDescent="0.2">
      <c r="C712" s="10"/>
      <c r="D712" s="10"/>
      <c r="L712"/>
      <c r="N712"/>
      <c r="P712"/>
    </row>
    <row r="713" spans="3:16" x14ac:dyDescent="0.2">
      <c r="C713" s="10"/>
      <c r="D713" s="10"/>
      <c r="L713"/>
      <c r="N713"/>
      <c r="P713"/>
    </row>
    <row r="714" spans="3:16" x14ac:dyDescent="0.2">
      <c r="C714" s="10"/>
      <c r="D714" s="10"/>
      <c r="L714"/>
      <c r="N714"/>
      <c r="P714"/>
    </row>
    <row r="715" spans="3:16" x14ac:dyDescent="0.2">
      <c r="C715" s="10"/>
      <c r="D715" s="10"/>
      <c r="L715"/>
      <c r="N715"/>
      <c r="P715"/>
    </row>
    <row r="716" spans="3:16" x14ac:dyDescent="0.2">
      <c r="C716" s="10"/>
      <c r="D716" s="10"/>
      <c r="L716"/>
      <c r="N716"/>
      <c r="P716"/>
    </row>
    <row r="717" spans="3:16" x14ac:dyDescent="0.2">
      <c r="C717" s="10"/>
      <c r="D717" s="10"/>
      <c r="L717"/>
      <c r="N717"/>
      <c r="P717"/>
    </row>
    <row r="718" spans="3:16" x14ac:dyDescent="0.2">
      <c r="C718" s="10"/>
      <c r="D718" s="10"/>
      <c r="L718"/>
      <c r="N718"/>
      <c r="P718"/>
    </row>
    <row r="719" spans="3:16" x14ac:dyDescent="0.2">
      <c r="C719" s="10"/>
      <c r="D719" s="10"/>
      <c r="L719"/>
      <c r="N719"/>
      <c r="P719"/>
    </row>
    <row r="720" spans="3:16" x14ac:dyDescent="0.2">
      <c r="C720" s="10"/>
      <c r="D720" s="10"/>
      <c r="L720"/>
      <c r="N720"/>
      <c r="P720"/>
    </row>
    <row r="721" spans="3:16" x14ac:dyDescent="0.2">
      <c r="C721" s="10"/>
      <c r="D721" s="10"/>
      <c r="L721"/>
      <c r="N721"/>
      <c r="P721"/>
    </row>
    <row r="722" spans="3:16" x14ac:dyDescent="0.2">
      <c r="C722" s="10"/>
      <c r="D722" s="10"/>
      <c r="L722"/>
      <c r="N722"/>
      <c r="P722"/>
    </row>
    <row r="723" spans="3:16" x14ac:dyDescent="0.2">
      <c r="C723" s="10"/>
      <c r="D723" s="10"/>
      <c r="L723"/>
      <c r="N723"/>
      <c r="P723"/>
    </row>
    <row r="724" spans="3:16" x14ac:dyDescent="0.2">
      <c r="C724" s="10"/>
      <c r="D724" s="10"/>
      <c r="L724"/>
      <c r="N724"/>
      <c r="P724"/>
    </row>
    <row r="725" spans="3:16" x14ac:dyDescent="0.2">
      <c r="C725" s="10"/>
      <c r="D725" s="10"/>
      <c r="L725"/>
      <c r="N725"/>
      <c r="P725"/>
    </row>
    <row r="726" spans="3:16" x14ac:dyDescent="0.2">
      <c r="C726" s="10"/>
      <c r="D726" s="10"/>
      <c r="L726"/>
      <c r="N726"/>
      <c r="P726"/>
    </row>
    <row r="727" spans="3:16" x14ac:dyDescent="0.2">
      <c r="C727" s="10"/>
      <c r="D727" s="10"/>
      <c r="L727"/>
      <c r="N727"/>
      <c r="P727"/>
    </row>
    <row r="728" spans="3:16" x14ac:dyDescent="0.2">
      <c r="C728" s="10"/>
      <c r="D728" s="10"/>
      <c r="L728"/>
      <c r="N728"/>
      <c r="P728"/>
    </row>
    <row r="729" spans="3:16" x14ac:dyDescent="0.2">
      <c r="C729" s="10"/>
      <c r="D729" s="10"/>
      <c r="L729"/>
      <c r="N729"/>
      <c r="P729"/>
    </row>
    <row r="730" spans="3:16" x14ac:dyDescent="0.2">
      <c r="C730" s="10"/>
      <c r="D730" s="10"/>
      <c r="L730"/>
      <c r="N730"/>
      <c r="P730"/>
    </row>
    <row r="731" spans="3:16" x14ac:dyDescent="0.2">
      <c r="C731" s="10"/>
      <c r="D731" s="10"/>
      <c r="L731"/>
      <c r="N731"/>
      <c r="P731"/>
    </row>
    <row r="732" spans="3:16" x14ac:dyDescent="0.2">
      <c r="C732" s="10"/>
      <c r="D732" s="10"/>
      <c r="L732"/>
      <c r="N732"/>
      <c r="P732"/>
    </row>
    <row r="733" spans="3:16" x14ac:dyDescent="0.2">
      <c r="C733" s="10"/>
      <c r="D733" s="10"/>
      <c r="L733"/>
      <c r="N733"/>
      <c r="P733"/>
    </row>
    <row r="734" spans="3:16" x14ac:dyDescent="0.2">
      <c r="C734" s="10"/>
      <c r="D734" s="10"/>
      <c r="L734"/>
      <c r="N734"/>
      <c r="P734"/>
    </row>
    <row r="735" spans="3:16" x14ac:dyDescent="0.2">
      <c r="C735" s="10"/>
      <c r="D735" s="10"/>
      <c r="L735"/>
      <c r="N735"/>
      <c r="P735"/>
    </row>
    <row r="736" spans="3:16" x14ac:dyDescent="0.2">
      <c r="C736" s="10"/>
      <c r="D736" s="10"/>
      <c r="L736"/>
      <c r="N736"/>
      <c r="P736"/>
    </row>
    <row r="737" spans="3:16" x14ac:dyDescent="0.2">
      <c r="C737" s="10"/>
      <c r="D737" s="10"/>
      <c r="L737"/>
      <c r="N737"/>
      <c r="P737"/>
    </row>
    <row r="738" spans="3:16" x14ac:dyDescent="0.2">
      <c r="C738" s="10"/>
      <c r="D738" s="10"/>
      <c r="L738"/>
      <c r="N738"/>
      <c r="P738"/>
    </row>
    <row r="739" spans="3:16" x14ac:dyDescent="0.2">
      <c r="C739" s="10"/>
      <c r="D739" s="10"/>
      <c r="L739"/>
      <c r="N739"/>
      <c r="P739"/>
    </row>
    <row r="740" spans="3:16" x14ac:dyDescent="0.2">
      <c r="C740" s="10"/>
      <c r="D740" s="10"/>
      <c r="L740"/>
      <c r="N740"/>
      <c r="P740"/>
    </row>
    <row r="741" spans="3:16" x14ac:dyDescent="0.2">
      <c r="C741" s="10"/>
      <c r="D741" s="10"/>
      <c r="L741"/>
      <c r="N741"/>
      <c r="P741"/>
    </row>
    <row r="742" spans="3:16" x14ac:dyDescent="0.2">
      <c r="C742" s="10"/>
      <c r="D742" s="10"/>
      <c r="L742"/>
      <c r="N742"/>
      <c r="P742"/>
    </row>
    <row r="743" spans="3:16" x14ac:dyDescent="0.2">
      <c r="C743" s="10"/>
      <c r="D743" s="10"/>
      <c r="L743"/>
      <c r="N743"/>
      <c r="P743"/>
    </row>
    <row r="744" spans="3:16" x14ac:dyDescent="0.2">
      <c r="C744" s="10"/>
      <c r="D744" s="10"/>
      <c r="L744"/>
      <c r="N744"/>
      <c r="P744"/>
    </row>
    <row r="745" spans="3:16" x14ac:dyDescent="0.2">
      <c r="C745" s="10"/>
      <c r="D745" s="10"/>
      <c r="L745"/>
      <c r="N745"/>
      <c r="P745"/>
    </row>
    <row r="746" spans="3:16" x14ac:dyDescent="0.2">
      <c r="C746" s="10"/>
      <c r="D746" s="10"/>
      <c r="L746"/>
      <c r="N746"/>
      <c r="P746"/>
    </row>
    <row r="747" spans="3:16" x14ac:dyDescent="0.2">
      <c r="C747" s="10"/>
      <c r="D747" s="10"/>
      <c r="L747"/>
      <c r="N747"/>
      <c r="P747"/>
    </row>
    <row r="748" spans="3:16" x14ac:dyDescent="0.2">
      <c r="C748" s="10"/>
      <c r="D748" s="10"/>
      <c r="L748"/>
      <c r="N748"/>
      <c r="P748"/>
    </row>
    <row r="749" spans="3:16" x14ac:dyDescent="0.2">
      <c r="C749" s="10"/>
      <c r="D749" s="10"/>
      <c r="L749"/>
      <c r="N749"/>
      <c r="P749"/>
    </row>
    <row r="750" spans="3:16" x14ac:dyDescent="0.2">
      <c r="C750" s="10"/>
      <c r="D750" s="10"/>
      <c r="L750"/>
      <c r="N750"/>
      <c r="P750"/>
    </row>
    <row r="751" spans="3:16" x14ac:dyDescent="0.2">
      <c r="C751" s="10"/>
      <c r="D751" s="10"/>
      <c r="L751"/>
      <c r="N751"/>
      <c r="P751"/>
    </row>
    <row r="752" spans="3:16" x14ac:dyDescent="0.2">
      <c r="C752" s="10"/>
      <c r="D752" s="10"/>
      <c r="L752"/>
      <c r="N752"/>
      <c r="P752"/>
    </row>
    <row r="753" spans="3:16" x14ac:dyDescent="0.2">
      <c r="C753" s="10"/>
      <c r="D753" s="10"/>
      <c r="L753"/>
      <c r="N753"/>
      <c r="P753"/>
    </row>
    <row r="754" spans="3:16" x14ac:dyDescent="0.2">
      <c r="C754" s="10"/>
      <c r="D754" s="10"/>
      <c r="L754"/>
      <c r="N754"/>
      <c r="P754"/>
    </row>
    <row r="755" spans="3:16" x14ac:dyDescent="0.2">
      <c r="C755" s="10"/>
      <c r="D755" s="10"/>
      <c r="L755"/>
      <c r="N755"/>
      <c r="P755"/>
    </row>
    <row r="756" spans="3:16" x14ac:dyDescent="0.2">
      <c r="C756" s="10"/>
      <c r="D756" s="10"/>
      <c r="L756"/>
      <c r="N756"/>
      <c r="P756"/>
    </row>
    <row r="757" spans="3:16" x14ac:dyDescent="0.2">
      <c r="C757" s="10"/>
      <c r="D757" s="10"/>
      <c r="L757"/>
      <c r="N757"/>
      <c r="P757"/>
    </row>
    <row r="758" spans="3:16" x14ac:dyDescent="0.2">
      <c r="C758" s="10"/>
      <c r="D758" s="10"/>
      <c r="L758"/>
      <c r="N758"/>
      <c r="P758"/>
    </row>
    <row r="759" spans="3:16" x14ac:dyDescent="0.2">
      <c r="C759" s="10"/>
      <c r="D759" s="10"/>
      <c r="L759"/>
      <c r="N759"/>
      <c r="P759"/>
    </row>
    <row r="760" spans="3:16" x14ac:dyDescent="0.2">
      <c r="C760" s="10"/>
      <c r="D760" s="10"/>
      <c r="L760"/>
      <c r="N760"/>
      <c r="P760"/>
    </row>
    <row r="761" spans="3:16" x14ac:dyDescent="0.2">
      <c r="C761" s="10"/>
      <c r="D761" s="10"/>
      <c r="L761"/>
      <c r="N761"/>
      <c r="P761"/>
    </row>
    <row r="762" spans="3:16" x14ac:dyDescent="0.2">
      <c r="C762" s="10"/>
      <c r="D762" s="10"/>
      <c r="L762"/>
      <c r="N762"/>
      <c r="P762"/>
    </row>
    <row r="763" spans="3:16" x14ac:dyDescent="0.2">
      <c r="C763" s="10"/>
      <c r="D763" s="10"/>
      <c r="L763"/>
      <c r="N763"/>
      <c r="P763"/>
    </row>
    <row r="764" spans="3:16" x14ac:dyDescent="0.2">
      <c r="C764" s="10"/>
      <c r="D764" s="10"/>
      <c r="L764"/>
      <c r="N764"/>
      <c r="P764"/>
    </row>
    <row r="765" spans="3:16" x14ac:dyDescent="0.2">
      <c r="C765" s="10"/>
      <c r="D765" s="10"/>
      <c r="L765"/>
      <c r="N765"/>
      <c r="P765"/>
    </row>
    <row r="766" spans="3:16" x14ac:dyDescent="0.2">
      <c r="C766" s="10"/>
      <c r="D766" s="10"/>
      <c r="L766"/>
      <c r="N766"/>
      <c r="P766"/>
    </row>
    <row r="767" spans="3:16" x14ac:dyDescent="0.2">
      <c r="C767" s="10"/>
      <c r="D767" s="10"/>
      <c r="L767"/>
      <c r="N767"/>
      <c r="P767"/>
    </row>
    <row r="768" spans="3:16" x14ac:dyDescent="0.2">
      <c r="C768" s="10"/>
      <c r="D768" s="10"/>
      <c r="L768"/>
      <c r="N768"/>
      <c r="P768"/>
    </row>
    <row r="769" spans="3:16" x14ac:dyDescent="0.2">
      <c r="C769" s="10"/>
      <c r="D769" s="10"/>
      <c r="L769"/>
      <c r="N769"/>
      <c r="P769"/>
    </row>
    <row r="770" spans="3:16" x14ac:dyDescent="0.2">
      <c r="C770" s="10"/>
      <c r="D770" s="10"/>
      <c r="L770"/>
      <c r="N770"/>
      <c r="P770"/>
    </row>
    <row r="771" spans="3:16" x14ac:dyDescent="0.2">
      <c r="C771" s="10"/>
      <c r="D771" s="10"/>
      <c r="L771"/>
      <c r="N771"/>
      <c r="P771"/>
    </row>
    <row r="772" spans="3:16" x14ac:dyDescent="0.2">
      <c r="C772" s="10"/>
      <c r="D772" s="10"/>
      <c r="L772"/>
      <c r="N772"/>
      <c r="P772"/>
    </row>
    <row r="773" spans="3:16" x14ac:dyDescent="0.2">
      <c r="C773" s="10"/>
      <c r="D773" s="10"/>
      <c r="L773"/>
      <c r="N773"/>
      <c r="P773"/>
    </row>
    <row r="774" spans="3:16" x14ac:dyDescent="0.2">
      <c r="C774" s="10"/>
      <c r="D774" s="10"/>
      <c r="L774"/>
      <c r="N774"/>
      <c r="P774"/>
    </row>
    <row r="775" spans="3:16" x14ac:dyDescent="0.2">
      <c r="C775" s="10"/>
      <c r="D775" s="10"/>
      <c r="L775"/>
      <c r="N775"/>
      <c r="P775"/>
    </row>
    <row r="776" spans="3:16" x14ac:dyDescent="0.2">
      <c r="C776" s="10"/>
      <c r="D776" s="10"/>
      <c r="L776"/>
      <c r="N776"/>
      <c r="P776"/>
    </row>
    <row r="777" spans="3:16" x14ac:dyDescent="0.2">
      <c r="C777" s="10"/>
      <c r="D777" s="10"/>
      <c r="L777"/>
      <c r="N777"/>
      <c r="P777"/>
    </row>
    <row r="778" spans="3:16" x14ac:dyDescent="0.2">
      <c r="C778" s="10"/>
      <c r="D778" s="10"/>
      <c r="L778"/>
      <c r="N778"/>
      <c r="P778"/>
    </row>
    <row r="779" spans="3:16" x14ac:dyDescent="0.2">
      <c r="C779" s="10"/>
      <c r="D779" s="10"/>
      <c r="L779"/>
      <c r="N779"/>
      <c r="P779"/>
    </row>
    <row r="780" spans="3:16" x14ac:dyDescent="0.2">
      <c r="C780" s="10"/>
      <c r="D780" s="10"/>
      <c r="L780"/>
      <c r="N780"/>
      <c r="P780"/>
    </row>
    <row r="781" spans="3:16" x14ac:dyDescent="0.2">
      <c r="C781" s="10"/>
      <c r="D781" s="10"/>
      <c r="L781"/>
      <c r="N781"/>
      <c r="P781"/>
    </row>
    <row r="782" spans="3:16" x14ac:dyDescent="0.2">
      <c r="C782" s="10"/>
      <c r="D782" s="10"/>
      <c r="L782"/>
      <c r="N782"/>
      <c r="P782"/>
    </row>
    <row r="783" spans="3:16" x14ac:dyDescent="0.2">
      <c r="C783" s="10"/>
      <c r="D783" s="10"/>
      <c r="L783"/>
      <c r="N783"/>
      <c r="P783"/>
    </row>
    <row r="784" spans="3:16" x14ac:dyDescent="0.2">
      <c r="C784" s="10"/>
      <c r="D784" s="10"/>
      <c r="L784"/>
      <c r="N784"/>
      <c r="P784"/>
    </row>
    <row r="785" spans="3:16" x14ac:dyDescent="0.2">
      <c r="C785" s="10"/>
      <c r="D785" s="10"/>
      <c r="L785"/>
      <c r="N785"/>
      <c r="P785"/>
    </row>
    <row r="786" spans="3:16" x14ac:dyDescent="0.2">
      <c r="C786" s="10"/>
      <c r="D786" s="10"/>
      <c r="L786"/>
      <c r="N786"/>
      <c r="P786"/>
    </row>
    <row r="787" spans="3:16" x14ac:dyDescent="0.2">
      <c r="C787" s="10"/>
      <c r="D787" s="10"/>
      <c r="L787"/>
      <c r="N787"/>
      <c r="P787"/>
    </row>
    <row r="788" spans="3:16" x14ac:dyDescent="0.2">
      <c r="C788" s="10"/>
      <c r="D788" s="10"/>
      <c r="L788"/>
      <c r="N788"/>
      <c r="P788"/>
    </row>
    <row r="789" spans="3:16" x14ac:dyDescent="0.2">
      <c r="C789" s="10"/>
      <c r="D789" s="10"/>
      <c r="L789"/>
      <c r="N789"/>
      <c r="P789"/>
    </row>
    <row r="790" spans="3:16" x14ac:dyDescent="0.2">
      <c r="C790" s="10"/>
      <c r="D790" s="10"/>
      <c r="L790"/>
      <c r="N790"/>
      <c r="P790"/>
    </row>
    <row r="791" spans="3:16" x14ac:dyDescent="0.2">
      <c r="C791" s="10"/>
      <c r="D791" s="10"/>
      <c r="L791"/>
      <c r="N791"/>
      <c r="P791"/>
    </row>
    <row r="792" spans="3:16" x14ac:dyDescent="0.2">
      <c r="C792" s="10"/>
      <c r="D792" s="10"/>
      <c r="L792"/>
      <c r="N792"/>
      <c r="P792"/>
    </row>
    <row r="793" spans="3:16" x14ac:dyDescent="0.2">
      <c r="C793" s="10"/>
      <c r="D793" s="10"/>
      <c r="L793"/>
      <c r="N793"/>
      <c r="P793"/>
    </row>
    <row r="794" spans="3:16" x14ac:dyDescent="0.2">
      <c r="C794" s="10"/>
      <c r="D794" s="10"/>
      <c r="L794"/>
      <c r="N794"/>
      <c r="P794"/>
    </row>
    <row r="795" spans="3:16" x14ac:dyDescent="0.2">
      <c r="C795" s="10"/>
      <c r="D795" s="10"/>
      <c r="L795"/>
      <c r="N795"/>
      <c r="P795"/>
    </row>
    <row r="796" spans="3:16" x14ac:dyDescent="0.2">
      <c r="C796" s="10"/>
      <c r="D796" s="10"/>
      <c r="L796"/>
      <c r="N796"/>
      <c r="P796"/>
    </row>
    <row r="797" spans="3:16" x14ac:dyDescent="0.2">
      <c r="C797" s="10"/>
      <c r="D797" s="10"/>
      <c r="L797"/>
      <c r="N797"/>
      <c r="P797"/>
    </row>
    <row r="798" spans="3:16" x14ac:dyDescent="0.2">
      <c r="C798" s="10"/>
      <c r="D798" s="10"/>
      <c r="L798"/>
      <c r="N798"/>
      <c r="P798"/>
    </row>
    <row r="799" spans="3:16" x14ac:dyDescent="0.2">
      <c r="C799" s="10"/>
      <c r="D799" s="10"/>
      <c r="L799"/>
      <c r="N799"/>
      <c r="P799"/>
    </row>
    <row r="800" spans="3:16" x14ac:dyDescent="0.2">
      <c r="C800" s="10"/>
      <c r="D800" s="10"/>
      <c r="L800"/>
      <c r="N800"/>
      <c r="P800"/>
    </row>
    <row r="801" spans="3:16" x14ac:dyDescent="0.2">
      <c r="C801" s="10"/>
      <c r="D801" s="10"/>
      <c r="L801"/>
      <c r="N801"/>
      <c r="P801"/>
    </row>
    <row r="802" spans="3:16" x14ac:dyDescent="0.2">
      <c r="C802" s="10"/>
      <c r="D802" s="10"/>
      <c r="L802"/>
      <c r="N802"/>
      <c r="P802"/>
    </row>
    <row r="803" spans="3:16" x14ac:dyDescent="0.2">
      <c r="C803" s="10"/>
      <c r="D803" s="10"/>
      <c r="L803"/>
      <c r="N803"/>
      <c r="P803"/>
    </row>
    <row r="804" spans="3:16" x14ac:dyDescent="0.2">
      <c r="C804" s="10"/>
      <c r="D804" s="10"/>
      <c r="L804"/>
      <c r="N804"/>
      <c r="P804"/>
    </row>
    <row r="805" spans="3:16" x14ac:dyDescent="0.2">
      <c r="C805" s="10"/>
      <c r="D805" s="10"/>
      <c r="L805"/>
      <c r="N805"/>
      <c r="P805"/>
    </row>
    <row r="806" spans="3:16" x14ac:dyDescent="0.2">
      <c r="C806" s="10"/>
      <c r="D806" s="10"/>
      <c r="L806"/>
      <c r="N806"/>
      <c r="P806"/>
    </row>
    <row r="807" spans="3:16" x14ac:dyDescent="0.2">
      <c r="C807" s="10"/>
      <c r="D807" s="10"/>
      <c r="L807"/>
      <c r="N807"/>
      <c r="P807"/>
    </row>
    <row r="808" spans="3:16" x14ac:dyDescent="0.2">
      <c r="C808" s="10"/>
      <c r="D808" s="10"/>
      <c r="L808"/>
      <c r="N808"/>
      <c r="P808"/>
    </row>
    <row r="809" spans="3:16" x14ac:dyDescent="0.2">
      <c r="C809" s="10"/>
      <c r="D809" s="10"/>
      <c r="L809"/>
      <c r="N809"/>
      <c r="P809"/>
    </row>
    <row r="810" spans="3:16" x14ac:dyDescent="0.2">
      <c r="C810" s="10"/>
      <c r="D810" s="10"/>
      <c r="L810"/>
      <c r="N810"/>
      <c r="P810"/>
    </row>
    <row r="811" spans="3:16" x14ac:dyDescent="0.2">
      <c r="C811" s="10"/>
      <c r="D811" s="10"/>
      <c r="L811"/>
      <c r="N811"/>
      <c r="P811"/>
    </row>
    <row r="812" spans="3:16" x14ac:dyDescent="0.2">
      <c r="C812" s="10"/>
      <c r="D812" s="10"/>
      <c r="L812"/>
      <c r="N812"/>
      <c r="P812"/>
    </row>
    <row r="813" spans="3:16" x14ac:dyDescent="0.2">
      <c r="C813" s="10"/>
      <c r="D813" s="10"/>
      <c r="L813"/>
      <c r="N813"/>
      <c r="P813"/>
    </row>
    <row r="814" spans="3:16" x14ac:dyDescent="0.2">
      <c r="C814" s="10"/>
      <c r="D814" s="10"/>
      <c r="L814"/>
      <c r="N814"/>
      <c r="P814"/>
    </row>
    <row r="815" spans="3:16" x14ac:dyDescent="0.2">
      <c r="C815" s="10"/>
      <c r="D815" s="10"/>
      <c r="L815"/>
      <c r="N815"/>
      <c r="P815"/>
    </row>
    <row r="816" spans="3:16" x14ac:dyDescent="0.2">
      <c r="C816" s="10"/>
      <c r="D816" s="10"/>
      <c r="L816"/>
      <c r="N816"/>
      <c r="P816"/>
    </row>
    <row r="817" spans="3:16" x14ac:dyDescent="0.2">
      <c r="C817" s="10"/>
      <c r="D817" s="10"/>
      <c r="L817"/>
      <c r="N817"/>
      <c r="P817"/>
    </row>
    <row r="818" spans="3:16" x14ac:dyDescent="0.2">
      <c r="C818" s="10"/>
      <c r="D818" s="10"/>
      <c r="L818"/>
      <c r="N818"/>
      <c r="P818"/>
    </row>
    <row r="819" spans="3:16" x14ac:dyDescent="0.2">
      <c r="C819" s="10"/>
      <c r="D819" s="10"/>
      <c r="L819"/>
      <c r="N819"/>
      <c r="P819"/>
    </row>
    <row r="820" spans="3:16" x14ac:dyDescent="0.2">
      <c r="C820" s="10"/>
      <c r="D820" s="10"/>
      <c r="L820"/>
      <c r="N820"/>
      <c r="P820"/>
    </row>
    <row r="821" spans="3:16" x14ac:dyDescent="0.2">
      <c r="C821" s="10"/>
      <c r="D821" s="10"/>
      <c r="L821"/>
      <c r="N821"/>
      <c r="P821"/>
    </row>
    <row r="822" spans="3:16" x14ac:dyDescent="0.2">
      <c r="C822" s="10"/>
      <c r="D822" s="10"/>
      <c r="L822"/>
      <c r="N822"/>
      <c r="P822"/>
    </row>
    <row r="823" spans="3:16" x14ac:dyDescent="0.2">
      <c r="C823" s="10"/>
      <c r="D823" s="10"/>
      <c r="L823"/>
      <c r="N823"/>
      <c r="P823"/>
    </row>
    <row r="824" spans="3:16" x14ac:dyDescent="0.2">
      <c r="C824" s="10"/>
      <c r="D824" s="10"/>
      <c r="L824"/>
      <c r="N824"/>
      <c r="P824"/>
    </row>
    <row r="825" spans="3:16" x14ac:dyDescent="0.2">
      <c r="C825" s="10"/>
      <c r="D825" s="10"/>
      <c r="L825"/>
      <c r="N825"/>
      <c r="P825"/>
    </row>
    <row r="826" spans="3:16" x14ac:dyDescent="0.2">
      <c r="C826" s="10"/>
      <c r="D826" s="10"/>
      <c r="L826"/>
      <c r="N826"/>
      <c r="P826"/>
    </row>
    <row r="827" spans="3:16" x14ac:dyDescent="0.2">
      <c r="C827" s="10"/>
      <c r="D827" s="10"/>
      <c r="L827"/>
      <c r="N827"/>
      <c r="P827"/>
    </row>
    <row r="828" spans="3:16" x14ac:dyDescent="0.2">
      <c r="C828" s="10"/>
      <c r="D828" s="10"/>
      <c r="L828"/>
      <c r="N828"/>
      <c r="P828"/>
    </row>
    <row r="829" spans="3:16" x14ac:dyDescent="0.2">
      <c r="C829" s="10"/>
      <c r="D829" s="10"/>
      <c r="L829"/>
      <c r="N829"/>
      <c r="P829"/>
    </row>
    <row r="830" spans="3:16" x14ac:dyDescent="0.2">
      <c r="C830" s="10"/>
      <c r="D830" s="10"/>
      <c r="L830"/>
      <c r="N830"/>
      <c r="P830"/>
    </row>
    <row r="831" spans="3:16" x14ac:dyDescent="0.2">
      <c r="C831" s="10"/>
      <c r="D831" s="10"/>
      <c r="L831"/>
      <c r="N831"/>
      <c r="P831"/>
    </row>
    <row r="832" spans="3:16" x14ac:dyDescent="0.2">
      <c r="C832" s="10"/>
      <c r="D832" s="10"/>
      <c r="L832"/>
      <c r="N832"/>
      <c r="P832"/>
    </row>
    <row r="833" spans="3:16" x14ac:dyDescent="0.2">
      <c r="C833" s="10"/>
      <c r="D833" s="10"/>
      <c r="L833"/>
      <c r="N833"/>
      <c r="P833"/>
    </row>
    <row r="834" spans="3:16" x14ac:dyDescent="0.2">
      <c r="C834" s="10"/>
      <c r="D834" s="10"/>
      <c r="L834"/>
      <c r="N834"/>
      <c r="P834"/>
    </row>
    <row r="835" spans="3:16" x14ac:dyDescent="0.2">
      <c r="C835" s="10"/>
      <c r="D835" s="10"/>
      <c r="L835"/>
      <c r="N835"/>
      <c r="P835"/>
    </row>
    <row r="836" spans="3:16" x14ac:dyDescent="0.2">
      <c r="C836" s="10"/>
      <c r="D836" s="10"/>
      <c r="L836"/>
      <c r="N836"/>
      <c r="P836"/>
    </row>
    <row r="837" spans="3:16" x14ac:dyDescent="0.2">
      <c r="C837" s="10"/>
      <c r="D837" s="10"/>
      <c r="L837"/>
      <c r="N837"/>
      <c r="P837"/>
    </row>
    <row r="838" spans="3:16" x14ac:dyDescent="0.2">
      <c r="C838" s="10"/>
      <c r="D838" s="10"/>
      <c r="L838"/>
      <c r="N838"/>
      <c r="P838"/>
    </row>
    <row r="839" spans="3:16" x14ac:dyDescent="0.2">
      <c r="C839" s="10"/>
      <c r="D839" s="10"/>
      <c r="L839"/>
      <c r="N839"/>
      <c r="P839"/>
    </row>
    <row r="840" spans="3:16" x14ac:dyDescent="0.2">
      <c r="C840" s="10"/>
      <c r="D840" s="10"/>
      <c r="L840"/>
      <c r="N840"/>
      <c r="P840"/>
    </row>
    <row r="841" spans="3:16" x14ac:dyDescent="0.2">
      <c r="C841" s="10"/>
      <c r="D841" s="10"/>
      <c r="L841"/>
      <c r="N841"/>
      <c r="P841"/>
    </row>
    <row r="842" spans="3:16" x14ac:dyDescent="0.2">
      <c r="C842" s="10"/>
      <c r="D842" s="10"/>
      <c r="L842"/>
      <c r="N842"/>
      <c r="P842"/>
    </row>
    <row r="843" spans="3:16" x14ac:dyDescent="0.2">
      <c r="C843" s="10"/>
      <c r="D843" s="10"/>
      <c r="L843"/>
      <c r="N843"/>
      <c r="P843"/>
    </row>
    <row r="844" spans="3:16" x14ac:dyDescent="0.2">
      <c r="C844" s="10"/>
      <c r="D844" s="10"/>
      <c r="L844"/>
      <c r="N844"/>
      <c r="P844"/>
    </row>
    <row r="845" spans="3:16" x14ac:dyDescent="0.2">
      <c r="C845" s="10"/>
      <c r="D845" s="10"/>
      <c r="L845"/>
      <c r="N845"/>
      <c r="P845"/>
    </row>
    <row r="846" spans="3:16" x14ac:dyDescent="0.2">
      <c r="C846" s="10"/>
      <c r="D846" s="10"/>
      <c r="L846"/>
      <c r="N846"/>
      <c r="P846"/>
    </row>
    <row r="847" spans="3:16" x14ac:dyDescent="0.2">
      <c r="C847" s="10"/>
      <c r="D847" s="10"/>
      <c r="L847"/>
      <c r="N847"/>
      <c r="P847"/>
    </row>
    <row r="848" spans="3:16" x14ac:dyDescent="0.2">
      <c r="C848" s="10"/>
      <c r="D848" s="10"/>
      <c r="L848"/>
      <c r="N848"/>
      <c r="P848"/>
    </row>
    <row r="849" spans="3:16" x14ac:dyDescent="0.2">
      <c r="C849" s="10"/>
      <c r="D849" s="10"/>
      <c r="L849"/>
      <c r="N849"/>
      <c r="P849"/>
    </row>
    <row r="850" spans="3:16" x14ac:dyDescent="0.2">
      <c r="C850" s="10"/>
      <c r="D850" s="10"/>
      <c r="L850"/>
      <c r="N850"/>
      <c r="P850"/>
    </row>
    <row r="851" spans="3:16" x14ac:dyDescent="0.2">
      <c r="C851" s="10"/>
      <c r="D851" s="10"/>
      <c r="L851"/>
      <c r="N851"/>
      <c r="P851"/>
    </row>
    <row r="852" spans="3:16" x14ac:dyDescent="0.2">
      <c r="C852" s="10"/>
      <c r="D852" s="10"/>
      <c r="L852"/>
      <c r="N852"/>
      <c r="P852"/>
    </row>
    <row r="853" spans="3:16" x14ac:dyDescent="0.2">
      <c r="C853" s="10"/>
      <c r="D853" s="10"/>
      <c r="L853"/>
      <c r="N853"/>
      <c r="P853"/>
    </row>
    <row r="854" spans="3:16" x14ac:dyDescent="0.2">
      <c r="C854" s="10"/>
      <c r="D854" s="10"/>
      <c r="L854"/>
      <c r="N854"/>
      <c r="P854"/>
    </row>
    <row r="855" spans="3:16" x14ac:dyDescent="0.2">
      <c r="C855" s="10"/>
      <c r="D855" s="10"/>
      <c r="L855"/>
      <c r="N855"/>
      <c r="P855"/>
    </row>
    <row r="856" spans="3:16" x14ac:dyDescent="0.2">
      <c r="C856" s="10"/>
      <c r="D856" s="10"/>
      <c r="L856"/>
      <c r="N856"/>
      <c r="P856"/>
    </row>
    <row r="857" spans="3:16" x14ac:dyDescent="0.2">
      <c r="C857" s="10"/>
      <c r="D857" s="10"/>
      <c r="L857"/>
      <c r="N857"/>
      <c r="P857"/>
    </row>
    <row r="858" spans="3:16" x14ac:dyDescent="0.2">
      <c r="C858" s="10"/>
      <c r="D858" s="10"/>
      <c r="L858"/>
      <c r="N858"/>
      <c r="P858"/>
    </row>
    <row r="859" spans="3:16" x14ac:dyDescent="0.2">
      <c r="C859" s="10"/>
      <c r="D859" s="10"/>
      <c r="L859"/>
      <c r="N859"/>
      <c r="P859"/>
    </row>
    <row r="860" spans="3:16" x14ac:dyDescent="0.2">
      <c r="C860" s="10"/>
      <c r="D860" s="10"/>
      <c r="L860"/>
      <c r="N860"/>
      <c r="P860"/>
    </row>
    <row r="861" spans="3:16" x14ac:dyDescent="0.2">
      <c r="C861" s="10"/>
      <c r="D861" s="10"/>
      <c r="L861"/>
      <c r="N861"/>
      <c r="P861"/>
    </row>
    <row r="862" spans="3:16" x14ac:dyDescent="0.2">
      <c r="C862" s="10"/>
      <c r="D862" s="10"/>
      <c r="L862"/>
      <c r="N862"/>
      <c r="P862"/>
    </row>
    <row r="863" spans="3:16" x14ac:dyDescent="0.2">
      <c r="C863" s="10"/>
      <c r="D863" s="10"/>
      <c r="L863"/>
      <c r="N863"/>
      <c r="P863"/>
    </row>
    <row r="864" spans="3:16" x14ac:dyDescent="0.2">
      <c r="C864" s="10"/>
      <c r="D864" s="10"/>
      <c r="L864"/>
      <c r="N864"/>
      <c r="P864"/>
    </row>
    <row r="865" spans="3:16" x14ac:dyDescent="0.2">
      <c r="C865" s="10"/>
      <c r="D865" s="10"/>
      <c r="L865"/>
      <c r="N865"/>
      <c r="P865"/>
    </row>
    <row r="866" spans="3:16" x14ac:dyDescent="0.2">
      <c r="C866" s="10"/>
      <c r="D866" s="10"/>
      <c r="L866"/>
      <c r="N866"/>
      <c r="P866"/>
    </row>
    <row r="867" spans="3:16" x14ac:dyDescent="0.2">
      <c r="C867" s="10"/>
      <c r="D867" s="10"/>
      <c r="L867"/>
      <c r="N867"/>
      <c r="P867"/>
    </row>
    <row r="868" spans="3:16" x14ac:dyDescent="0.2">
      <c r="C868" s="10"/>
      <c r="D868" s="10"/>
      <c r="L868"/>
      <c r="N868"/>
      <c r="P868"/>
    </row>
    <row r="869" spans="3:16" x14ac:dyDescent="0.2">
      <c r="C869" s="10"/>
      <c r="D869" s="10"/>
      <c r="L869"/>
      <c r="N869"/>
      <c r="P869"/>
    </row>
    <row r="870" spans="3:16" x14ac:dyDescent="0.2">
      <c r="C870" s="10"/>
      <c r="D870" s="10"/>
      <c r="L870"/>
      <c r="N870"/>
      <c r="P870"/>
    </row>
    <row r="871" spans="3:16" x14ac:dyDescent="0.2">
      <c r="C871" s="10"/>
      <c r="D871" s="10"/>
      <c r="L871"/>
      <c r="N871"/>
      <c r="P871"/>
    </row>
    <row r="872" spans="3:16" x14ac:dyDescent="0.2">
      <c r="C872" s="10"/>
      <c r="D872" s="10"/>
      <c r="L872"/>
      <c r="N872"/>
      <c r="P872"/>
    </row>
    <row r="873" spans="3:16" x14ac:dyDescent="0.2">
      <c r="C873" s="10"/>
      <c r="D873" s="10"/>
      <c r="L873"/>
      <c r="N873"/>
      <c r="P873"/>
    </row>
    <row r="874" spans="3:16" x14ac:dyDescent="0.2">
      <c r="C874" s="10"/>
      <c r="D874" s="10"/>
      <c r="L874"/>
      <c r="N874"/>
      <c r="P874"/>
    </row>
    <row r="875" spans="3:16" x14ac:dyDescent="0.2">
      <c r="C875" s="10"/>
      <c r="D875" s="10"/>
      <c r="L875"/>
      <c r="N875"/>
      <c r="P875"/>
    </row>
    <row r="876" spans="3:16" x14ac:dyDescent="0.2">
      <c r="C876" s="10"/>
      <c r="D876" s="10"/>
      <c r="L876"/>
      <c r="N876"/>
      <c r="P876"/>
    </row>
    <row r="877" spans="3:16" x14ac:dyDescent="0.2">
      <c r="C877" s="10"/>
      <c r="D877" s="10"/>
      <c r="L877"/>
      <c r="N877"/>
      <c r="P877"/>
    </row>
    <row r="878" spans="3:16" x14ac:dyDescent="0.2">
      <c r="C878" s="10"/>
      <c r="D878" s="10"/>
      <c r="L878"/>
      <c r="N878"/>
      <c r="P878"/>
    </row>
    <row r="879" spans="3:16" x14ac:dyDescent="0.2">
      <c r="C879" s="10"/>
      <c r="D879" s="10"/>
      <c r="L879"/>
      <c r="N879"/>
      <c r="P879"/>
    </row>
    <row r="880" spans="3:16" x14ac:dyDescent="0.2">
      <c r="C880" s="10"/>
      <c r="D880" s="10"/>
      <c r="L880"/>
      <c r="N880"/>
      <c r="P880"/>
    </row>
    <row r="881" spans="3:16" x14ac:dyDescent="0.2">
      <c r="C881" s="10"/>
      <c r="D881" s="10"/>
      <c r="L881"/>
      <c r="N881"/>
      <c r="P881"/>
    </row>
    <row r="882" spans="3:16" x14ac:dyDescent="0.2">
      <c r="C882" s="10"/>
      <c r="D882" s="10"/>
      <c r="L882"/>
      <c r="N882"/>
      <c r="P882"/>
    </row>
    <row r="883" spans="3:16" x14ac:dyDescent="0.2">
      <c r="C883" s="10"/>
      <c r="D883" s="10"/>
      <c r="L883"/>
      <c r="N883"/>
      <c r="P883"/>
    </row>
    <row r="884" spans="3:16" x14ac:dyDescent="0.2">
      <c r="C884" s="10"/>
      <c r="D884" s="10"/>
      <c r="L884"/>
      <c r="N884"/>
      <c r="P884"/>
    </row>
    <row r="885" spans="3:16" x14ac:dyDescent="0.2">
      <c r="C885" s="10"/>
      <c r="D885" s="10"/>
      <c r="L885"/>
      <c r="N885"/>
      <c r="P885"/>
    </row>
    <row r="886" spans="3:16" x14ac:dyDescent="0.2">
      <c r="C886" s="10"/>
      <c r="D886" s="10"/>
      <c r="L886"/>
      <c r="N886"/>
      <c r="P886"/>
    </row>
    <row r="887" spans="3:16" x14ac:dyDescent="0.2">
      <c r="C887" s="10"/>
      <c r="D887" s="10"/>
      <c r="L887"/>
      <c r="N887"/>
      <c r="P887"/>
    </row>
    <row r="888" spans="3:16" x14ac:dyDescent="0.2">
      <c r="C888" s="10"/>
      <c r="D888" s="10"/>
      <c r="L888"/>
      <c r="N888"/>
      <c r="P888"/>
    </row>
    <row r="889" spans="3:16" x14ac:dyDescent="0.2">
      <c r="C889" s="10"/>
      <c r="D889" s="10"/>
      <c r="L889"/>
      <c r="N889"/>
      <c r="P889"/>
    </row>
    <row r="890" spans="3:16" x14ac:dyDescent="0.2">
      <c r="C890" s="10"/>
      <c r="D890" s="10"/>
      <c r="L890"/>
      <c r="N890"/>
      <c r="P890"/>
    </row>
    <row r="891" spans="3:16" x14ac:dyDescent="0.2">
      <c r="C891" s="10"/>
      <c r="D891" s="10"/>
      <c r="L891"/>
      <c r="N891"/>
      <c r="P891"/>
    </row>
    <row r="892" spans="3:16" x14ac:dyDescent="0.2">
      <c r="C892" s="10"/>
      <c r="D892" s="10"/>
      <c r="L892"/>
      <c r="N892"/>
      <c r="P892"/>
    </row>
    <row r="893" spans="3:16" x14ac:dyDescent="0.2">
      <c r="C893" s="10"/>
      <c r="D893" s="10"/>
      <c r="L893"/>
      <c r="N893"/>
      <c r="P893"/>
    </row>
    <row r="894" spans="3:16" x14ac:dyDescent="0.2">
      <c r="C894" s="10"/>
      <c r="D894" s="10"/>
      <c r="L894"/>
      <c r="N894"/>
      <c r="P894"/>
    </row>
    <row r="895" spans="3:16" x14ac:dyDescent="0.2">
      <c r="C895" s="10"/>
      <c r="D895" s="10"/>
      <c r="L895"/>
      <c r="N895"/>
      <c r="P895"/>
    </row>
    <row r="896" spans="3:16" x14ac:dyDescent="0.2">
      <c r="C896" s="10"/>
      <c r="D896" s="10"/>
      <c r="L896"/>
      <c r="N896"/>
      <c r="P896"/>
    </row>
    <row r="897" spans="3:16" x14ac:dyDescent="0.2">
      <c r="C897" s="10"/>
      <c r="D897" s="10"/>
      <c r="L897"/>
      <c r="N897"/>
      <c r="P897"/>
    </row>
    <row r="898" spans="3:16" x14ac:dyDescent="0.2">
      <c r="C898" s="10"/>
      <c r="D898" s="10"/>
      <c r="L898"/>
      <c r="N898"/>
      <c r="P898"/>
    </row>
    <row r="899" spans="3:16" x14ac:dyDescent="0.2">
      <c r="C899" s="10"/>
      <c r="D899" s="10"/>
      <c r="L899"/>
      <c r="N899"/>
      <c r="P899"/>
    </row>
    <row r="900" spans="3:16" x14ac:dyDescent="0.2">
      <c r="C900" s="10"/>
      <c r="D900" s="10"/>
      <c r="L900"/>
      <c r="N900"/>
      <c r="P900"/>
    </row>
    <row r="901" spans="3:16" x14ac:dyDescent="0.2">
      <c r="C901" s="10"/>
      <c r="D901" s="10"/>
      <c r="L901"/>
      <c r="N901"/>
      <c r="P901"/>
    </row>
    <row r="902" spans="3:16" x14ac:dyDescent="0.2">
      <c r="C902" s="10"/>
      <c r="D902" s="10"/>
      <c r="L902"/>
      <c r="N902"/>
      <c r="P902"/>
    </row>
    <row r="903" spans="3:16" x14ac:dyDescent="0.2">
      <c r="C903" s="10"/>
      <c r="D903" s="10"/>
      <c r="L903"/>
      <c r="N903"/>
      <c r="P903"/>
    </row>
    <row r="904" spans="3:16" x14ac:dyDescent="0.2">
      <c r="C904" s="10"/>
      <c r="D904" s="10"/>
      <c r="L904"/>
      <c r="N904"/>
      <c r="P904"/>
    </row>
    <row r="905" spans="3:16" x14ac:dyDescent="0.2">
      <c r="C905" s="10"/>
      <c r="D905" s="10"/>
      <c r="L905"/>
      <c r="N905"/>
      <c r="P905"/>
    </row>
    <row r="906" spans="3:16" x14ac:dyDescent="0.2">
      <c r="C906" s="10"/>
      <c r="D906" s="10"/>
      <c r="L906"/>
      <c r="N906"/>
      <c r="P906"/>
    </row>
    <row r="907" spans="3:16" x14ac:dyDescent="0.2">
      <c r="C907" s="10"/>
      <c r="D907" s="10"/>
      <c r="L907"/>
      <c r="N907"/>
      <c r="P907"/>
    </row>
    <row r="908" spans="3:16" x14ac:dyDescent="0.2">
      <c r="C908" s="10"/>
      <c r="D908" s="10"/>
      <c r="L908"/>
      <c r="N908"/>
      <c r="P908"/>
    </row>
    <row r="909" spans="3:16" x14ac:dyDescent="0.2">
      <c r="C909" s="10"/>
      <c r="D909" s="10"/>
      <c r="L909"/>
      <c r="N909"/>
      <c r="P909"/>
    </row>
    <row r="910" spans="3:16" x14ac:dyDescent="0.2">
      <c r="C910" s="10"/>
      <c r="D910" s="10"/>
      <c r="L910"/>
      <c r="N910"/>
      <c r="P910"/>
    </row>
    <row r="911" spans="3:16" x14ac:dyDescent="0.2">
      <c r="C911" s="10"/>
      <c r="D911" s="10"/>
      <c r="L911"/>
      <c r="N911"/>
      <c r="P911"/>
    </row>
    <row r="912" spans="3:16" x14ac:dyDescent="0.2">
      <c r="C912" s="10"/>
      <c r="D912" s="10"/>
      <c r="L912"/>
      <c r="N912"/>
      <c r="P912"/>
    </row>
    <row r="913" spans="3:16" x14ac:dyDescent="0.2">
      <c r="C913" s="10"/>
      <c r="D913" s="10"/>
      <c r="L913"/>
      <c r="N913"/>
      <c r="P913"/>
    </row>
    <row r="914" spans="3:16" x14ac:dyDescent="0.2">
      <c r="C914" s="10"/>
      <c r="D914" s="10"/>
      <c r="L914"/>
      <c r="N914"/>
      <c r="P914"/>
    </row>
    <row r="915" spans="3:16" x14ac:dyDescent="0.2">
      <c r="C915" s="10"/>
      <c r="D915" s="10"/>
      <c r="L915"/>
      <c r="N915"/>
      <c r="P915"/>
    </row>
    <row r="916" spans="3:16" x14ac:dyDescent="0.2">
      <c r="C916" s="10"/>
      <c r="D916" s="10"/>
      <c r="L916"/>
      <c r="N916"/>
      <c r="P916"/>
    </row>
    <row r="917" spans="3:16" x14ac:dyDescent="0.2">
      <c r="C917" s="10"/>
      <c r="D917" s="10"/>
      <c r="L917"/>
      <c r="N917"/>
      <c r="P917"/>
    </row>
    <row r="918" spans="3:16" x14ac:dyDescent="0.2">
      <c r="C918" s="10"/>
      <c r="D918" s="10"/>
      <c r="L918"/>
      <c r="N918"/>
      <c r="P918"/>
    </row>
    <row r="919" spans="3:16" x14ac:dyDescent="0.2">
      <c r="C919" s="10"/>
      <c r="D919" s="10"/>
      <c r="L919"/>
      <c r="N919"/>
      <c r="P919"/>
    </row>
    <row r="920" spans="3:16" x14ac:dyDescent="0.2">
      <c r="C920" s="10"/>
      <c r="D920" s="10"/>
      <c r="L920"/>
      <c r="N920"/>
      <c r="P920"/>
    </row>
    <row r="921" spans="3:16" x14ac:dyDescent="0.2">
      <c r="C921" s="10"/>
      <c r="D921" s="10"/>
      <c r="L921"/>
      <c r="N921"/>
      <c r="P921"/>
    </row>
    <row r="922" spans="3:16" x14ac:dyDescent="0.2">
      <c r="C922" s="10"/>
      <c r="D922" s="10"/>
      <c r="L922"/>
      <c r="N922"/>
      <c r="P922"/>
    </row>
    <row r="923" spans="3:16" x14ac:dyDescent="0.2">
      <c r="C923" s="10"/>
      <c r="D923" s="10"/>
      <c r="L923"/>
      <c r="N923"/>
      <c r="P923"/>
    </row>
    <row r="924" spans="3:16" x14ac:dyDescent="0.2">
      <c r="C924" s="10"/>
      <c r="D924" s="10"/>
      <c r="L924"/>
      <c r="N924"/>
      <c r="P924"/>
    </row>
    <row r="925" spans="3:16" x14ac:dyDescent="0.2">
      <c r="C925" s="10"/>
      <c r="D925" s="10"/>
      <c r="L925"/>
      <c r="N925"/>
      <c r="P925"/>
    </row>
    <row r="926" spans="3:16" x14ac:dyDescent="0.2">
      <c r="C926" s="10"/>
      <c r="D926" s="10"/>
      <c r="L926"/>
      <c r="N926"/>
      <c r="P926"/>
    </row>
    <row r="927" spans="3:16" x14ac:dyDescent="0.2">
      <c r="C927" s="10"/>
      <c r="D927" s="10"/>
      <c r="L927"/>
      <c r="N927"/>
      <c r="P927"/>
    </row>
    <row r="928" spans="3:16" x14ac:dyDescent="0.2">
      <c r="C928" s="10"/>
      <c r="D928" s="10"/>
      <c r="L928"/>
      <c r="N928"/>
      <c r="P928"/>
    </row>
    <row r="929" spans="3:16" x14ac:dyDescent="0.2">
      <c r="C929" s="10"/>
      <c r="D929" s="10"/>
      <c r="L929"/>
      <c r="N929"/>
      <c r="P929"/>
    </row>
    <row r="930" spans="3:16" x14ac:dyDescent="0.2">
      <c r="C930" s="10"/>
      <c r="D930" s="10"/>
      <c r="L930"/>
      <c r="N930"/>
      <c r="P930"/>
    </row>
    <row r="931" spans="3:16" x14ac:dyDescent="0.2">
      <c r="C931" s="10"/>
      <c r="D931" s="10"/>
      <c r="L931"/>
      <c r="N931"/>
      <c r="P931"/>
    </row>
    <row r="932" spans="3:16" x14ac:dyDescent="0.2">
      <c r="C932" s="10"/>
      <c r="D932" s="10"/>
      <c r="L932"/>
      <c r="N932"/>
      <c r="P932"/>
    </row>
    <row r="933" spans="3:16" x14ac:dyDescent="0.2">
      <c r="C933" s="10"/>
      <c r="D933" s="10"/>
      <c r="L933"/>
      <c r="N933"/>
      <c r="P933"/>
    </row>
    <row r="934" spans="3:16" x14ac:dyDescent="0.2">
      <c r="C934" s="10"/>
      <c r="D934" s="10"/>
      <c r="L934"/>
      <c r="N934"/>
      <c r="P934"/>
    </row>
    <row r="935" spans="3:16" x14ac:dyDescent="0.2">
      <c r="C935" s="10"/>
      <c r="D935" s="10"/>
      <c r="L935"/>
      <c r="N935"/>
      <c r="P935"/>
    </row>
    <row r="936" spans="3:16" x14ac:dyDescent="0.2">
      <c r="C936" s="10"/>
      <c r="D936" s="10"/>
      <c r="L936"/>
      <c r="N936"/>
      <c r="P936"/>
    </row>
    <row r="937" spans="3:16" x14ac:dyDescent="0.2">
      <c r="C937" s="10"/>
      <c r="D937" s="10"/>
      <c r="L937"/>
      <c r="N937"/>
      <c r="P937"/>
    </row>
    <row r="938" spans="3:16" x14ac:dyDescent="0.2">
      <c r="C938" s="10"/>
      <c r="D938" s="10"/>
      <c r="L938"/>
      <c r="N938"/>
      <c r="P938"/>
    </row>
    <row r="939" spans="3:16" x14ac:dyDescent="0.2">
      <c r="C939" s="10"/>
      <c r="D939" s="10"/>
      <c r="L939"/>
      <c r="N939"/>
      <c r="P939"/>
    </row>
    <row r="940" spans="3:16" x14ac:dyDescent="0.2">
      <c r="C940" s="10"/>
      <c r="D940" s="10"/>
      <c r="L940"/>
      <c r="N940"/>
      <c r="P940"/>
    </row>
    <row r="941" spans="3:16" x14ac:dyDescent="0.2">
      <c r="C941" s="10"/>
      <c r="D941" s="10"/>
      <c r="L941"/>
      <c r="N941"/>
      <c r="P941"/>
    </row>
    <row r="942" spans="3:16" x14ac:dyDescent="0.2">
      <c r="C942" s="10"/>
      <c r="D942" s="10"/>
      <c r="L942"/>
      <c r="N942"/>
      <c r="P942"/>
    </row>
    <row r="943" spans="3:16" x14ac:dyDescent="0.2">
      <c r="C943" s="10"/>
      <c r="D943" s="10"/>
      <c r="L943"/>
      <c r="N943"/>
      <c r="P943"/>
    </row>
    <row r="944" spans="3:16" x14ac:dyDescent="0.2">
      <c r="C944" s="10"/>
      <c r="D944" s="10"/>
      <c r="L944"/>
      <c r="N944"/>
      <c r="P944"/>
    </row>
    <row r="945" spans="3:16" x14ac:dyDescent="0.2">
      <c r="C945" s="10"/>
      <c r="D945" s="10"/>
      <c r="L945"/>
      <c r="N945"/>
      <c r="P945"/>
    </row>
    <row r="946" spans="3:16" x14ac:dyDescent="0.2">
      <c r="C946" s="10"/>
      <c r="D946" s="10"/>
      <c r="L946"/>
      <c r="N946"/>
      <c r="P946"/>
    </row>
    <row r="947" spans="3:16" x14ac:dyDescent="0.2">
      <c r="C947" s="10"/>
      <c r="D947" s="10"/>
      <c r="L947"/>
      <c r="N947"/>
      <c r="P947"/>
    </row>
    <row r="948" spans="3:16" x14ac:dyDescent="0.2">
      <c r="C948" s="10"/>
      <c r="D948" s="10"/>
      <c r="L948"/>
      <c r="N948"/>
      <c r="P948"/>
    </row>
    <row r="949" spans="3:16" x14ac:dyDescent="0.2">
      <c r="C949" s="10"/>
      <c r="D949" s="10"/>
      <c r="L949"/>
      <c r="N949"/>
      <c r="P949"/>
    </row>
    <row r="950" spans="3:16" x14ac:dyDescent="0.2">
      <c r="C950" s="10"/>
      <c r="D950" s="10"/>
      <c r="L950"/>
      <c r="N950"/>
      <c r="P950"/>
    </row>
    <row r="951" spans="3:16" x14ac:dyDescent="0.2">
      <c r="C951" s="10"/>
      <c r="D951" s="10"/>
      <c r="L951"/>
      <c r="N951"/>
      <c r="P951"/>
    </row>
    <row r="952" spans="3:16" x14ac:dyDescent="0.2">
      <c r="C952" s="10"/>
      <c r="D952" s="10"/>
      <c r="L952"/>
      <c r="N952"/>
      <c r="P952"/>
    </row>
    <row r="953" spans="3:16" x14ac:dyDescent="0.2">
      <c r="C953" s="10"/>
      <c r="D953" s="10"/>
      <c r="L953"/>
      <c r="N953"/>
      <c r="P953"/>
    </row>
    <row r="954" spans="3:16" x14ac:dyDescent="0.2">
      <c r="C954" s="10"/>
      <c r="D954" s="10"/>
      <c r="L954"/>
      <c r="N954"/>
      <c r="P954"/>
    </row>
    <row r="955" spans="3:16" x14ac:dyDescent="0.2">
      <c r="C955" s="10"/>
      <c r="D955" s="10"/>
      <c r="L955"/>
      <c r="N955"/>
      <c r="P955"/>
    </row>
    <row r="956" spans="3:16" x14ac:dyDescent="0.2">
      <c r="C956" s="10"/>
      <c r="D956" s="10"/>
      <c r="L956"/>
      <c r="N956"/>
      <c r="P956"/>
    </row>
    <row r="957" spans="3:16" x14ac:dyDescent="0.2">
      <c r="C957" s="10"/>
      <c r="D957" s="10"/>
      <c r="L957"/>
      <c r="N957"/>
      <c r="P957"/>
    </row>
    <row r="958" spans="3:16" x14ac:dyDescent="0.2">
      <c r="C958" s="10"/>
      <c r="D958" s="10"/>
      <c r="L958"/>
      <c r="N958"/>
      <c r="P958"/>
    </row>
    <row r="959" spans="3:16" x14ac:dyDescent="0.2">
      <c r="C959" s="10"/>
      <c r="D959" s="10"/>
      <c r="L959"/>
      <c r="N959"/>
      <c r="P959"/>
    </row>
    <row r="960" spans="3:16" x14ac:dyDescent="0.2">
      <c r="C960" s="10"/>
      <c r="D960" s="10"/>
      <c r="L960"/>
      <c r="N960"/>
      <c r="P960"/>
    </row>
    <row r="961" spans="3:16" x14ac:dyDescent="0.2">
      <c r="C961" s="10"/>
      <c r="D961" s="10"/>
      <c r="L961"/>
      <c r="N961"/>
      <c r="P961"/>
    </row>
    <row r="962" spans="3:16" x14ac:dyDescent="0.2">
      <c r="C962" s="10"/>
      <c r="D962" s="10"/>
      <c r="L962"/>
      <c r="N962"/>
      <c r="P962"/>
    </row>
    <row r="963" spans="3:16" x14ac:dyDescent="0.2">
      <c r="C963" s="10"/>
      <c r="D963" s="10"/>
      <c r="L963"/>
      <c r="N963"/>
      <c r="P963"/>
    </row>
    <row r="964" spans="3:16" x14ac:dyDescent="0.2">
      <c r="C964" s="10"/>
      <c r="D964" s="10"/>
      <c r="L964"/>
      <c r="N964"/>
      <c r="P964"/>
    </row>
    <row r="965" spans="3:16" x14ac:dyDescent="0.2">
      <c r="C965" s="10"/>
      <c r="D965" s="10"/>
      <c r="L965"/>
      <c r="N965"/>
      <c r="P965"/>
    </row>
    <row r="966" spans="3:16" x14ac:dyDescent="0.2">
      <c r="C966" s="10"/>
      <c r="D966" s="10"/>
      <c r="L966"/>
      <c r="N966"/>
      <c r="P966"/>
    </row>
    <row r="967" spans="3:16" x14ac:dyDescent="0.2">
      <c r="C967" s="10"/>
      <c r="D967" s="10"/>
      <c r="L967"/>
      <c r="N967"/>
      <c r="P967"/>
    </row>
    <row r="968" spans="3:16" x14ac:dyDescent="0.2">
      <c r="C968" s="10"/>
      <c r="D968" s="10"/>
      <c r="L968"/>
      <c r="N968"/>
      <c r="P968"/>
    </row>
    <row r="969" spans="3:16" x14ac:dyDescent="0.2">
      <c r="C969" s="10"/>
      <c r="D969" s="10"/>
      <c r="L969"/>
      <c r="N969"/>
      <c r="P969"/>
    </row>
    <row r="970" spans="3:16" x14ac:dyDescent="0.2">
      <c r="C970" s="10"/>
      <c r="D970" s="10"/>
      <c r="L970"/>
      <c r="N970"/>
      <c r="P970"/>
    </row>
    <row r="971" spans="3:16" x14ac:dyDescent="0.2">
      <c r="C971" s="10"/>
      <c r="D971" s="10"/>
      <c r="L971"/>
      <c r="N971"/>
      <c r="P971"/>
    </row>
    <row r="972" spans="3:16" x14ac:dyDescent="0.2">
      <c r="C972" s="10"/>
      <c r="D972" s="10"/>
      <c r="L972"/>
      <c r="N972"/>
      <c r="P972"/>
    </row>
    <row r="973" spans="3:16" x14ac:dyDescent="0.2">
      <c r="C973" s="10"/>
      <c r="D973" s="10"/>
      <c r="L973"/>
      <c r="N973"/>
      <c r="P973"/>
    </row>
    <row r="974" spans="3:16" x14ac:dyDescent="0.2">
      <c r="C974" s="10"/>
      <c r="D974" s="10"/>
      <c r="L974"/>
      <c r="N974"/>
      <c r="P974"/>
    </row>
    <row r="975" spans="3:16" x14ac:dyDescent="0.2">
      <c r="C975" s="10"/>
      <c r="D975" s="10"/>
      <c r="L975"/>
      <c r="N975"/>
      <c r="P975"/>
    </row>
    <row r="976" spans="3:16" x14ac:dyDescent="0.2">
      <c r="C976" s="10"/>
      <c r="D976" s="10"/>
      <c r="L976"/>
      <c r="N976"/>
      <c r="P976"/>
    </row>
    <row r="977" spans="3:16" x14ac:dyDescent="0.2">
      <c r="C977" s="10"/>
      <c r="D977" s="10"/>
      <c r="L977"/>
      <c r="N977"/>
      <c r="P977"/>
    </row>
    <row r="978" spans="3:16" x14ac:dyDescent="0.2">
      <c r="C978" s="10"/>
      <c r="D978" s="10"/>
      <c r="L978"/>
      <c r="N978"/>
      <c r="P978"/>
    </row>
    <row r="979" spans="3:16" x14ac:dyDescent="0.2">
      <c r="C979" s="10"/>
      <c r="D979" s="10"/>
      <c r="L979"/>
      <c r="N979"/>
      <c r="P979"/>
    </row>
    <row r="980" spans="3:16" x14ac:dyDescent="0.2">
      <c r="C980" s="10"/>
      <c r="D980" s="10"/>
      <c r="L980"/>
      <c r="N980"/>
      <c r="P980"/>
    </row>
    <row r="981" spans="3:16" x14ac:dyDescent="0.2">
      <c r="C981" s="10"/>
      <c r="D981" s="10"/>
      <c r="L981"/>
      <c r="N981"/>
      <c r="P981"/>
    </row>
    <row r="982" spans="3:16" x14ac:dyDescent="0.2">
      <c r="C982" s="10"/>
      <c r="D982" s="10"/>
      <c r="L982"/>
      <c r="N982"/>
      <c r="P982"/>
    </row>
    <row r="983" spans="3:16" x14ac:dyDescent="0.2">
      <c r="C983" s="10"/>
      <c r="D983" s="10"/>
      <c r="L983"/>
      <c r="N983"/>
      <c r="P983"/>
    </row>
    <row r="984" spans="3:16" x14ac:dyDescent="0.2">
      <c r="C984" s="10"/>
      <c r="D984" s="10"/>
      <c r="L984"/>
      <c r="N984"/>
      <c r="P984"/>
    </row>
    <row r="985" spans="3:16" x14ac:dyDescent="0.2">
      <c r="C985" s="10"/>
      <c r="D985" s="10"/>
      <c r="L985"/>
      <c r="N985"/>
      <c r="P985"/>
    </row>
    <row r="986" spans="3:16" x14ac:dyDescent="0.2">
      <c r="C986" s="10"/>
      <c r="D986" s="10"/>
      <c r="L986"/>
      <c r="N986"/>
      <c r="P986"/>
    </row>
    <row r="987" spans="3:16" x14ac:dyDescent="0.2">
      <c r="C987" s="10"/>
      <c r="D987" s="10"/>
      <c r="L987"/>
      <c r="N987"/>
      <c r="P987"/>
    </row>
    <row r="988" spans="3:16" x14ac:dyDescent="0.2">
      <c r="C988" s="10"/>
      <c r="D988" s="10"/>
      <c r="L988"/>
      <c r="N988"/>
      <c r="P988"/>
    </row>
    <row r="989" spans="3:16" x14ac:dyDescent="0.2">
      <c r="C989" s="10"/>
      <c r="D989" s="10"/>
      <c r="L989"/>
      <c r="N989"/>
      <c r="P989"/>
    </row>
    <row r="990" spans="3:16" x14ac:dyDescent="0.2">
      <c r="C990" s="10"/>
      <c r="D990" s="10"/>
      <c r="L990"/>
      <c r="N990"/>
      <c r="P990"/>
    </row>
    <row r="991" spans="3:16" x14ac:dyDescent="0.2">
      <c r="C991" s="10"/>
      <c r="D991" s="10"/>
      <c r="L991"/>
      <c r="N991"/>
      <c r="P991"/>
    </row>
    <row r="992" spans="3:16" x14ac:dyDescent="0.2">
      <c r="C992" s="10"/>
      <c r="D992" s="10"/>
      <c r="L992"/>
      <c r="N992"/>
      <c r="P992"/>
    </row>
    <row r="993" spans="3:16" x14ac:dyDescent="0.2">
      <c r="C993" s="10"/>
      <c r="D993" s="10"/>
      <c r="L993"/>
      <c r="N993"/>
      <c r="P993"/>
    </row>
    <row r="994" spans="3:16" x14ac:dyDescent="0.2">
      <c r="C994" s="10"/>
      <c r="D994" s="10"/>
      <c r="L994"/>
      <c r="N994"/>
      <c r="P994"/>
    </row>
    <row r="995" spans="3:16" x14ac:dyDescent="0.2">
      <c r="C995" s="10"/>
      <c r="D995" s="10"/>
      <c r="L995"/>
      <c r="N995"/>
      <c r="P995"/>
    </row>
    <row r="996" spans="3:16" x14ac:dyDescent="0.2">
      <c r="C996" s="10"/>
      <c r="D996" s="10"/>
      <c r="L996"/>
      <c r="N996"/>
      <c r="P996"/>
    </row>
    <row r="997" spans="3:16" x14ac:dyDescent="0.2">
      <c r="C997" s="10"/>
      <c r="D997" s="10"/>
      <c r="L997"/>
      <c r="N997"/>
      <c r="P997"/>
    </row>
    <row r="998" spans="3:16" x14ac:dyDescent="0.2">
      <c r="C998" s="10"/>
      <c r="D998" s="10"/>
      <c r="L998"/>
      <c r="N998"/>
      <c r="P998"/>
    </row>
    <row r="999" spans="3:16" x14ac:dyDescent="0.2">
      <c r="C999" s="10"/>
      <c r="D999" s="10"/>
      <c r="L999"/>
      <c r="N999"/>
      <c r="P999"/>
    </row>
  </sheetData>
  <conditionalFormatting sqref="G3:G9">
    <cfRule type="duplicateValues" dxfId="6" priority="6"/>
    <cfRule type="duplicateValues" dxfId="5" priority="7"/>
  </conditionalFormatting>
  <conditionalFormatting sqref="AK5:AK3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Z27:AG50"/>
  <sheetViews>
    <sheetView workbookViewId="0">
      <selection activeCell="C12" sqref="C12"/>
    </sheetView>
  </sheetViews>
  <sheetFormatPr defaultColWidth="12.42578125" defaultRowHeight="15.75" customHeight="1" x14ac:dyDescent="0.2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7" spans="26:33" ht="15.75" customHeight="1" thickBot="1" x14ac:dyDescent="0.25"/>
    <row r="28" spans="26:33" ht="15.75" customHeight="1" x14ac:dyDescent="0.2">
      <c r="Z28" s="1"/>
      <c r="AC28" s="3"/>
      <c r="AE28" s="6"/>
      <c r="AG28" s="9"/>
    </row>
    <row r="29" spans="26:33" ht="15.75" customHeight="1" x14ac:dyDescent="0.2">
      <c r="Z29" s="2"/>
      <c r="AA29" s="1"/>
      <c r="AC29" s="4"/>
      <c r="AE29" s="7"/>
      <c r="AG29" s="9"/>
    </row>
    <row r="30" spans="26:33" ht="15.75" customHeight="1" x14ac:dyDescent="0.2">
      <c r="AA30" s="1"/>
      <c r="AC30" s="4"/>
      <c r="AE30" s="7"/>
      <c r="AG30" s="9"/>
    </row>
    <row r="31" spans="26:33" ht="15.75" customHeight="1" x14ac:dyDescent="0.2">
      <c r="AA31" s="1"/>
      <c r="AC31" s="4"/>
      <c r="AE31" s="7"/>
      <c r="AG31" s="9"/>
    </row>
    <row r="32" spans="26:33" ht="15.75" customHeight="1" x14ac:dyDescent="0.2">
      <c r="AA32" s="1"/>
      <c r="AC32" s="4"/>
      <c r="AE32" s="7"/>
      <c r="AG32" s="9"/>
    </row>
    <row r="33" spans="27:33" ht="15.75" customHeight="1" x14ac:dyDescent="0.2">
      <c r="AA33" s="1"/>
      <c r="AC33" s="4"/>
      <c r="AE33" s="7"/>
      <c r="AG33" s="9"/>
    </row>
    <row r="34" spans="27:33" ht="15.75" customHeight="1" thickBot="1" x14ac:dyDescent="0.25">
      <c r="AC34" s="4"/>
      <c r="AE34" s="8"/>
      <c r="AG34" s="9"/>
    </row>
    <row r="35" spans="27:33" ht="15.75" customHeight="1" x14ac:dyDescent="0.2">
      <c r="AC35" s="4"/>
      <c r="AG35" s="9"/>
    </row>
    <row r="36" spans="27:33" ht="15.75" customHeight="1" x14ac:dyDescent="0.2">
      <c r="AC36" s="4"/>
      <c r="AG36" s="9"/>
    </row>
    <row r="37" spans="27:33" ht="15.75" customHeight="1" x14ac:dyDescent="0.2">
      <c r="AC37" s="4"/>
      <c r="AG37" s="9"/>
    </row>
    <row r="38" spans="27:33" ht="15.75" customHeight="1" x14ac:dyDescent="0.2">
      <c r="AC38" s="4"/>
      <c r="AG38" s="9"/>
    </row>
    <row r="39" spans="27:33" ht="15.75" customHeight="1" x14ac:dyDescent="0.2">
      <c r="AC39" s="4"/>
    </row>
    <row r="40" spans="27:33" ht="15.75" customHeight="1" x14ac:dyDescent="0.2">
      <c r="AC40" s="4"/>
    </row>
    <row r="41" spans="27:33" ht="15.75" customHeight="1" x14ac:dyDescent="0.2">
      <c r="AC41" s="4"/>
    </row>
    <row r="42" spans="27:33" ht="15.75" customHeight="1" x14ac:dyDescent="0.2">
      <c r="AC42" s="4"/>
    </row>
    <row r="43" spans="27:33" ht="15.75" customHeight="1" x14ac:dyDescent="0.2">
      <c r="AC43" s="4"/>
    </row>
    <row r="44" spans="27:33" ht="15.75" customHeight="1" x14ac:dyDescent="0.2">
      <c r="AC44" s="4"/>
    </row>
    <row r="45" spans="27:33" ht="15.75" customHeight="1" x14ac:dyDescent="0.2">
      <c r="AC45" s="4"/>
    </row>
    <row r="46" spans="27:33" ht="15.75" customHeight="1" x14ac:dyDescent="0.2">
      <c r="AC46" s="4"/>
    </row>
    <row r="47" spans="27:33" ht="15.75" customHeight="1" x14ac:dyDescent="0.2">
      <c r="AC47" s="4"/>
    </row>
    <row r="48" spans="27:33" ht="15.75" customHeight="1" x14ac:dyDescent="0.2">
      <c r="AC48" s="4"/>
    </row>
    <row r="49" spans="29:29" ht="15.75" customHeight="1" x14ac:dyDescent="0.2">
      <c r="AC49" s="4"/>
    </row>
    <row r="50" spans="29:29" ht="15.75" customHeight="1" thickBot="1" x14ac:dyDescent="0.25">
      <c r="AC50" s="5"/>
    </row>
  </sheetData>
  <conditionalFormatting sqref="AC28:AC50">
    <cfRule type="duplicateValues" dxfId="3" priority="3"/>
    <cfRule type="duplicateValues" dxfId="2" priority="4"/>
  </conditionalFormatting>
  <conditionalFormatting sqref="AE28:AE3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ФСД НСИ.Месторождения</vt:lpstr>
      <vt:lpstr>Справочники</vt:lpstr>
      <vt:lpstr>Лист3</vt:lpstr>
      <vt:lpstr>'ФСД НСИ.Месторождения'!Область_печати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Глухов Юрий Олегович</dc:creator>
  <cp:lastModifiedBy>Данила Чепурко</cp:lastModifiedBy>
  <dcterms:created xsi:type="dcterms:W3CDTF">2024-01-29T14:02:09Z</dcterms:created>
  <dcterms:modified xsi:type="dcterms:W3CDTF">2025-03-06T07:45:30Z</dcterms:modified>
</cp:coreProperties>
</file>
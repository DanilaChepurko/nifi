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lads\Desktop\Учеба и Работа\Работа\Вниигаз\Модуль_экономика\JavaGovna\danila\fsd-fluid-types-parser\src\test\resources\"/>
    </mc:Choice>
  </mc:AlternateContent>
  <xr:revisionPtr revIDLastSave="0" documentId="13_ncr:1_{701C206F-3462-45AC-A3BE-32BF7B9D2F17}" xr6:coauthVersionLast="47" xr6:coauthVersionMax="47" xr10:uidLastSave="{00000000-0000-0000-0000-000000000000}"/>
  <bookViews>
    <workbookView xWindow="3420" yWindow="1780" windowWidth="14780" windowHeight="13500" xr2:uid="{00000000-000D-0000-FFFF-FFFF00000000}"/>
  </bookViews>
  <sheets>
    <sheet name="Лист1" sheetId="1" r:id="rId1"/>
    <sheet name="Справочник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3" i="2"/>
</calcChain>
</file>

<file path=xl/sharedStrings.xml><?xml version="1.0" encoding="utf-8"?>
<sst xmlns="http://schemas.openxmlformats.org/spreadsheetml/2006/main" count="32" uniqueCount="24">
  <si>
    <t>Год заполнения</t>
  </si>
  <si>
    <t xml:space="preserve">ГДО </t>
  </si>
  <si>
    <t>Месторождение</t>
  </si>
  <si>
    <t>Медвежье.Неоком</t>
  </si>
  <si>
    <t>Медвежье.Ачимовский</t>
  </si>
  <si>
    <t>ООО "Газпром добыча Надым"</t>
  </si>
  <si>
    <t>Полное наименование геологического горизонта (месторождение + геологический горизонт)</t>
  </si>
  <si>
    <t>Медвежье</t>
  </si>
  <si>
    <t>Полное наименование эксплуатационного объекта</t>
  </si>
  <si>
    <t>ГДО</t>
  </si>
  <si>
    <t>газ сухой</t>
  </si>
  <si>
    <t>газ сепарации</t>
  </si>
  <si>
    <t>газ попутный</t>
  </si>
  <si>
    <t>СК</t>
  </si>
  <si>
    <t>НК</t>
  </si>
  <si>
    <t>нефть</t>
  </si>
  <si>
    <t>Товарная продукция 
(вид флюида на коммерческом узле)</t>
  </si>
  <si>
    <t>Форма сбора данных Вид флюида</t>
  </si>
  <si>
    <t>Вид флюида</t>
  </si>
  <si>
    <t>Медвежье.Сеноман</t>
  </si>
  <si>
    <t>стабильный конденсат (СК)</t>
  </si>
  <si>
    <t>нестабильный конденсат (СК)</t>
  </si>
  <si>
    <t>ШФЛУ</t>
  </si>
  <si>
    <t>СПБТ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</si>
</sst>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right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tabSelected="1" view="pageBreakPreview" zoomScaleNormal="100" zoomScaleSheetLayoutView="100" workbookViewId="0">
      <selection activeCell="B14" sqref="B14"/>
    </sheetView>
  </sheetViews>
  <sheetFormatPr defaultRowHeight="14.5" x14ac:dyDescent="0.35"/>
  <cols>
    <col min="1" max="1" width="55.1796875" customWidth="1"/>
    <col min="2" max="2" width="45.453125" customWidth="1"/>
    <col min="3" max="3" width="9.1796875" customWidth="1"/>
  </cols>
  <sheetData>
    <row r="2" spans="1:2" x14ac:dyDescent="0.35">
      <c r="A2" s="1" t="s">
        <v>17</v>
      </c>
    </row>
    <row r="4" spans="1:2" x14ac:dyDescent="0.35">
      <c r="A4" s="2" t="s">
        <v>0</v>
      </c>
      <c r="B4" s="3">
        <v>2025</v>
      </c>
    </row>
    <row r="5" spans="1:2" x14ac:dyDescent="0.35">
      <c r="A5" s="2" t="s">
        <v>1</v>
      </c>
      <c r="B5" s="3" t="s">
        <v>5</v>
      </c>
    </row>
    <row r="6" spans="1:2" ht="32.5" customHeight="1" x14ac:dyDescent="0.35">
      <c r="A6" s="2" t="s">
        <v>2</v>
      </c>
      <c r="B6" s="3" t="s">
        <v>7</v>
      </c>
    </row>
    <row r="7" spans="1:2" x14ac:dyDescent="0.35">
      <c r="A7" s="6"/>
      <c r="B7" s="7"/>
    </row>
    <row r="8" spans="1:2" ht="48" customHeight="1" x14ac:dyDescent="0.35">
      <c r="A8" s="4" t="s">
        <v>6</v>
      </c>
      <c r="B8" s="4" t="s">
        <v>16</v>
      </c>
    </row>
    <row r="9" spans="1:2" x14ac:dyDescent="0.35">
      <c r="A9" s="5" t="s">
        <v>3</v>
      </c>
      <c r="B9" s="5" t="s">
        <v>11</v>
      </c>
    </row>
    <row r="10" spans="1:2" x14ac:dyDescent="0.35">
      <c r="A10" s="5" t="s">
        <v>3</v>
      </c>
      <c r="B10" s="5" t="s">
        <v>14</v>
      </c>
    </row>
    <row r="11" spans="1:2" x14ac:dyDescent="0.35">
      <c r="A11" s="5" t="s">
        <v>4</v>
      </c>
      <c r="B11" s="5" t="s">
        <v>11</v>
      </c>
    </row>
    <row r="12" spans="1:2" x14ac:dyDescent="0.35">
      <c r="A12" s="5" t="s">
        <v>4</v>
      </c>
      <c r="B12" s="5" t="s">
        <v>13</v>
      </c>
    </row>
    <row r="13" spans="1:2" x14ac:dyDescent="0.35">
      <c r="A13" s="5" t="s">
        <v>19</v>
      </c>
      <c r="B13" s="5" t="s">
        <v>10</v>
      </c>
    </row>
    <row r="14" spans="1:2" x14ac:dyDescent="0.35">
      <c r="A14" s="5"/>
      <c r="B14" s="5"/>
    </row>
    <row r="15" spans="1:2" x14ac:dyDescent="0.35">
      <c r="A15" s="5"/>
      <c r="B15" s="5"/>
    </row>
    <row r="16" spans="1:2" x14ac:dyDescent="0.35">
      <c r="A16" s="5"/>
      <c r="B16" s="5"/>
    </row>
    <row r="17" spans="1:2" x14ac:dyDescent="0.35">
      <c r="A17" s="5"/>
      <c r="B17" s="5"/>
    </row>
    <row r="18" spans="1:2" x14ac:dyDescent="0.35">
      <c r="A18" s="5"/>
      <c r="B18" s="5"/>
    </row>
    <row r="19" spans="1:2" x14ac:dyDescent="0.35">
      <c r="A19" s="5"/>
      <c r="B19" s="5"/>
    </row>
    <row r="20" spans="1:2" x14ac:dyDescent="0.35">
      <c r="A20" s="5"/>
      <c r="B20" s="5"/>
    </row>
    <row r="21" spans="1:2" x14ac:dyDescent="0.35">
      <c r="A21" s="5"/>
      <c r="B21" s="5"/>
    </row>
    <row r="22" spans="1:2" x14ac:dyDescent="0.35">
      <c r="A22" s="5"/>
      <c r="B22" s="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Справочник!$I$3:$I$10</xm:f>
          </x14:formula1>
          <xm:sqref>B9:B22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0"/>
  <sheetViews>
    <sheetView topLeftCell="A2" workbookViewId="0">
      <selection activeCell="B31" sqref="B30:B31"/>
    </sheetView>
  </sheetViews>
  <sheetFormatPr defaultRowHeight="14.5" x14ac:dyDescent="0.35"/>
  <cols>
    <col min="2" max="2" width="37" customWidth="1"/>
    <col min="4" max="4" width="36" customWidth="1"/>
    <col min="6" max="6" width="54.54296875" customWidth="1"/>
    <col min="9" max="9" width="37" customWidth="1"/>
  </cols>
  <sheetData>
    <row r="2" spans="2:10" x14ac:dyDescent="0.35">
      <c r="B2" s="4" t="s">
        <v>9</v>
      </c>
      <c r="D2" s="4" t="s">
        <v>2</v>
      </c>
      <c r="F2" s="4" t="s">
        <v>8</v>
      </c>
      <c r="I2" s="4" t="s">
        <v>18</v>
      </c>
    </row>
    <row r="3" spans="2:10" x14ac:dyDescent="0.35">
      <c r="H3">
        <f>LEN(I3)</f>
        <v>9</v>
      </c>
      <c r="I3" t="s">
        <v>10</v>
      </c>
    </row>
    <row r="4" spans="2:10" x14ac:dyDescent="0.35">
      <c r="H4">
        <f t="shared" ref="H4:H10" si="0">LEN(I4)</f>
        <v>13</v>
      </c>
      <c r="I4" t="s">
        <v>11</v>
      </c>
    </row>
    <row r="5" spans="2:10" x14ac:dyDescent="0.35">
      <c r="H5">
        <f t="shared" si="0"/>
        <v>12</v>
      </c>
      <c r="I5" t="s">
        <v>12</v>
      </c>
    </row>
    <row r="6" spans="2:10" x14ac:dyDescent="0.35">
      <c r="H6">
        <f t="shared" si="0"/>
        <v>2</v>
      </c>
      <c r="I6" t="s">
        <v>13</v>
      </c>
      <c r="J6" t="s">
        <v>20</v>
      </c>
    </row>
    <row r="7" spans="2:10" x14ac:dyDescent="0.35">
      <c r="H7">
        <f t="shared" si="0"/>
        <v>2</v>
      </c>
      <c r="I7" t="s">
        <v>14</v>
      </c>
      <c r="J7" t="s">
        <v>21</v>
      </c>
    </row>
    <row r="8" spans="2:10" x14ac:dyDescent="0.35">
      <c r="H8">
        <f t="shared" si="0"/>
        <v>5</v>
      </c>
      <c r="I8" t="s">
        <v>15</v>
      </c>
    </row>
    <row r="9" spans="2:10" x14ac:dyDescent="0.35">
      <c r="H9">
        <f t="shared" si="0"/>
        <v>4</v>
      </c>
      <c r="I9" t="s">
        <v>22</v>
      </c>
    </row>
    <row r="10" spans="2:10" x14ac:dyDescent="0.35">
      <c r="H10">
        <f t="shared" si="0"/>
        <v>4</v>
      </c>
      <c r="I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Справочник</vt:lpstr>
    </vt:vector>
  </TitlesOfParts>
  <Company>OOO Gazprom VNIIGAZ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G_Chepurko</dc:creator>
  <cp:lastModifiedBy>Vladislav Sevodin</cp:lastModifiedBy>
  <dcterms:created xsi:type="dcterms:W3CDTF">2025-08-15T07:54:51Z</dcterms:created>
  <dcterms:modified xsi:type="dcterms:W3CDTF">2025-12-09T12:50:43Z</dcterms:modified>
</cp:coreProperties>
</file>
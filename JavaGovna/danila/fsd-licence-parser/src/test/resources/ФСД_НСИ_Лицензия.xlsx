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s\Desktop\Учеба и Работа\Работа\Вниигаз\Модуль_экономика\JavaGovna\danila\fsd-licence-parser\src\test\resources\"/>
    </mc:Choice>
  </mc:AlternateContent>
  <xr:revisionPtr revIDLastSave="0" documentId="13_ncr:1_{AA9FA1B6-630E-412B-9AFC-84C8EBECF10A}" xr6:coauthVersionLast="47" xr6:coauthVersionMax="47" xr10:uidLastSave="{00000000-0000-0000-0000-000000000000}"/>
  <bookViews>
    <workbookView xWindow="4780" yWindow="1300" windowWidth="19200" windowHeight="11170" xr2:uid="{00000000-000D-0000-FFFF-FFFF00000000}"/>
  </bookViews>
  <sheets>
    <sheet name="Лист1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</calcChain>
</file>

<file path=xl/sharedStrings.xml><?xml version="1.0" encoding="utf-8"?>
<sst xmlns="http://schemas.openxmlformats.org/spreadsheetml/2006/main" count="40" uniqueCount="35">
  <si>
    <t>Форма сбора данных Лицензия</t>
  </si>
  <si>
    <t>Год заполнения</t>
  </si>
  <si>
    <t xml:space="preserve">ГДО </t>
  </si>
  <si>
    <t>ООО "Газпром добыча Надым"</t>
  </si>
  <si>
    <t>Полное наименование геологиского горизонта (месторождение + геологический горизонт)</t>
  </si>
  <si>
    <t>Полное наименование эксплуатационного объекта</t>
  </si>
  <si>
    <t>Номер лицензии</t>
  </si>
  <si>
    <t>Год выдачи лицензии</t>
  </si>
  <si>
    <t>Год превышения степени выработанности залежи 1% 
(заполняется только для туронской залежи)</t>
  </si>
  <si>
    <t>Год начала промышленной разработки залежи</t>
  </si>
  <si>
    <t>Год, когда степень выработки по залежи впервые превысила 1% 
(только для нефти)</t>
  </si>
  <si>
    <t>Медвежье.Неоком..I</t>
  </si>
  <si>
    <t>Медвежье.Неоком</t>
  </si>
  <si>
    <t>СЛХ 02043 НЭ</t>
  </si>
  <si>
    <t>Медвежье.Ачимовский</t>
  </si>
  <si>
    <t>Медвежье.Ачимовский..Iн</t>
  </si>
  <si>
    <t xml:space="preserve">Предел объёма добычи на лицензионном участке (Ккан), млн т
 (для применения льготы по нефти), </t>
  </si>
  <si>
    <t>Год выдачи лицензии на право пользования недрами для целей разведки и добычи
(только для нефти)</t>
  </si>
  <si>
    <t>Год выдачи лицензии на право пользования недрами  для целей разведки и добычи и одновременно для геологического изучения
(только для нефти)</t>
  </si>
  <si>
    <t>Степень выработки по лицензионному участку на 01.01.2011
(только для нефти)</t>
  </si>
  <si>
    <t>Последний год применения льготы по НДПИ (Ккан) 
(только для нефти)</t>
  </si>
  <si>
    <t>Справочник</t>
  </si>
  <si>
    <t>полностью/частично в границах Республики Саха (Якутия), Иркутской области, Красноярского края</t>
  </si>
  <si>
    <t>севернее Северного полярного круга полностью/частично в границах внутренних морских вод и территориального моря, на континентальном шельфе РФ</t>
  </si>
  <si>
    <t>полностью/частично Азовское море</t>
  </si>
  <si>
    <t>полностью/частично Ненецкий АО, Ямал</t>
  </si>
  <si>
    <t>полностью/частично Чёрное море</t>
  </si>
  <si>
    <t>полностью/частично Охотское море</t>
  </si>
  <si>
    <t>полностью/частично севернее 65 градуса в ЯНАО (кроме Ямала)</t>
  </si>
  <si>
    <t>полностью/частично Каспийское море</t>
  </si>
  <si>
    <t>Расположение участка недр для применения льготы по НДПИ (выбрать в справочнике на втором листе) 
(только для нефти)</t>
  </si>
  <si>
    <t>Расположение участка недр для применения льготы по НДПИ 
(только для нефти)</t>
  </si>
  <si>
    <t>иное расположение</t>
  </si>
  <si>
    <t>Месторождение</t>
  </si>
  <si>
    <t>Медвежье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</si>
</sst>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9"/>
  <sheetViews>
    <sheetView tabSelected="1" zoomScale="106" zoomScaleNormal="70" workbookViewId="0">
      <selection activeCell="C4" sqref="C4"/>
    </sheetView>
  </sheetViews>
  <sheetFormatPr defaultRowHeight="14.5" x14ac:dyDescent="0.35"/>
  <cols>
    <col min="1" max="1" width="53.453125" customWidth="1"/>
    <col min="2" max="2" width="46" customWidth="1"/>
    <col min="3" max="3" width="36.54296875" customWidth="1"/>
    <col min="4" max="4" width="37.453125" customWidth="1"/>
    <col min="5" max="5" width="25.1796875" customWidth="1"/>
    <col min="6" max="6" width="41.26953125" customWidth="1"/>
    <col min="7" max="7" width="43.81640625" customWidth="1"/>
    <col min="8" max="8" width="50.453125" customWidth="1"/>
    <col min="9" max="9" width="37" customWidth="1"/>
    <col min="10" max="10" width="34.81640625" customWidth="1"/>
    <col min="11" max="11" width="44.7265625" customWidth="1"/>
    <col min="12" max="12" width="48.453125" customWidth="1"/>
    <col min="13" max="13" width="46" style="12" customWidth="1"/>
  </cols>
  <sheetData>
    <row r="2" spans="1:13" x14ac:dyDescent="0.35">
      <c r="A2" s="1" t="s">
        <v>0</v>
      </c>
    </row>
    <row r="4" spans="1:13" x14ac:dyDescent="0.35">
      <c r="A4" s="2" t="s">
        <v>1</v>
      </c>
      <c r="B4" s="3">
        <v>2025</v>
      </c>
    </row>
    <row r="5" spans="1:13" x14ac:dyDescent="0.35">
      <c r="A5" s="2" t="s">
        <v>2</v>
      </c>
      <c r="B5" s="3" t="s">
        <v>3</v>
      </c>
    </row>
    <row r="6" spans="1:13" x14ac:dyDescent="0.35">
      <c r="A6" s="10" t="s">
        <v>33</v>
      </c>
      <c r="B6" s="3" t="s">
        <v>34</v>
      </c>
      <c r="C6" s="17"/>
      <c r="D6" s="17"/>
    </row>
    <row r="7" spans="1:13" x14ac:dyDescent="0.35">
      <c r="A7" s="8"/>
      <c r="C7" s="17"/>
      <c r="D7" s="17"/>
      <c r="J7" s="17"/>
    </row>
    <row r="8" spans="1:13" ht="58.5" customHeight="1" x14ac:dyDescent="0.35">
      <c r="A8" s="4" t="s">
        <v>4</v>
      </c>
      <c r="B8" s="4" t="s">
        <v>5</v>
      </c>
      <c r="C8" s="4" t="s">
        <v>6</v>
      </c>
      <c r="D8" s="4" t="s">
        <v>7</v>
      </c>
      <c r="E8" s="4" t="s">
        <v>9</v>
      </c>
      <c r="F8" s="4" t="s">
        <v>8</v>
      </c>
      <c r="G8" s="4" t="s">
        <v>17</v>
      </c>
      <c r="H8" s="4" t="s">
        <v>18</v>
      </c>
      <c r="I8" s="4" t="s">
        <v>10</v>
      </c>
      <c r="J8" s="4" t="s">
        <v>19</v>
      </c>
      <c r="K8" s="4" t="s">
        <v>16</v>
      </c>
      <c r="L8" s="4" t="s">
        <v>20</v>
      </c>
      <c r="M8" s="4" t="s">
        <v>30</v>
      </c>
    </row>
    <row r="9" spans="1:13" x14ac:dyDescent="0.35">
      <c r="A9" s="6" t="s">
        <v>12</v>
      </c>
      <c r="B9" s="9" t="s">
        <v>11</v>
      </c>
      <c r="C9" s="6" t="s">
        <v>13</v>
      </c>
      <c r="D9" s="6">
        <v>2008</v>
      </c>
      <c r="E9" s="6">
        <v>1982</v>
      </c>
      <c r="F9" s="5">
        <v>1992</v>
      </c>
      <c r="G9" s="5">
        <v>1993</v>
      </c>
      <c r="H9" s="5">
        <v>1994</v>
      </c>
      <c r="I9" s="5">
        <f>H9+1</f>
        <v>1995</v>
      </c>
      <c r="J9" s="16">
        <v>0.35410000000000003</v>
      </c>
      <c r="K9" s="14">
        <v>435.45499999999998</v>
      </c>
      <c r="L9" s="5">
        <v>2020</v>
      </c>
      <c r="M9" s="7" t="s">
        <v>32</v>
      </c>
    </row>
    <row r="10" spans="1:13" x14ac:dyDescent="0.35">
      <c r="A10" s="6" t="s">
        <v>14</v>
      </c>
      <c r="B10" s="9" t="s">
        <v>15</v>
      </c>
      <c r="C10" s="6" t="s">
        <v>13</v>
      </c>
      <c r="D10" s="6">
        <v>2008</v>
      </c>
      <c r="E10" s="6">
        <v>2002</v>
      </c>
      <c r="F10" s="5">
        <v>1995</v>
      </c>
      <c r="G10" s="5">
        <v>1996</v>
      </c>
      <c r="H10" s="5">
        <v>1997</v>
      </c>
      <c r="I10" s="5">
        <f>H10+1</f>
        <v>1998</v>
      </c>
      <c r="J10" s="16">
        <v>0.75349999999999995</v>
      </c>
      <c r="K10" s="15">
        <v>546.45399999999995</v>
      </c>
      <c r="L10" s="5">
        <v>2021</v>
      </c>
      <c r="M10" s="7" t="s">
        <v>32</v>
      </c>
    </row>
    <row r="11" spans="1:13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3"/>
    </row>
    <row r="12" spans="1:13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3"/>
    </row>
    <row r="13" spans="1:13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13"/>
    </row>
    <row r="14" spans="1:13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13"/>
    </row>
    <row r="15" spans="1:13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13"/>
    </row>
    <row r="16" spans="1:1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13"/>
    </row>
    <row r="17" spans="1:1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3"/>
    </row>
    <row r="18" spans="1:1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3"/>
    </row>
    <row r="19" spans="1:1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4"/>
  <sheetViews>
    <sheetView workbookViewId="0">
      <selection activeCell="F14" sqref="F14"/>
    </sheetView>
  </sheetViews>
  <sheetFormatPr defaultRowHeight="14.5" x14ac:dyDescent="0.35"/>
  <cols>
    <col min="2" max="2" width="46.81640625" customWidth="1"/>
    <col min="4" max="4" width="36.7265625" customWidth="1"/>
    <col min="6" max="6" width="45.453125" customWidth="1"/>
  </cols>
  <sheetData>
    <row r="2" spans="2:6" x14ac:dyDescent="0.35">
      <c r="B2" t="s">
        <v>21</v>
      </c>
    </row>
    <row r="5" spans="2:6" ht="42" x14ac:dyDescent="0.35">
      <c r="B5" s="4" t="s">
        <v>4</v>
      </c>
      <c r="D5" s="4" t="s">
        <v>5</v>
      </c>
      <c r="F5" s="4" t="s">
        <v>31</v>
      </c>
    </row>
    <row r="6" spans="2:6" x14ac:dyDescent="0.35">
      <c r="B6" s="11"/>
      <c r="F6" s="7" t="s">
        <v>22</v>
      </c>
    </row>
    <row r="7" spans="2:6" x14ac:dyDescent="0.35">
      <c r="B7" s="11"/>
      <c r="F7" s="7" t="s">
        <v>23</v>
      </c>
    </row>
    <row r="8" spans="2:6" x14ac:dyDescent="0.35">
      <c r="B8" s="11"/>
      <c r="F8" s="7" t="s">
        <v>24</v>
      </c>
    </row>
    <row r="9" spans="2:6" x14ac:dyDescent="0.35">
      <c r="B9" s="11"/>
      <c r="F9" s="7" t="s">
        <v>25</v>
      </c>
    </row>
    <row r="10" spans="2:6" x14ac:dyDescent="0.35">
      <c r="B10" s="11"/>
      <c r="F10" s="7" t="s">
        <v>26</v>
      </c>
    </row>
    <row r="11" spans="2:6" x14ac:dyDescent="0.35">
      <c r="B11" s="11"/>
      <c r="F11" s="7" t="s">
        <v>27</v>
      </c>
    </row>
    <row r="12" spans="2:6" x14ac:dyDescent="0.35">
      <c r="B12" s="11"/>
      <c r="F12" s="7" t="s">
        <v>28</v>
      </c>
    </row>
    <row r="13" spans="2:6" x14ac:dyDescent="0.35">
      <c r="B13" s="11"/>
      <c r="F13" s="7" t="s">
        <v>29</v>
      </c>
    </row>
    <row r="14" spans="2:6" x14ac:dyDescent="0.35">
      <c r="B14" s="11"/>
      <c r="F14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Vladislav Sevodin</cp:lastModifiedBy>
  <cp:lastPrinted>2025-08-15T12:10:13Z</cp:lastPrinted>
  <dcterms:created xsi:type="dcterms:W3CDTF">2025-08-15T08:26:49Z</dcterms:created>
  <dcterms:modified xsi:type="dcterms:W3CDTF">2025-12-25T13:58:34Z</dcterms:modified>
</cp:coreProperties>
</file>
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lads\Desktop\Учеба и Работа\Работа\Вниигаз\Модуль_экономика\JavaGovna\danila\fsd-invest-program-parser\src\test\resources\"/>
    </mc:Choice>
  </mc:AlternateContent>
  <xr:revisionPtr revIDLastSave="0" documentId="13_ncr:1_{642B1543-45DB-4796-9AFF-51A58478E73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" sheetId="1" r:id="rId1"/>
    <sheet name="Справочник" sheetId="2" r:id="rId2"/>
  </sheets>
  <externalReferences>
    <externalReference r:id="rId3"/>
  </externalReferences>
  <definedNames>
    <definedName name="Код_стройки">OFFSET(Справочник!$G$3,MATCH('1'!$C$5,Справочник!$G:$G,0)-3,1,COUNTIF(Справочник!$G:$G,'1'!$C$5),1)</definedName>
    <definedName name="Месторождение">OFFSET(Справочник!$D$3,MATCH('1'!$C$4,Справочник!$D:$D,0)-3,1,COUNTIF(Справочник!$D:$D,'1'!$C$4),1)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</calcChain>
</file>

<file path=xl/sharedStrings.xml><?xml version="1.0" encoding="utf-8"?>
<sst xmlns="http://schemas.openxmlformats.org/spreadsheetml/2006/main" count="992" uniqueCount="629">
  <si>
    <t xml:space="preserve">ГДО </t>
  </si>
  <si>
    <t>Новое строительство / Реконструкция</t>
  </si>
  <si>
    <t>Год заполнения</t>
  </si>
  <si>
    <t>Форма сбора данных Инвестпрограмма</t>
  </si>
  <si>
    <t>Инвестиционная программа</t>
  </si>
  <si>
    <t>Сценарий инвестиционной программы</t>
  </si>
  <si>
    <t>Капитальные вложения, млн руб.</t>
  </si>
  <si>
    <t>2025-2029</t>
  </si>
  <si>
    <t>Скважины</t>
  </si>
  <si>
    <t>Функциональная группа по объекту воздействия (Скважины, ДКС, ГСС, Подготовка продукции, Прочие)</t>
  </si>
  <si>
    <t>ООО "Газпром добыча Ноябрьск"</t>
  </si>
  <si>
    <t>Год реализации стройки</t>
  </si>
  <si>
    <t>ГДО</t>
  </si>
  <si>
    <t>Месторождение</t>
  </si>
  <si>
    <t>ООО "Газпром добыча Ямбург"</t>
  </si>
  <si>
    <t>Астраханское</t>
  </si>
  <si>
    <t>ООО "Газпром добыча Уренгой"</t>
  </si>
  <si>
    <t>Азовское</t>
  </si>
  <si>
    <t>ООО "Газпром добыча Надым"</t>
  </si>
  <si>
    <t>Безопасненское</t>
  </si>
  <si>
    <t>Бейсугское</t>
  </si>
  <si>
    <t>ООО "Газпром добыча Оренбург"</t>
  </si>
  <si>
    <t>Березовское</t>
  </si>
  <si>
    <t>ООО "Газпром добыча Краснодар"</t>
  </si>
  <si>
    <t>Бованенковское</t>
  </si>
  <si>
    <t>ООО "Газпром добыча Астрахань"</t>
  </si>
  <si>
    <t>Болтное</t>
  </si>
  <si>
    <t>Бухаровское</t>
  </si>
  <si>
    <t>ОАО "Севернефтегазпром"</t>
  </si>
  <si>
    <t>Восточно-Прибрежное</t>
  </si>
  <si>
    <t>АО "Газпром добыча Томск"</t>
  </si>
  <si>
    <t>Вуктыльское</t>
  </si>
  <si>
    <t>ООО "Газпром добыча Тамбей"</t>
  </si>
  <si>
    <t>Вынгапуровское</t>
  </si>
  <si>
    <t>ПАО "Газпром нефть"</t>
  </si>
  <si>
    <t>Вынгаяхинское</t>
  </si>
  <si>
    <t>ООО "Газпромнефть-Заполярье"</t>
  </si>
  <si>
    <t>Граничное</t>
  </si>
  <si>
    <t>ООО "Газпром добыча Иркутск"</t>
  </si>
  <si>
    <t>Гривенское</t>
  </si>
  <si>
    <t>ООО "Газпром трансгаз Югорск"</t>
  </si>
  <si>
    <t>Губкинское</t>
  </si>
  <si>
    <t>ООО "Газпром добыча шельф Южно-Сахалинск"</t>
  </si>
  <si>
    <t>Деминское</t>
  </si>
  <si>
    <t>ООО "Газпром добыча Кузнецк"</t>
  </si>
  <si>
    <t>Ен-Яхинское</t>
  </si>
  <si>
    <t>Еты-Пуровское</t>
  </si>
  <si>
    <t>Журавское</t>
  </si>
  <si>
    <t>Западно-Красноармейское</t>
  </si>
  <si>
    <t>Западно-Соплесское</t>
  </si>
  <si>
    <t>Западно-Таркосалинское</t>
  </si>
  <si>
    <t>Заполярное</t>
  </si>
  <si>
    <t>Ики-Бурульское</t>
  </si>
  <si>
    <t>Ильинское</t>
  </si>
  <si>
    <t>Казанское</t>
  </si>
  <si>
    <t>Каменно-Балковское</t>
  </si>
  <si>
    <t>Каменномысское-море</t>
  </si>
  <si>
    <t>Каневское-Лебяжье</t>
  </si>
  <si>
    <t>Киринское</t>
  </si>
  <si>
    <t>Ковыктинское</t>
  </si>
  <si>
    <t>Комсомольское</t>
  </si>
  <si>
    <t>Красноармейское</t>
  </si>
  <si>
    <t>Кугутское</t>
  </si>
  <si>
    <t>Кшукское</t>
  </si>
  <si>
    <t>Лунское</t>
  </si>
  <si>
    <t>Марковское</t>
  </si>
  <si>
    <t>Медвежье</t>
  </si>
  <si>
    <t>Мечетское</t>
  </si>
  <si>
    <t>Мирненское</t>
  </si>
  <si>
    <t>Мирное</t>
  </si>
  <si>
    <t>Мостовянское</t>
  </si>
  <si>
    <t>Мыльджинское</t>
  </si>
  <si>
    <t>Нагумановское</t>
  </si>
  <si>
    <t>Нижнеквакчикское</t>
  </si>
  <si>
    <t>Николаевское</t>
  </si>
  <si>
    <t>Оренбургское</t>
  </si>
  <si>
    <t>Останинское</t>
  </si>
  <si>
    <t>Патроновское</t>
  </si>
  <si>
    <t>Песцовое</t>
  </si>
  <si>
    <t>Песчаное</t>
  </si>
  <si>
    <t>Петровско-Благодарненское</t>
  </si>
  <si>
    <t>Печорокожвинское</t>
  </si>
  <si>
    <t>Пильтун-Астохское</t>
  </si>
  <si>
    <t>Пинджинское</t>
  </si>
  <si>
    <t>Прибрежное</t>
  </si>
  <si>
    <t>Радыковское</t>
  </si>
  <si>
    <t>Расшеватское</t>
  </si>
  <si>
    <t>Роговское</t>
  </si>
  <si>
    <t>Рыбальное</t>
  </si>
  <si>
    <t>Северо-Васюганское</t>
  </si>
  <si>
    <t>Северо-Гривенское</t>
  </si>
  <si>
    <t>Северо-Каменномысское</t>
  </si>
  <si>
    <t>Северо-Колпаковское</t>
  </si>
  <si>
    <t>Северо-Останинское</t>
  </si>
  <si>
    <t>Северо-Прибрежное</t>
  </si>
  <si>
    <t>Северо-Пуровское</t>
  </si>
  <si>
    <t>Северо-Уренгойское</t>
  </si>
  <si>
    <t>Северо-Чебургольское</t>
  </si>
  <si>
    <t>Сенгилеевское</t>
  </si>
  <si>
    <t>Синявское</t>
  </si>
  <si>
    <t>Совхозное</t>
  </si>
  <si>
    <t>Талдинское</t>
  </si>
  <si>
    <t>Тамбейское</t>
  </si>
  <si>
    <t>Тахта-Кугультинское</t>
  </si>
  <si>
    <t>Уренгойское</t>
  </si>
  <si>
    <t>Харасавэйское</t>
  </si>
  <si>
    <t>Чаяндинское</t>
  </si>
  <si>
    <t>Челбасское</t>
  </si>
  <si>
    <t>Элитное</t>
  </si>
  <si>
    <t>Юбилейное</t>
  </si>
  <si>
    <t>Югидское</t>
  </si>
  <si>
    <t>Южно-Киринское</t>
  </si>
  <si>
    <t>Южно-Радыковское</t>
  </si>
  <si>
    <t>Южно-Русское</t>
  </si>
  <si>
    <t>Ямбургское</t>
  </si>
  <si>
    <t>Ямсовейское</t>
  </si>
  <si>
    <t>Краткое Название стройки</t>
  </si>
  <si>
    <t>2024-2028</t>
  </si>
  <si>
    <t>2026-2030</t>
  </si>
  <si>
    <t>Сценарий 1</t>
  </si>
  <si>
    <t>Сценарий 2</t>
  </si>
  <si>
    <t>Сценарий 3</t>
  </si>
  <si>
    <t xml:space="preserve">Новое строительство </t>
  </si>
  <si>
    <t>Реконструкция</t>
  </si>
  <si>
    <t>ДКС</t>
  </si>
  <si>
    <t>ГСС</t>
  </si>
  <si>
    <t>Прочие</t>
  </si>
  <si>
    <t>Код стройки</t>
  </si>
  <si>
    <t>Наименование стройки</t>
  </si>
  <si>
    <t>051-3001236</t>
  </si>
  <si>
    <t>051-3001236.Чаядинское.Карбон.Скважины.Новые скважины</t>
  </si>
  <si>
    <t xml:space="preserve">Приоритетность стройки </t>
  </si>
  <si>
    <t>ПИР</t>
  </si>
  <si>
    <t>СМР</t>
  </si>
  <si>
    <t>Год начала работ</t>
  </si>
  <si>
    <t>Год оканчания работ</t>
  </si>
  <si>
    <t>Критическая</t>
  </si>
  <si>
    <t>Не критическая</t>
  </si>
  <si>
    <t>Приоритетность стройки (критическая, не критическая)</t>
  </si>
  <si>
    <t>АО "Пургаз"</t>
  </si>
  <si>
    <t>Сахалинская энергия</t>
  </si>
  <si>
    <t>Нарыкско-Осташкинское</t>
  </si>
  <si>
    <t>Версия</t>
  </si>
  <si>
    <t>Дата заполнения</t>
  </si>
  <si>
    <t>Зависимость стройки 
 (номер стройки, которая является ключевой по отношению к данной)</t>
  </si>
  <si>
    <t>Флажок</t>
  </si>
  <si>
    <t>АО "Газпром газораспределение Элиста"</t>
  </si>
  <si>
    <t>ООО "Севернефтегазпром"</t>
  </si>
  <si>
    <t>ООО "Газпромвьет"</t>
  </si>
  <si>
    <t>ООО "Сахалинская Энергия"</t>
  </si>
  <si>
    <t xml:space="preserve">Номер стройки </t>
  </si>
  <si>
    <t xml:space="preserve">Наименование стройки </t>
  </si>
  <si>
    <t>051-2001317</t>
  </si>
  <si>
    <t>Реконструкция промысловых объектов ООО "Астраханьгазпром"</t>
  </si>
  <si>
    <t>051-2000006</t>
  </si>
  <si>
    <t>Реконструкция эксплуатационных скважин Астраханского газоконденсатного месторождения с боковой зарезкой стволов</t>
  </si>
  <si>
    <t>051-2004395</t>
  </si>
  <si>
    <t>Техническое перевооружение фонда скважин АГКМ</t>
  </si>
  <si>
    <t>051-2000010</t>
  </si>
  <si>
    <t>Подключение дополнительных скважин к существующим мощностям I и II очередей АГКМ (этап 3)</t>
  </si>
  <si>
    <t>051-3000010</t>
  </si>
  <si>
    <t>Бурение эксплуатационное на м/р. Подключение дополнительных скважин к существующим мощностям I и II очередей Астраханского газоконденсатного месторождения (этап 3)</t>
  </si>
  <si>
    <t>001-2002202</t>
  </si>
  <si>
    <t>Подключение дополнительных скважин к существующим мощностям I и II очередей АГКМ (этап 2)</t>
  </si>
  <si>
    <t>051-2002202</t>
  </si>
  <si>
    <t>051-3002202</t>
  </si>
  <si>
    <t>Бурение эксплуатационное на м/р. Подключение дополнительных скважин к существующим мощностям I и II очередей АГКМ (этап 2)</t>
  </si>
  <si>
    <t>051-3003732</t>
  </si>
  <si>
    <t>Бурение эксплуатационное на м/р. Бурение технологических скважин</t>
  </si>
  <si>
    <t>051-2004715</t>
  </si>
  <si>
    <t>Опытный полигон для отработки технологии обратной закачки на разбуренной части АГКМ</t>
  </si>
  <si>
    <t>051-2000005</t>
  </si>
  <si>
    <t>Техническое перевооружение фонда скважин АГКМ (Модернизация морально и физически устаревшего оборудования обвязки устья скважин АГКМ (этап 2)</t>
  </si>
  <si>
    <t>051-2000737</t>
  </si>
  <si>
    <t>Обустройство Бейсугского месторождения</t>
  </si>
  <si>
    <t>051-3000737</t>
  </si>
  <si>
    <t>Эксплуатационное бурение. Бейсугское газовое месторождение</t>
  </si>
  <si>
    <t>051-2004681</t>
  </si>
  <si>
    <t>Реконструкция ФА и технологических трубопроводов с установкой средств коррозионного мониторинга объектов на Бованенковском НГКМ</t>
  </si>
  <si>
    <t>051-2005706</t>
  </si>
  <si>
    <t>Модернизация системы водоподготовки котельной "Сермет" на промбазе  ГП-1 Бованековского НГКМ</t>
  </si>
  <si>
    <t>051-2005692</t>
  </si>
  <si>
    <t>Техническое перевооружение газоперекачивающих агрегатов на ДКС (1 очередь) ГП-1 Бованенковского НГКМ (замена ГТУ)</t>
  </si>
  <si>
    <t>051-2006188</t>
  </si>
  <si>
    <t>Техническое перевооружение наблюдательных скважин №№ 5600, 6100, 6400, 6800 УКПГ-1 Бованенковского НГКМ</t>
  </si>
  <si>
    <t>051-2006513</t>
  </si>
  <si>
    <t>Техническое перевооружение ГПА ДКС (2 и 3 очередей) ГП-1, ГП-2 Бованенковского НГКМ (замена СПЧ)</t>
  </si>
  <si>
    <t>051-2006342</t>
  </si>
  <si>
    <t>Реконструкция полигона твердых бытовых и производственных отходов Бованенковского НГКМ</t>
  </si>
  <si>
    <t>051-2006571</t>
  </si>
  <si>
    <t>Техническое перевооружение оборудования резервуарного парка расходного склада ГСМ промбазы ГП-1 Бованенковского НГКМ</t>
  </si>
  <si>
    <t>051-2006570</t>
  </si>
  <si>
    <t>Реконструкция и техническое перевооружение электромодуля №1 ЭСН на промбазе ГП-2 Бованенковского НГКМ (2 очередь, 1 этап)</t>
  </si>
  <si>
    <t>051-2006967</t>
  </si>
  <si>
    <t>Техническое перевооружение теплой стоянки на 50 машин базы АТП на промбазе ГП-1 Бованенковского НГКМ</t>
  </si>
  <si>
    <t>051-2006968</t>
  </si>
  <si>
    <t>Реконструкция и техническое перевооружение комплекса инженерно-технических средств охраны ГП-2 Бованенковского НГКМ (УКПГ, ДКС 1 очередь, (1,2 модуль))</t>
  </si>
  <si>
    <t>051-2007288</t>
  </si>
  <si>
    <t>Техническое перевооружение скважин Бованенковского НГКМ (замена НКТ)</t>
  </si>
  <si>
    <t>051-2000815</t>
  </si>
  <si>
    <t>Обустройство сеноман-аптских залежей Бованенковского НГКМ</t>
  </si>
  <si>
    <t>051-2004674</t>
  </si>
  <si>
    <t>Дообустройство сеноман-аптских залежей Бованенковского НГКМ</t>
  </si>
  <si>
    <t>051-3000815</t>
  </si>
  <si>
    <t>Эксплуатационное бурение. Бованенковское НГКМ</t>
  </si>
  <si>
    <t>051-3004674</t>
  </si>
  <si>
    <t>Эксплуатационное бурение. Бованенковское НГКМ (Дообустройство сеноман-аптских залежей)</t>
  </si>
  <si>
    <t>051-2005523</t>
  </si>
  <si>
    <t>Техническое перевооружение турбодетандерных агрегатов на газовых промыслах Бованенковского НГКМ (замена СПЧ)</t>
  </si>
  <si>
    <t>Верхневилючанское</t>
  </si>
  <si>
    <t>051-2006734</t>
  </si>
  <si>
    <t>Обустройство Верхневилючанского месторождения</t>
  </si>
  <si>
    <t>051-3006734</t>
  </si>
  <si>
    <t xml:space="preserve">Бурение эксплуатационное на месторождении. Эксплуатационные газовые скважины Верхневилючанского месторождения </t>
  </si>
  <si>
    <t>019-3000739</t>
  </si>
  <si>
    <t>Эксплуатационное бурение. Восточно-Прибрежное нефтегазоконденсатное месторождение</t>
  </si>
  <si>
    <t>051-2006509</t>
  </si>
  <si>
    <t>Модернизация сепарационного оборудования дожимной компрессорной станции Вуктыльского ГПУ</t>
  </si>
  <si>
    <t>051-2006510</t>
  </si>
  <si>
    <t>Реконструкция системы маслоснабжения дожимной компрессорной станции Вуктыльского ГПУ</t>
  </si>
  <si>
    <t>051-2006518</t>
  </si>
  <si>
    <t>Внедрение технологии непрерывной дозированной подачи жидких ПАВ в скважины Вынгаяхинского месторождения</t>
  </si>
  <si>
    <t>051-2007238</t>
  </si>
  <si>
    <t>Реконструкция полигона ТБО Вынгаяхинского ГМ</t>
  </si>
  <si>
    <t>051-3006280</t>
  </si>
  <si>
    <t>Бурение эксплуатационное на месторождении. Вынгаяхинское газонефтяное месторождение</t>
  </si>
  <si>
    <t>051-2001057</t>
  </si>
  <si>
    <t>Дожимная компрессорная станция на УКПГ-11В Ен-Яхинского НГКМ</t>
  </si>
  <si>
    <t>051-2001039</t>
  </si>
  <si>
    <t>Дообустройство газоконденсатных скважин Ен-Яхинского НГКМ</t>
  </si>
  <si>
    <t>051-3001039</t>
  </si>
  <si>
    <t>Эксплуатационное бурение. Дообустройство газоконденсатных скважин Ен-Яхинского НГКМ</t>
  </si>
  <si>
    <t>051-2006519</t>
  </si>
  <si>
    <t>Внедрение технологии непрерывной дозированной подачи жидких ПАВ  в скважины Еты-Пуровского месторождения</t>
  </si>
  <si>
    <t>051-2006584</t>
  </si>
  <si>
    <t>Техперевооружение ДКС Еты-Пуровского ГМ. Замена СПЧ 3,0.</t>
  </si>
  <si>
    <t>051-2007101</t>
  </si>
  <si>
    <t>Техническое перевооружение объектов системы сбора газа Вынгаяхинского ГПУ</t>
  </si>
  <si>
    <t>051-2006515</t>
  </si>
  <si>
    <t>Внедрение технологии непрерывной дозированной подачи жидких ПАВ в скважины  Западно-Таркосалинского газового промысла</t>
  </si>
  <si>
    <t>051-2000826</t>
  </si>
  <si>
    <t>Реконструкция  Западно-Таркосалинского газового промысла</t>
  </si>
  <si>
    <t>051-2006517</t>
  </si>
  <si>
    <t>Реконструкция ДКС Западно-Таркосалинского НГКМ. Установка многосекционных ЦБК</t>
  </si>
  <si>
    <t>051-2007133</t>
  </si>
  <si>
    <t>Реконструкция ГСС  Западно-Таркосалинского газового промысла 2 этап, 2 очередь</t>
  </si>
  <si>
    <t>051-2005102</t>
  </si>
  <si>
    <t>Техническое перевооружение газовых и газоконденсатных скважин Заполярного НГКМ</t>
  </si>
  <si>
    <t>051-2005694</t>
  </si>
  <si>
    <t>Техническое перевооружение газоперекачивающих агрегатов ДКС 1 очереди УКПГ-1С Заполярного НГКМ</t>
  </si>
  <si>
    <t>051-2005495</t>
  </si>
  <si>
    <t>Реконструкция газопроводов Заполярного НГКМ с устройством узлов пуска и приёма очистных и диагностических устройств</t>
  </si>
  <si>
    <t>051-2005695</t>
  </si>
  <si>
    <t>Реконструкция и техническое перевооружение систем пожарной сигнализации, контроля загазованности и пожаротушения объектов УКПГ-1С, УКПГ-2С, УКПГ-3С, АГРС БК 2/70 Заполярного НГКМ</t>
  </si>
  <si>
    <t>051-2006021</t>
  </si>
  <si>
    <t>Реконструкция КАДС Заполярного НГКМ с заменой технологического оборудования и систем автоматизации.</t>
  </si>
  <si>
    <t>051-2005690</t>
  </si>
  <si>
    <t>Реконструкция и техническое перевооружение системы электрохимзащиты объектов Заполярного НГКМ</t>
  </si>
  <si>
    <t>051-2005699</t>
  </si>
  <si>
    <t>Реконструкция и техническое перевооружение электроснабжения объектов ГТЭС-24 Заполярного НГКМ.</t>
  </si>
  <si>
    <t>051-2005700</t>
  </si>
  <si>
    <t>Техническое перевооружение технологического оборудования УКПГ-1В, УКПГ-2В Заполярного НГКМ</t>
  </si>
  <si>
    <t>051-2005199</t>
  </si>
  <si>
    <t>Реконструкция базы АТП НГДУ на 470 единиц Заполярного ГНКМ</t>
  </si>
  <si>
    <t>051-2005696</t>
  </si>
  <si>
    <t>Реконструкция и техническое перевооружения нефтебазы и базы метанола  Заполярного ГНКМ</t>
  </si>
  <si>
    <t>051-2006572</t>
  </si>
  <si>
    <t>Техническое перевооружение газоперекачивающих агрегатов ДКС УКПГ-2С, УКПГ-3С Заполярного НГКМ</t>
  </si>
  <si>
    <t>051-2007099</t>
  </si>
  <si>
    <t>Реконструкция системы утилизации газов выветривания валанжинского комплекса Заполярного НГКМ</t>
  </si>
  <si>
    <t>051-2007297</t>
  </si>
  <si>
    <t>Техническое перевооружение систем термостабилизации грунтов производственных объектов Заполярного НГКМ</t>
  </si>
  <si>
    <t>051-3001233</t>
  </si>
  <si>
    <t>Эксплуатационное бурение. Обустройство газоконденсатных залежей Заполярного НГКМ</t>
  </si>
  <si>
    <t>051-2001243</t>
  </si>
  <si>
    <t>Дожимная компрессорная станция на УКПГ-2С Заполярного НГКМ (2 очередь)</t>
  </si>
  <si>
    <t>051-2001244</t>
  </si>
  <si>
    <t>Дожимная компрессорная станция на УКПГ-3С Заполярного НГКМ (2 очередь)</t>
  </si>
  <si>
    <t>051-2004010</t>
  </si>
  <si>
    <t>Обустройство туронской залежи Заполярного НГКМ на период ОПР</t>
  </si>
  <si>
    <t>051-3004010</t>
  </si>
  <si>
    <t>Эксплуатационное бурение. Обустройство туронской залежи Заполярного НГКМ на период ОПР</t>
  </si>
  <si>
    <t>051-2005979</t>
  </si>
  <si>
    <t>ДКС на УКПГ-1В Заполярного НГКМ</t>
  </si>
  <si>
    <t>051-2005980</t>
  </si>
  <si>
    <t>ДКС на УКПГ-2В Заполярного НГКМ</t>
  </si>
  <si>
    <t xml:space="preserve">Эксплуатационное бурение. Обустройство Заполярного ГНКМ </t>
  </si>
  <si>
    <t>051-2001219</t>
  </si>
  <si>
    <t>Обустройство газового месторождения Каменномысское-море</t>
  </si>
  <si>
    <t>051-3001219</t>
  </si>
  <si>
    <t>Эксплуатационное бурение. Обустройство газового месторождения Каменномысское-море</t>
  </si>
  <si>
    <t>051-2005984</t>
  </si>
  <si>
    <t>Реконструкция берегового технологического комплекса Киринского ГКМ  (2 очередь)</t>
  </si>
  <si>
    <t>051-2006278</t>
  </si>
  <si>
    <t>Реконструкция объектов Киринского ГКМ  (3 очередь)</t>
  </si>
  <si>
    <t>051-2007136</t>
  </si>
  <si>
    <t>Реконструкция азотно-компрессорной станции УКПГ Киринского ГКМ</t>
  </si>
  <si>
    <t>051-2006439</t>
  </si>
  <si>
    <t>Реконструкция БТК Киринского ГКМ (4 очередь) *</t>
  </si>
  <si>
    <t>051-2001292</t>
  </si>
  <si>
    <t>Обустройство Киринского ГКМ</t>
  </si>
  <si>
    <t>051-2006437</t>
  </si>
  <si>
    <t>Реконструкция УПГ-102 Ковыктинского ГКМ</t>
  </si>
  <si>
    <t>051-2007331</t>
  </si>
  <si>
    <t>Техническое перевооружение объектов добычи Ковыктинского ГКМ</t>
  </si>
  <si>
    <t>ГДИ-0002.2026</t>
  </si>
  <si>
    <t>Техническое перевооружение технологических схем УКПГ-2 и УКПГ-3  Ковыктинского ГКМ</t>
  </si>
  <si>
    <t>ГДИ-0003.2026</t>
  </si>
  <si>
    <t>Техническое перевооружение УКПГ-2 и УКПГ-3 Ковыктинского ГКМ</t>
  </si>
  <si>
    <t>ГДИ-0004.2026</t>
  </si>
  <si>
    <t>Реконструкция перевооружение газосборного коллектора кустов скважин 206, 207 и 208  Ковыктинского ГКМ</t>
  </si>
  <si>
    <t>051-3000707</t>
  </si>
  <si>
    <t>Эксплуатационное бурение. Обустройство Ковыктинского газоконденсатного месторождения на период ОПР</t>
  </si>
  <si>
    <t>051-2000714</t>
  </si>
  <si>
    <t>Обустройство Ковыктинского газоконденсатного месторождения</t>
  </si>
  <si>
    <t>051-3000714</t>
  </si>
  <si>
    <t>Эксплуатационное бурение. Обустройство Ковыктинского газоконденсатного месторождения</t>
  </si>
  <si>
    <t>051-2006438</t>
  </si>
  <si>
    <t>Обустройство площадки по переработке гидроминерального сырья Ковыктинского ГКМ на период ОПР</t>
  </si>
  <si>
    <t>051-2007137</t>
  </si>
  <si>
    <t>Реконструкция ТОК Окунайский Ковыктинского ГКМ</t>
  </si>
  <si>
    <t>051-2007138</t>
  </si>
  <si>
    <t>Реконструкция дренажной системы КС газов стабилизации УКПГ-2 Ковыктинского ГКМ</t>
  </si>
  <si>
    <t>051-2000842</t>
  </si>
  <si>
    <t>Реконструкция Комсомольского газового промысла (2 этап)</t>
  </si>
  <si>
    <t>051-2006523</t>
  </si>
  <si>
    <t>Реконструкция объектов подготовки и транспортировки газа Комсомольского газового промысла</t>
  </si>
  <si>
    <t>051-2006514</t>
  </si>
  <si>
    <t>Внедрение технологии непрерывной дозированной подачи жидких ПАВ в скважины Комсомольского газового промысла</t>
  </si>
  <si>
    <t>051-2005685</t>
  </si>
  <si>
    <t>Техперевооружение ДКС Комсомольского газового месторождения. Замена СПЧ ГПА 1-й очереди 3-й ступени сжатия. 2-й этап</t>
  </si>
  <si>
    <t>051-2005686</t>
  </si>
  <si>
    <t>Техническое перевооружение систем автоматизации Комсомольского газового промысла</t>
  </si>
  <si>
    <t>051-2006341</t>
  </si>
  <si>
    <t>Техперевооружение газовых скважин Комсомольского газового промысла. Замена НКТ</t>
  </si>
  <si>
    <t>051-2007100</t>
  </si>
  <si>
    <t>Техническое перевооружение систем противопожарной защиты Комсомольского НГКМ</t>
  </si>
  <si>
    <t>051-2004687</t>
  </si>
  <si>
    <t>Техперевооружение обвязки кустов газовых скважин Комсомольского газового промысла</t>
  </si>
  <si>
    <t>051-2006343</t>
  </si>
  <si>
    <t>Реконструкция полигона ТБиПО Кшукского ГКМ</t>
  </si>
  <si>
    <t>051-2006023</t>
  </si>
  <si>
    <t>Расширение Кшукского газоконденсатного месторождения. Подключение скважин №№ 71, 72</t>
  </si>
  <si>
    <t>051-2000791</t>
  </si>
  <si>
    <t>Газовые промыслы Медвежьего НГКМ. Реконструкция и техперевооружение. 2-я очередь строительства</t>
  </si>
  <si>
    <t>051-2005701</t>
  </si>
  <si>
    <t>Реконструкция ЦДКС Медвежьего НГКМ</t>
  </si>
  <si>
    <t>051-2005703</t>
  </si>
  <si>
    <t>Реконструкция МПК 1, 2, 3 Медвежьего НГКМ</t>
  </si>
  <si>
    <t>051-2005702</t>
  </si>
  <si>
    <t>Внедрение технологии непрерывной дозированной подачи жидких ПАВ в скважины Медвежьего НГКМ</t>
  </si>
  <si>
    <t>051-2006585</t>
  </si>
  <si>
    <t>Техническое перевооружение сети УКВ-радиосвязи на газовых промыслах Надым-Пур-Тазовского региона</t>
  </si>
  <si>
    <t>051-2006586</t>
  </si>
  <si>
    <t>Реконструкция сети оперативно-диспетчерской связи и оповещения ГОиЧС на газовых промыслах Надым-Пур-Тазовского региона</t>
  </si>
  <si>
    <t>051-2006965</t>
  </si>
  <si>
    <t>Техническое перевооружение внутриплощадочных сетей газовых промыслов Медвежьего НГКМ</t>
  </si>
  <si>
    <t>051-2000812</t>
  </si>
  <si>
    <t>Обустройство берриас-валанжинских отложений Ныдинского участка Медвежьего НГКМ</t>
  </si>
  <si>
    <t>051-3000812</t>
  </si>
  <si>
    <t>Эксплуатационное бурение. Медвежье НГКМ Ныдинский участок (берриас-валанжинские отложения)</t>
  </si>
  <si>
    <t>051-2000821</t>
  </si>
  <si>
    <t>Обустройство площадей в районе 
УКПГ-1 Медвежьего НГКМ (пласты БН-3,4,5)</t>
  </si>
  <si>
    <t>051-3000821</t>
  </si>
  <si>
    <t xml:space="preserve">Эксплуатационное бурение. Медвежье НГКМ (Обустройство площадей в районе УКПГ-1) </t>
  </si>
  <si>
    <t>051-3006560</t>
  </si>
  <si>
    <t>Эксплуатационное бурение. Медвежье НГКМ. Восстановление газовых скважин зарезкой боковых стволов</t>
  </si>
  <si>
    <t>051-2005678</t>
  </si>
  <si>
    <t>ДКС на УКПГ-Н Медвежьего НГКМ</t>
  </si>
  <si>
    <t>051-3004873</t>
  </si>
  <si>
    <t>Эксплуатационное бурение. Мирненское газоконденсатное месторождение (нижний мел)</t>
  </si>
  <si>
    <t>051-2006521</t>
  </si>
  <si>
    <t>Внедрение технологии непрерывной дозированной подачи жидких ПАВ в скважины Нижнеквакчикского месторождения</t>
  </si>
  <si>
    <t>051-2007103</t>
  </si>
  <si>
    <t>Реконструкция Камчатского ГПУ</t>
  </si>
  <si>
    <t>051-2006340</t>
  </si>
  <si>
    <t>Техперевооружение газоконденсатных скважин Нижнеквакчикского ГКМ. Замена НКТ</t>
  </si>
  <si>
    <t>Нижне-Квакчинское</t>
  </si>
  <si>
    <t>051-2004688</t>
  </si>
  <si>
    <t>ДКС Нижне-Квакчикского газоконденсатного месторождения</t>
  </si>
  <si>
    <t>051-2001315</t>
  </si>
  <si>
    <t>Техническое перевооружение и реконструкция объектов добычи газа ОНГКМ</t>
  </si>
  <si>
    <t>051-2006449</t>
  </si>
  <si>
    <t>Техническое перевооружение скважин Оренбургского НГКМ</t>
  </si>
  <si>
    <t>051-2001320</t>
  </si>
  <si>
    <t>Реконструкция ДКС-1,2 на Оренбургском НГКМ</t>
  </si>
  <si>
    <t>051-2004003</t>
  </si>
  <si>
    <t>Реконструкция ДКС-3 Оренбургского НГКМ</t>
  </si>
  <si>
    <t>051-2006450</t>
  </si>
  <si>
    <t>Подключение скважин, переведенных в эксплуатационный фонд Оренбургского НГКМ</t>
  </si>
  <si>
    <t>051-2000880</t>
  </si>
  <si>
    <t>Оснащение устьев газовых скважин в затапливаемой зоне локальной автоматикой и телемеханикой управления скважиной</t>
  </si>
  <si>
    <t>051-2005354</t>
  </si>
  <si>
    <t>Обводненный фонд газовых скважин Оренбургского нефтегазоконденсатного месторождения</t>
  </si>
  <si>
    <t>051-2005355</t>
  </si>
  <si>
    <t>Реконструкция скважины № 178 Оренбургского НГКМ для механизированной добычи газа по схеме прямой закачки пластовой воды в поглощающий горизонт</t>
  </si>
  <si>
    <t>051-2005482</t>
  </si>
  <si>
    <t>Реконструкция объектов ГПУ для приема, подготовки и учета продукции нефтяных скважин Филипповской залежи</t>
  </si>
  <si>
    <t>051-2005353</t>
  </si>
  <si>
    <t>Оснащение скважин сероводородсодержащих месторождений энергонезависимой системой телемеханики с функциями аварийной защиты и раннего оповещения</t>
  </si>
  <si>
    <t>051-2005715</t>
  </si>
  <si>
    <t>Техперевооружение обвязки устьев скважин для регулировки подачи метанола</t>
  </si>
  <si>
    <t>051-2006451</t>
  </si>
  <si>
    <t>Реконструкция технологических линий УКПГ-10 Оренбургского НГКМ</t>
  </si>
  <si>
    <t>051-2000877</t>
  </si>
  <si>
    <t>Техперевооружение газоконденсатопроводов УЭСП по Абдулинскому направлению</t>
  </si>
  <si>
    <t>051-2004659</t>
  </si>
  <si>
    <t>Газоконденсатопродуктопроводы УЭСП по Дедуровскому коридору</t>
  </si>
  <si>
    <t>051-2000878</t>
  </si>
  <si>
    <t>Газоконденсатопродуктопроводы УЭСП по Западному коридору</t>
  </si>
  <si>
    <t>051-2004652</t>
  </si>
  <si>
    <t>Газоконденсатопродуктопроводы УЭСП по Павловскому коридору</t>
  </si>
  <si>
    <t>051-2004616</t>
  </si>
  <si>
    <t>Продуктопроводы УЭСП Салаватско-Уфимского направления</t>
  </si>
  <si>
    <t>051-2000872</t>
  </si>
  <si>
    <t>Реконструкция газопровода очищенного газа "Союз" - ДКС-1"</t>
  </si>
  <si>
    <t>051-2007105</t>
  </si>
  <si>
    <t>Реконструкция технологической линии УКПГ-9 Оренбургского НГКМ с применением МКУ</t>
  </si>
  <si>
    <t>051-2007106</t>
  </si>
  <si>
    <t>Реконструкция и техническое перевооружение УКПГ-2 ОНГКМ</t>
  </si>
  <si>
    <t>051-2007107</t>
  </si>
  <si>
    <t>Реконструкция и техническое перевооружение УКПГ-6 ОНГКМ</t>
  </si>
  <si>
    <t>051-2007108</t>
  </si>
  <si>
    <t>Реконструкция УКПГ-15 ОНГКМ</t>
  </si>
  <si>
    <t>051-2007294</t>
  </si>
  <si>
    <t>Реконструкция и техническое перевооружение УКПГ-1 ОНГКМ</t>
  </si>
  <si>
    <t>051-2007295</t>
  </si>
  <si>
    <t>Реконструкция и техническое перевооружение УКПГ-12 ОНГКМ</t>
  </si>
  <si>
    <t>051-2007296</t>
  </si>
  <si>
    <t>Реконструкция и техническое перевооружение УКПГ-14 ОНГКМ</t>
  </si>
  <si>
    <t>051-2005711</t>
  </si>
  <si>
    <t>Подключение дополнительных скважин доразработки Артинско-сакмарской залежи Оренбургского НГКМ</t>
  </si>
  <si>
    <t>051-3005711</t>
  </si>
  <si>
    <t>Бурение эксплуатационное газовых скважин доразработки Артинско-сакмарской залежи Оренбургского НГКМ</t>
  </si>
  <si>
    <t>051-2005712</t>
  </si>
  <si>
    <t>Подключение дополнительных газовых скважин доразработки Филипповской залежи Оренбургского НГКМ</t>
  </si>
  <si>
    <t>051-3005712</t>
  </si>
  <si>
    <t>Бурение эксплуатационное газовых скважин Филипповской залежи Оренбургского НГКМ</t>
  </si>
  <si>
    <t>051-3000865</t>
  </si>
  <si>
    <t>Бурение эксплуатационное на м/р. Подключение скважин доразработки основной газоконденсатной залежи Оренбургского НГКМ</t>
  </si>
  <si>
    <t>019-2000736</t>
  </si>
  <si>
    <t>Обустройство Песчаного месторождения</t>
  </si>
  <si>
    <t>019-3000736</t>
  </si>
  <si>
    <t>Эксплуатационное бурение. Песчаное нефтегазоконденсатное месторождение</t>
  </si>
  <si>
    <t>Печорогородское</t>
  </si>
  <si>
    <t>051-3005424</t>
  </si>
  <si>
    <t>Эксплуатационное бурение. Печорогородское газоконденсатное месторождение</t>
  </si>
  <si>
    <t>051-2005424</t>
  </si>
  <si>
    <t>Обустройство Печорогородского ГКМ</t>
  </si>
  <si>
    <t>019-3004224</t>
  </si>
  <si>
    <t>Эксплуатационное бурение. Прибрежное газоконденсатное месторождение</t>
  </si>
  <si>
    <t>ПурпейскаябазаМТС</t>
  </si>
  <si>
    <t>051-2005689</t>
  </si>
  <si>
    <t>Реконструкция склада ГСМ  Пурпейской БМТС</t>
  </si>
  <si>
    <t>Тас-Юряхинское</t>
  </si>
  <si>
    <t>051-2006733</t>
  </si>
  <si>
    <t>Обустройство Тас-Юряхского месторождения</t>
  </si>
  <si>
    <t>051-3006733</t>
  </si>
  <si>
    <t xml:space="preserve">Бурение эксплуатационное на месторождении. Эксплуатационные газовые скважины  
Тас-Юряхского месторождения </t>
  </si>
  <si>
    <t>036-2001043</t>
  </si>
  <si>
    <t>Техническое перевооружение, реконструкция, расширение действующих мощностей Уренгойского НГКМ</t>
  </si>
  <si>
    <t>051-2004692</t>
  </si>
  <si>
    <t>Техническое перевооружение газовых, газоконденсатных скважин Уренгойского НГКМ</t>
  </si>
  <si>
    <t>051-2005977</t>
  </si>
  <si>
    <t>Техническое перевооружение газовых, газоконденсатных скважин Уренгойского месторождения (2 этап)</t>
  </si>
  <si>
    <t>051-2004433</t>
  </si>
  <si>
    <t>Техническое перевооружение обвязок кустов газовых, газоконденсатных  скважин  Уренгойского НГКМ</t>
  </si>
  <si>
    <t>051-2005090</t>
  </si>
  <si>
    <t>Техническое перевооружение газоперекачивающих агрегатов. Замена СПЧ на ДКС Уренгойского НГКМ</t>
  </si>
  <si>
    <t>051-2005978</t>
  </si>
  <si>
    <t>Техническое перевооружение газоперекачивающих агрегатов. Замена СПЧ на ДКС Уренгойского НГКМ (2 этап)</t>
  </si>
  <si>
    <t>051-2005191</t>
  </si>
  <si>
    <t>Реконструкция системы подготовки, очистки и закачки сточных вод в поглощающие скважины Уренгойского НГКМ</t>
  </si>
  <si>
    <t>051-2004691</t>
  </si>
  <si>
    <t>Техническое перевооружение нефтяных скважин Уренгойского НГКМ. Реконструкция объектов добычи и подготовки углеводородного сырья</t>
  </si>
  <si>
    <t>051-2005370</t>
  </si>
  <si>
    <t>Реконструкция и техническое перевооружение объектов и инженерных систем межпромысловых коллекторов Уренгойского НГКМ. 1 этап</t>
  </si>
  <si>
    <t>051-2005277</t>
  </si>
  <si>
    <t>Реконструкция ФА, промысловых и технологических трубопроводов с установкой средств коррозионного мониторинга объектов второго Ачимовского участка Уренгойского НГКМ</t>
  </si>
  <si>
    <t>051-2006174</t>
  </si>
  <si>
    <t>Реконструкция технологического оборудования. Ачимовский участок Уренгойского НГКМ. (Письмо ПАО "Газпром" от 04.07.2022 № 06/44/4/06-2677)</t>
  </si>
  <si>
    <t>051-1005673</t>
  </si>
  <si>
    <t>Реконструкция водозаборов Таб–Яха, Хадуттэ.</t>
  </si>
  <si>
    <t>051-2006446</t>
  </si>
  <si>
    <t>Комплексная реконструкция УКПГ. Перевод УКПГ в УППГ. УКПГ–1АС, 1, 2, 3, 5, 6, 8,  9, 10, 11, 13, 15</t>
  </si>
  <si>
    <t>051-2006448</t>
  </si>
  <si>
    <t>Реконструкция систем электрохимзащиты объектов ООО «Газпром добыча Уренгой» ГП (ГКП) №№ 1-16, 1А</t>
  </si>
  <si>
    <t>051-2007291</t>
  </si>
  <si>
    <t>Техническое перевооружение дожимных компрессорных станций на УКПГ Уренгойского НГКМ. (1 этап)</t>
  </si>
  <si>
    <t>051-2007292</t>
  </si>
  <si>
    <t>Внедрение технологии непрерывной дозированной подачи жидких ПАВ и ингибиторов в скважины Уренгойского, Северо-Уренгойского и Ен-Яхинского НГКМ</t>
  </si>
  <si>
    <t>051-2007293</t>
  </si>
  <si>
    <t>Техническое перевооружение обвязок ачимовских скважин (линий ГС1) Уренгойского НГКМ</t>
  </si>
  <si>
    <t>051-2001040</t>
  </si>
  <si>
    <t>Дообустройство второго опытного участка Ачимовских отложений Уренгойского НГКМ на полное развитие</t>
  </si>
  <si>
    <t>051-3001040</t>
  </si>
  <si>
    <t>Эксплуатационное бурение. Дообустройство второго опытного участка Ачимовских отложений Уренгойского НГКМ на полное развитие</t>
  </si>
  <si>
    <t>051-2006445</t>
  </si>
  <si>
    <t>Ачимовский участок Уренгойского НГКМ. ДКС 1-й очереди на УКПГ-22</t>
  </si>
  <si>
    <t>051-2001026</t>
  </si>
  <si>
    <t>Дообустройство газоконденсатных скважин Уренгойского НГКМ</t>
  </si>
  <si>
    <t>051-3001026</t>
  </si>
  <si>
    <t>Эксплуатационное бурение. Дообустройство газоконденсатных скважин Уренгойского НГКМ</t>
  </si>
  <si>
    <t>051-3001052</t>
  </si>
  <si>
    <t>Эксплуатационное бурение. Обустройство Уренгойского нефтегазоконденсатного месторождения</t>
  </si>
  <si>
    <t>051-2005263</t>
  </si>
  <si>
    <t>ДКС 3-и очереди на УКПГ-7 сеноманской залежи Уренгойского НГКМ</t>
  </si>
  <si>
    <t>051-2005268</t>
  </si>
  <si>
    <t>ДКС 3-и очереди на УКПГ-12 сеноманской залежи Уренгойского НГКМ</t>
  </si>
  <si>
    <t>051-2005271</t>
  </si>
  <si>
    <t>ДКС 3-и очереди на УКПГ-4 сеноманской залежи Уренгойского НГКМ</t>
  </si>
  <si>
    <t>051-2006447</t>
  </si>
  <si>
    <t>Расширение мощностей на полное развитие ДКС сеноманской залежи Песцовой площади Уренгойского НГКМ</t>
  </si>
  <si>
    <t>051-2004015</t>
  </si>
  <si>
    <t>Техническое перевооружение газовой скважины № 514 ГКП-5 Уренгойского НГКМ. Оснащение концентрической лифтовой колонной</t>
  </si>
  <si>
    <t>051-2006465</t>
  </si>
  <si>
    <t>Реконструкция сливной эстакады для приема нефтепродуктов автомобильным транспортом на базовый склад ГСМ, ДЭГа и метанола промбазы Харасавэйского ГКМ</t>
  </si>
  <si>
    <t>051-2000796</t>
  </si>
  <si>
    <t xml:space="preserve">Обустройство сеноман-аптских залежей Харасавэйского ГКМ </t>
  </si>
  <si>
    <t>051-3000796</t>
  </si>
  <si>
    <t>Эксплуатационное бурение. Харасавэйское ГКМ</t>
  </si>
  <si>
    <t>051-2000825</t>
  </si>
  <si>
    <t xml:space="preserve">Обустройство сеноман-аптских залежей Харасавэйского ГКМ. Газопровод подключения Харасавэйского ГКМ </t>
  </si>
  <si>
    <t>051-2006524</t>
  </si>
  <si>
    <t>Техническое перевооружение объектов ООО «Газпром добыча Ноябрьск» (2 этап)</t>
  </si>
  <si>
    <t>051-2006962</t>
  </si>
  <si>
    <t>Техническое перевооружение объектов ООО «Газпром добыча Ноябрьск» (3 этап)</t>
  </si>
  <si>
    <t>051-2007090</t>
  </si>
  <si>
    <t>ПСП «Чаяндинский»</t>
  </si>
  <si>
    <t>051-2007102</t>
  </si>
  <si>
    <t>Техническое перевооружение систем противопожарной защиты Чаяндинского НГКМ</t>
  </si>
  <si>
    <t>051-2000860</t>
  </si>
  <si>
    <t>Обустройство Чаяндинского НГКМ</t>
  </si>
  <si>
    <t>051-3000860</t>
  </si>
  <si>
    <t>Бурение эксплуатационное на месторождении. Эксплуатационные газовые скважины Чаяндинского НГКМ</t>
  </si>
  <si>
    <t>051-2006296</t>
  </si>
  <si>
    <t>ДКС  (1 очередь)  УКПГ-3 Чаяндинского НГКМ</t>
  </si>
  <si>
    <t>051-2006297</t>
  </si>
  <si>
    <t>ДКС  (1 очередь)  УППГ-2 Чаяндинского НГКМ</t>
  </si>
  <si>
    <t>051-2006298</t>
  </si>
  <si>
    <t>ДКС  (1 очередь) УППГ-4 Чаяндинского НГКМ</t>
  </si>
  <si>
    <t>051-2006344</t>
  </si>
  <si>
    <t>Реконструкция полигона твердых бытовых и промышленных отходов в составе объекта «Обустройство Чаяндинского НГКМ»</t>
  </si>
  <si>
    <t>051-2000793</t>
  </si>
  <si>
    <t>Реконструкция и техническое перевооружение объектов добычи газа Юбилейного НГКМ</t>
  </si>
  <si>
    <t>051-2004676</t>
  </si>
  <si>
    <t>Реконструкция обвязок кустов газовых скважин Юбилейного НГКМ</t>
  </si>
  <si>
    <t>051-2000804</t>
  </si>
  <si>
    <t>Реконструкция и техническое перевооружение объектов добычи газа Юбилейного НГКМ. 2-я очередь</t>
  </si>
  <si>
    <t>051-2004680</t>
  </si>
  <si>
    <t>Дообустройство Юбилейного НГКМ (нижнемеловые отложения)</t>
  </si>
  <si>
    <t>051-3004680</t>
  </si>
  <si>
    <t>Эксплуатационное бурение. Дообустройство Юбилейного НГКМ (пласты АУ-11 и ПК 18-20) (нижнемеловые отложения)</t>
  </si>
  <si>
    <t>051-3006588</t>
  </si>
  <si>
    <t>Эксплуатационное бурение. Юбилейное НГКМ. Восстановление газовых скважин зарезкой боковых стволов</t>
  </si>
  <si>
    <t>051-2005679</t>
  </si>
  <si>
    <t>Техническое перевооружение ГПА ДКС (2-я очередь) Юбилейного НГКМ (замена СПЧ)</t>
  </si>
  <si>
    <t>051-2006345</t>
  </si>
  <si>
    <t>Реконструкция полигона утилизации ТБО Юбилейного НГКМ</t>
  </si>
  <si>
    <t>051-2001297</t>
  </si>
  <si>
    <t>Обустройство Южно-Киринского месторождения</t>
  </si>
  <si>
    <t>051-3001297</t>
  </si>
  <si>
    <t>Бурение эксплуатационное на месторождениях. Обустройство Южно-Киринского месторождения</t>
  </si>
  <si>
    <t>051-3005149</t>
  </si>
  <si>
    <t>Бурение эксплуатационное на месторождениях. Обустройство Южно-Киринского месторождения (2 этап)</t>
  </si>
  <si>
    <t>051-2004694</t>
  </si>
  <si>
    <t>Техперевооружение газовых скважин Ямбургского НГКМ</t>
  </si>
  <si>
    <t>051-2005474</t>
  </si>
  <si>
    <t>Техническое перевооружение газоконденсатных скважин Ямбургского НГКМ</t>
  </si>
  <si>
    <t>051-2006573</t>
  </si>
  <si>
    <t>Техническое перевооружение газовых и газоконденсатных скважин Ямбургского НГКМ</t>
  </si>
  <si>
    <t>051-2004432</t>
  </si>
  <si>
    <t>Техническое перевооружение обвязки кустов газовых скважин Ямбургского НГКМ</t>
  </si>
  <si>
    <t>051-2001204</t>
  </si>
  <si>
    <t>Реконструкция и техперевооружение объектов Ямбургского ГКМ. 2-й этап реконструкции</t>
  </si>
  <si>
    <t>051-2004023</t>
  </si>
  <si>
    <t>Реконструкция газосборной сети с применением МКУ и объединением УКПГ Ямбургского НГКМ</t>
  </si>
  <si>
    <t>051-2004693</t>
  </si>
  <si>
    <t>Инженерная защита балочных переходов газопровордов-шлейфов  и межпромысловых коллекторов Ямбургского НГКМ</t>
  </si>
  <si>
    <t>051-2005475</t>
  </si>
  <si>
    <t>Реконструкция энергомодулей № 1, 2, 3 ГТЭС-72 Ямбургского НГКМ</t>
  </si>
  <si>
    <t>051-2005698</t>
  </si>
  <si>
    <t>Реконструкция ГТЭС-15 УКПГ-9 Харвутинской площади Ямбургского НГКМ</t>
  </si>
  <si>
    <t>051-2005697</t>
  </si>
  <si>
    <t>Реконструкция УЗПП УКПГ-1В Ямбургского НГКМ</t>
  </si>
  <si>
    <t>051-2005853</t>
  </si>
  <si>
    <t>Реконструкция УПМТ-1 УКПГ-1В Ямбургского НГКМ</t>
  </si>
  <si>
    <t>051-2005261</t>
  </si>
  <si>
    <t>Реконструкция здания производственных корпусов с тёплой стоянкой УКПГ-4 и УКПГ-9 Ямбургского НГКМ</t>
  </si>
  <si>
    <t>051-2006022</t>
  </si>
  <si>
    <t>Реконструкция ПАЭС 2500 УКПГ-1В ЯНГКМ</t>
  </si>
  <si>
    <t>051-2001230</t>
  </si>
  <si>
    <t>Реконструкция и модернизация Ямбургского ГКМ</t>
  </si>
  <si>
    <t>051-2007289</t>
  </si>
  <si>
    <t>Техническое перевооружение газоперекачивающих агрегатов ДКС УКПГ-2, УКПГ-3 сеноманской залежи Ямбургского НГКМ</t>
  </si>
  <si>
    <t>051-2007290</t>
  </si>
  <si>
    <t>Техническое перевооружение газоперекачивающих агрегатов ДКС УКПГ-4, УКПГ-7 сеноманской залежи Ямбургского НГКМ</t>
  </si>
  <si>
    <t>051-3001202</t>
  </si>
  <si>
    <t>Эксплуатационное бурение. Подключение дополнительных скважин нижнемеловых отложений Ямбургского НГКМ</t>
  </si>
  <si>
    <t>051-3001209</t>
  </si>
  <si>
    <t>Эксплуатационное бурение. Обустройство Харвутинской площади Ямбургского ГКМ</t>
  </si>
  <si>
    <t>051-2004952</t>
  </si>
  <si>
    <t>Обустройство Восточно-Харвутинской площади Ямбургского НГКМ</t>
  </si>
  <si>
    <t>051-3004952</t>
  </si>
  <si>
    <t>Эксплуатационное бурение. Обустройство Восточно-Харвутинской площади Ямбургского НГКМ</t>
  </si>
  <si>
    <t>051-2005366</t>
  </si>
  <si>
    <t>Расширение обустройства нижнемеловых отложений Ямбургского НГКМ</t>
  </si>
  <si>
    <t>051-3005366</t>
  </si>
  <si>
    <t>Эксплуатационное бурение. Расширение обустройства нижнемеловых отложений Ямбургского НГКМ</t>
  </si>
  <si>
    <t>051-2006512</t>
  </si>
  <si>
    <t>Дожимная компрессорная станция Харвутинской площади Ямбургского ГКМ</t>
  </si>
  <si>
    <t>051-2000792</t>
  </si>
  <si>
    <t>Реконструкция и техническое перевооружение объектов добычи газа Ямсовейского НГКМ</t>
  </si>
  <si>
    <t>051-2005677</t>
  </si>
  <si>
    <t>Реконструкция ДКС Ямсовейского НГКМ (2-я очередь)</t>
  </si>
  <si>
    <t>051-2005708</t>
  </si>
  <si>
    <t>Реконструкция газосборной сети Ямсовейского НГКМ</t>
  </si>
  <si>
    <t>051-2006966</t>
  </si>
  <si>
    <t>Техническое перевооружение внутриплощадочных сетей Ямсовейского НГКМ</t>
  </si>
  <si>
    <t>051-2000800</t>
  </si>
  <si>
    <t>Реконструкция и техническое перевооружение объектов добычи газа Ямсовейского НГКМ. 2 очередь</t>
  </si>
  <si>
    <t>Комплексная программа реконструкции</t>
  </si>
  <si>
    <t>КПР</t>
  </si>
  <si>
    <t>2027-2031</t>
  </si>
  <si>
    <t>УКПГ</t>
  </si>
  <si>
    <t xml:space="preserve">051-3001236 </t>
  </si>
  <si>
    <t xml:space="preserve"> </t>
  </si>
  <si>
    <t>051-2064</t>
  </si>
  <si>
    <t>Эксплуатационное бурение. Обустройство Чаяндинского НГКМ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</si>
</sst>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10"/>
      <color rgb="FF000000"/>
      <name val="Calibri"/>
      <family val="2"/>
      <scheme val="minor"/>
    </font>
    <font>
      <sz val="11"/>
      <color theme="6" tint="0.3999755851924192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3" fillId="0" borderId="0" xfId="1"/>
    <xf numFmtId="0" fontId="1" fillId="2" borderId="1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0" borderId="0" xfId="1" applyAlignment="1">
      <alignment wrapText="1"/>
    </xf>
    <xf numFmtId="0" fontId="3" fillId="0" borderId="0" xfId="1" applyAlignment="1">
      <alignment horizontal="right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right"/>
    </xf>
    <xf numFmtId="0" fontId="5" fillId="0" borderId="1" xfId="0" applyFont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 xr:uid="{00000000-0005-0000-0000-000001000000}"/>
    <cellStyle name="Обычный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G_Chepurko/Desktop/&#1060;&#1057;&#1044;/03.09.2025/&#1060;&#1057;&#1044;/&#1060;&#1057;&#1044;_&#1057;&#1090;&#1088;&#1086;&#1081;&#1082;&#1072;.xlsx" TargetMode="External"/><Relationship Id="rId1" Type="http://schemas.openxmlformats.org/officeDocument/2006/relationships/externalLinkPath" Target="/Users/G_Chepurko/Desktop/&#1060;&#1057;&#1044;/03.09.2025/&#1060;&#1057;&#1044;/&#1060;&#1057;&#1044;_&#1057;&#1090;&#1088;&#1086;&#1081;&#108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Лист1"/>
      <sheetName val="Справочник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7"/>
  <sheetViews>
    <sheetView tabSelected="1" zoomScale="80" zoomScaleNormal="80" workbookViewId="0">
      <selection activeCell="A13" sqref="A13:XFD25"/>
    </sheetView>
  </sheetViews>
  <sheetFormatPr defaultRowHeight="14.5" x14ac:dyDescent="0.35"/>
  <cols>
    <col min="2" max="2" width="45.54296875" customWidth="1"/>
    <col min="3" max="4" width="42.81640625" customWidth="1"/>
    <col min="5" max="6" width="31.453125" customWidth="1"/>
    <col min="7" max="7" width="27.26953125" customWidth="1"/>
    <col min="8" max="8" width="51.54296875" customWidth="1"/>
    <col min="9" max="10" width="40.54296875" customWidth="1"/>
    <col min="11" max="11" width="14.26953125" customWidth="1"/>
    <col min="12" max="12" width="14" customWidth="1"/>
    <col min="13" max="13" width="12.453125" customWidth="1"/>
    <col min="14" max="14" width="15.7265625" customWidth="1"/>
    <col min="15" max="15" width="19.453125" customWidth="1"/>
    <col min="16" max="16" width="36.7265625" customWidth="1"/>
    <col min="17" max="17" width="64" customWidth="1"/>
  </cols>
  <sheetData>
    <row r="1" spans="2:17" x14ac:dyDescent="0.35">
      <c r="B1" s="1" t="s">
        <v>3</v>
      </c>
      <c r="C1" s="1"/>
      <c r="D1" s="1"/>
      <c r="I1" s="1"/>
      <c r="J1" s="1"/>
    </row>
    <row r="2" spans="2:17" x14ac:dyDescent="0.35">
      <c r="B2" t="s">
        <v>4</v>
      </c>
      <c r="I2" s="14"/>
      <c r="J2" s="14"/>
    </row>
    <row r="3" spans="2:17" x14ac:dyDescent="0.35">
      <c r="B3" s="4" t="s">
        <v>2</v>
      </c>
      <c r="C3" s="8">
        <v>2025</v>
      </c>
    </row>
    <row r="4" spans="2:17" x14ac:dyDescent="0.35">
      <c r="B4" s="4" t="s">
        <v>0</v>
      </c>
      <c r="C4" s="19" t="s">
        <v>10</v>
      </c>
    </row>
    <row r="5" spans="2:17" x14ac:dyDescent="0.35">
      <c r="B5" s="4" t="s">
        <v>13</v>
      </c>
      <c r="C5" s="19" t="s">
        <v>114</v>
      </c>
    </row>
    <row r="6" spans="2:17" x14ac:dyDescent="0.35">
      <c r="B6" s="4" t="s">
        <v>142</v>
      </c>
      <c r="C6" s="2"/>
    </row>
    <row r="7" spans="2:17" x14ac:dyDescent="0.35">
      <c r="B7" s="4" t="s">
        <v>143</v>
      </c>
      <c r="C7" s="2"/>
    </row>
    <row r="8" spans="2:17" x14ac:dyDescent="0.35">
      <c r="B8" s="17"/>
      <c r="C8" s="14"/>
      <c r="D8" s="14"/>
      <c r="I8" s="14"/>
      <c r="J8" s="14"/>
    </row>
    <row r="9" spans="2:17" x14ac:dyDescent="0.35">
      <c r="B9" s="25" t="s">
        <v>127</v>
      </c>
      <c r="C9" s="24" t="s">
        <v>128</v>
      </c>
      <c r="D9" s="24" t="s">
        <v>4</v>
      </c>
      <c r="E9" s="24" t="s">
        <v>5</v>
      </c>
      <c r="F9" s="24" t="s">
        <v>621</v>
      </c>
      <c r="G9" s="24" t="s">
        <v>1</v>
      </c>
      <c r="H9" s="24" t="s">
        <v>9</v>
      </c>
      <c r="I9" s="24" t="s">
        <v>131</v>
      </c>
      <c r="J9" s="24" t="s">
        <v>144</v>
      </c>
      <c r="K9" s="24" t="s">
        <v>132</v>
      </c>
      <c r="L9" s="24"/>
      <c r="M9" s="24" t="s">
        <v>133</v>
      </c>
      <c r="N9" s="24"/>
      <c r="O9" s="24" t="s">
        <v>11</v>
      </c>
      <c r="P9" s="24" t="s">
        <v>6</v>
      </c>
      <c r="Q9" s="24" t="s">
        <v>116</v>
      </c>
    </row>
    <row r="10" spans="2:17" ht="50.25" customHeight="1" x14ac:dyDescent="0.35">
      <c r="B10" s="25"/>
      <c r="C10" s="24"/>
      <c r="D10" s="24"/>
      <c r="E10" s="24"/>
      <c r="F10" s="24"/>
      <c r="G10" s="24"/>
      <c r="H10" s="24"/>
      <c r="I10" s="24"/>
      <c r="J10" s="24"/>
      <c r="K10" s="6" t="s">
        <v>134</v>
      </c>
      <c r="L10" s="6" t="s">
        <v>135</v>
      </c>
      <c r="M10" s="6" t="s">
        <v>134</v>
      </c>
      <c r="N10" s="6" t="s">
        <v>135</v>
      </c>
      <c r="O10" s="24"/>
      <c r="P10" s="24"/>
      <c r="Q10" s="24"/>
    </row>
    <row r="11" spans="2:17" x14ac:dyDescent="0.35">
      <c r="B11" s="3" t="s">
        <v>625</v>
      </c>
      <c r="C11" s="3" t="s">
        <v>626</v>
      </c>
      <c r="D11" s="7" t="s">
        <v>7</v>
      </c>
      <c r="E11" s="7" t="s">
        <v>119</v>
      </c>
      <c r="F11" s="7" t="s">
        <v>7</v>
      </c>
      <c r="G11" s="7" t="s">
        <v>122</v>
      </c>
      <c r="H11" s="7" t="s">
        <v>8</v>
      </c>
      <c r="I11" s="15" t="s">
        <v>136</v>
      </c>
      <c r="J11" t="s">
        <v>627</v>
      </c>
      <c r="K11" s="15">
        <v>2025</v>
      </c>
      <c r="L11" s="16">
        <v>2025</v>
      </c>
      <c r="M11" s="15">
        <v>2026</v>
      </c>
      <c r="N11" s="15">
        <v>2027</v>
      </c>
      <c r="O11" s="7">
        <v>2027</v>
      </c>
      <c r="P11" s="7">
        <v>1227</v>
      </c>
      <c r="Q11" s="2" t="s">
        <v>130</v>
      </c>
    </row>
    <row r="12" spans="2:17" ht="29" x14ac:dyDescent="0.35">
      <c r="B12" s="3" t="s">
        <v>129</v>
      </c>
      <c r="C12" s="3" t="s">
        <v>628</v>
      </c>
      <c r="D12" s="7" t="s">
        <v>7</v>
      </c>
      <c r="E12" s="7" t="s">
        <v>120</v>
      </c>
      <c r="F12" s="7" t="s">
        <v>7</v>
      </c>
      <c r="G12" s="7" t="s">
        <v>122</v>
      </c>
      <c r="H12" s="7" t="s">
        <v>8</v>
      </c>
      <c r="I12" s="15" t="s">
        <v>137</v>
      </c>
      <c r="J12" s="15"/>
      <c r="K12" s="15">
        <v>2026</v>
      </c>
      <c r="L12" s="15">
        <v>2027</v>
      </c>
      <c r="M12" s="15">
        <v>2028</v>
      </c>
      <c r="N12" s="15">
        <v>2029</v>
      </c>
      <c r="O12" s="7">
        <v>2027</v>
      </c>
      <c r="P12" s="7">
        <v>1227</v>
      </c>
      <c r="Q12" s="2" t="s">
        <v>130</v>
      </c>
    </row>
    <row r="13" spans="2:17" ht="29" x14ac:dyDescent="0.35">
      <c r="B13" s="3"/>
      <c r="C13" s="23" t="str">
        <f>IFERROR(VLOOKUP(B13,Справочник!$H:$I,2,FALSE),"Необходимо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13" s="7"/>
      <c r="E13" s="7"/>
      <c r="F13" s="7" t="s">
        <v>7</v>
      </c>
      <c r="G13" s="7"/>
      <c r="H13" s="7"/>
      <c r="I13" s="15"/>
      <c r="J13" s="2"/>
      <c r="K13" s="15"/>
      <c r="L13" s="15"/>
      <c r="M13" s="15"/>
      <c r="N13" s="15"/>
      <c r="O13" s="7"/>
      <c r="P13" s="7"/>
      <c r="Q13" s="18"/>
    </row>
    <row r="14" spans="2:17" ht="29" x14ac:dyDescent="0.35">
      <c r="B14" s="3"/>
      <c r="C14" s="23" t="str">
        <f>IFERROR(VLOOKUP(B14,Справочник!$H:$I,2,FALSE),"Необходимо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14" s="7"/>
      <c r="E14" s="7"/>
      <c r="F14" s="7" t="s">
        <v>7</v>
      </c>
      <c r="G14" s="7"/>
      <c r="H14" s="7"/>
      <c r="I14" s="15"/>
      <c r="J14" s="2"/>
      <c r="K14" s="15"/>
      <c r="L14" s="15"/>
      <c r="M14" s="15"/>
      <c r="N14" s="15"/>
      <c r="O14" s="7"/>
      <c r="P14" s="7"/>
      <c r="Q14" s="18"/>
    </row>
    <row r="15" spans="2:17" ht="29" x14ac:dyDescent="0.35">
      <c r="B15" s="3"/>
      <c r="C15" s="23" t="str">
        <f>IFERROR(VLOOKUP(B15,Справочник!$H:$I,2,FALSE),"Необходимо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15" s="7"/>
      <c r="E15" s="7"/>
      <c r="F15" s="7" t="s">
        <v>7</v>
      </c>
      <c r="G15" s="7"/>
      <c r="H15" s="7"/>
      <c r="I15" s="15"/>
      <c r="J15" s="2"/>
      <c r="K15" s="15"/>
      <c r="L15" s="15"/>
      <c r="M15" s="15"/>
      <c r="N15" s="15"/>
      <c r="O15" s="7"/>
      <c r="P15" s="7"/>
      <c r="Q15" s="18"/>
    </row>
    <row r="16" spans="2:17" ht="29" x14ac:dyDescent="0.35">
      <c r="B16" s="3"/>
      <c r="C16" s="23" t="str">
        <f>IFERROR(VLOOKUP(B16,Справочник!$H:$I,2,FALSE),"Необходимо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16" s="7"/>
      <c r="E16" s="7"/>
      <c r="F16" s="7" t="s">
        <v>7</v>
      </c>
      <c r="G16" s="7"/>
      <c r="H16" s="7"/>
      <c r="I16" s="15"/>
      <c r="J16" s="2"/>
      <c r="K16" s="15"/>
      <c r="L16" s="15"/>
      <c r="M16" s="15"/>
      <c r="N16" s="15"/>
      <c r="O16" s="7"/>
      <c r="P16" s="7"/>
      <c r="Q16" s="18"/>
    </row>
    <row r="17" spans="2:17" ht="29" x14ac:dyDescent="0.35">
      <c r="B17" s="3"/>
      <c r="C17" s="23" t="str">
        <f>IFERROR(VLOOKUP(B17,Справочник!$H:$I,2,FALSE),"Необходимо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17" s="7"/>
      <c r="E17" s="7"/>
      <c r="F17" s="7" t="s">
        <v>7</v>
      </c>
      <c r="G17" s="7"/>
      <c r="H17" s="7"/>
      <c r="I17" s="15"/>
      <c r="J17" s="2"/>
      <c r="K17" s="15"/>
      <c r="L17" s="15"/>
      <c r="M17" s="15"/>
      <c r="N17" s="15"/>
      <c r="O17" s="7"/>
      <c r="P17" s="7"/>
      <c r="Q17" s="18"/>
    </row>
    <row r="18" spans="2:17" ht="29" x14ac:dyDescent="0.35">
      <c r="B18" s="3"/>
      <c r="C18" s="23" t="str">
        <f>IFERROR(VLOOKUP(B18,Справочник!$H:$I,2,FALSE),"Необходимо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18" s="7"/>
      <c r="E18" s="7"/>
      <c r="F18" s="7" t="s">
        <v>7</v>
      </c>
      <c r="G18" s="7"/>
      <c r="H18" s="7"/>
      <c r="I18" s="15"/>
      <c r="J18" s="2"/>
      <c r="K18" s="15"/>
      <c r="L18" s="15"/>
      <c r="M18" s="15"/>
      <c r="N18" s="15"/>
      <c r="O18" s="7"/>
      <c r="P18" s="7"/>
      <c r="Q18" s="18"/>
    </row>
    <row r="19" spans="2:17" ht="29" x14ac:dyDescent="0.35">
      <c r="B19" s="3"/>
      <c r="C19" s="23" t="str">
        <f>IFERROR(VLOOKUP(B19,Справочник!$H:$I,2,FALSE),"Необходимо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19" s="7"/>
      <c r="E19" s="7"/>
      <c r="F19" s="7" t="s">
        <v>7</v>
      </c>
      <c r="G19" s="7"/>
      <c r="H19" s="7"/>
      <c r="I19" s="15"/>
      <c r="J19" s="2"/>
      <c r="K19" s="15"/>
      <c r="L19" s="15"/>
      <c r="M19" s="15"/>
      <c r="N19" s="15"/>
      <c r="O19" s="7"/>
      <c r="P19" s="7"/>
      <c r="Q19" s="18"/>
    </row>
    <row r="20" spans="2:17" ht="29" x14ac:dyDescent="0.35">
      <c r="B20" s="3"/>
      <c r="C20" s="23" t="str">
        <f>IFERROR(VLOOKUP(B20,Справочник!$H:$I,2,FALSE),"Необходимо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20" s="7"/>
      <c r="E20" s="7"/>
      <c r="F20" s="7" t="s">
        <v>7</v>
      </c>
      <c r="G20" s="7"/>
      <c r="H20" s="7"/>
      <c r="I20" s="15"/>
      <c r="J20" s="2"/>
      <c r="K20" s="15"/>
      <c r="L20" s="15"/>
      <c r="M20" s="15"/>
      <c r="N20" s="15"/>
      <c r="O20" s="7"/>
      <c r="P20" s="7"/>
      <c r="Q20" s="18"/>
    </row>
    <row r="21" spans="2:17" ht="29" x14ac:dyDescent="0.35">
      <c r="B21" s="3"/>
      <c r="C21" s="23" t="str">
        <f>IFERROR(VLOOKUP(B21,Справочник!$H:$I,2,FALSE),"Необходимо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21" s="7"/>
      <c r="E21" s="7"/>
      <c r="F21" s="7" t="s">
        <v>7</v>
      </c>
      <c r="G21" s="7"/>
      <c r="H21" s="7"/>
      <c r="I21" s="15"/>
      <c r="J21" s="2"/>
      <c r="K21" s="15"/>
      <c r="L21" s="15"/>
      <c r="M21" s="15"/>
      <c r="N21" s="15"/>
      <c r="O21" s="7"/>
      <c r="P21" s="7"/>
      <c r="Q21" s="18"/>
    </row>
    <row r="22" spans="2:17" ht="29" x14ac:dyDescent="0.35">
      <c r="B22" s="3"/>
      <c r="C22" s="23" t="str">
        <f>IFERROR(VLOOKUP(B22,Справочник!$H:$I,2,FALSE),"Необходимо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22" s="2"/>
      <c r="E22" s="2"/>
      <c r="F22" s="7" t="s">
        <v>7</v>
      </c>
      <c r="G22" s="2"/>
      <c r="H22" s="2"/>
      <c r="I22" s="15"/>
      <c r="J22" s="2"/>
      <c r="K22" s="15"/>
      <c r="L22" s="15"/>
      <c r="M22" s="15"/>
      <c r="N22" s="15"/>
      <c r="O22" s="2"/>
      <c r="P22" s="2"/>
      <c r="Q22" s="2"/>
    </row>
    <row r="23" spans="2:17" ht="29" x14ac:dyDescent="0.35">
      <c r="B23" s="3"/>
      <c r="C23" s="23" t="str">
        <f>IFERROR(VLOOKUP(B23,Справочник!$H:$I,2,FALSE),"Необходимо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23" s="2"/>
      <c r="E23" s="2"/>
      <c r="F23" s="2"/>
      <c r="G23" s="2"/>
      <c r="H23" s="2"/>
      <c r="I23" s="15"/>
      <c r="J23" s="2"/>
      <c r="K23" s="15"/>
      <c r="L23" s="15"/>
      <c r="M23" s="15"/>
      <c r="N23" s="15"/>
      <c r="O23" s="2"/>
      <c r="P23" s="2"/>
      <c r="Q23" s="2"/>
    </row>
    <row r="24" spans="2:17" ht="29" x14ac:dyDescent="0.35">
      <c r="B24" s="3"/>
      <c r="C24" s="23" t="str">
        <f>IFERROR(VLOOKUP(B24,Справочник!$H:$I,2,FALSE),"Необходимо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24" s="2"/>
      <c r="E24" s="2"/>
      <c r="F24" s="2"/>
      <c r="G24" s="2"/>
      <c r="H24" s="2"/>
      <c r="I24" s="15"/>
      <c r="J24" s="2"/>
      <c r="K24" s="15"/>
      <c r="L24" s="15"/>
      <c r="M24" s="15"/>
      <c r="N24" s="15"/>
      <c r="O24" s="2"/>
      <c r="P24" s="2"/>
      <c r="Q24" s="2"/>
    </row>
    <row r="25" spans="2:17" ht="29" x14ac:dyDescent="0.35">
      <c r="B25" s="3"/>
      <c r="C25" s="23" t="str">
        <f>IFERROR(VLOOKUP(B25,Справочник!$H:$I,2,FALSE),"Необходимо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25" s="2"/>
      <c r="E25" s="2"/>
      <c r="F25" s="2"/>
      <c r="G25" s="2"/>
      <c r="H25" s="2"/>
      <c r="I25" s="15"/>
      <c r="J25" s="2"/>
      <c r="K25" s="15"/>
      <c r="L25" s="15"/>
      <c r="M25" s="15"/>
      <c r="N25" s="15"/>
      <c r="O25" s="2"/>
      <c r="P25" s="2"/>
      <c r="Q25" s="2"/>
    </row>
    <row r="26" spans="2:17" ht="29" x14ac:dyDescent="0.35">
      <c r="B26" s="3"/>
      <c r="C26" s="23" t="str">
        <f>IFERROR(VLOOKUP(B26,Справочник!$H:$I,2,FALSE),"Необходимо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26" s="2"/>
      <c r="E26" s="2"/>
      <c r="F26" s="2"/>
      <c r="G26" s="2"/>
      <c r="H26" s="2"/>
      <c r="I26" s="15"/>
      <c r="J26" s="2"/>
      <c r="K26" s="15"/>
      <c r="L26" s="15"/>
      <c r="M26" s="15"/>
      <c r="N26" s="15"/>
      <c r="O26" s="2"/>
      <c r="P26" s="2"/>
      <c r="Q26" s="2"/>
    </row>
    <row r="27" spans="2:17" ht="29" x14ac:dyDescent="0.35">
      <c r="B27" s="3"/>
      <c r="C27" s="23" t="str">
        <f>IFERROR(VLOOKUP(B27,Справочник!$H:$I,2,FALSE),"Необходимо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27" s="2"/>
      <c r="E27" s="2"/>
      <c r="F27" s="2"/>
      <c r="G27" s="2"/>
      <c r="H27" s="2"/>
      <c r="I27" s="15"/>
      <c r="J27" s="2"/>
      <c r="K27" s="15"/>
      <c r="L27" s="15"/>
      <c r="M27" s="15"/>
      <c r="N27" s="15"/>
      <c r="O27" s="2"/>
      <c r="P27" s="2"/>
      <c r="Q27" s="2"/>
    </row>
    <row r="28" spans="2:17" ht="29" x14ac:dyDescent="0.35">
      <c r="B28" s="3"/>
      <c r="C28" s="23" t="str">
        <f>IFERROR(VLOOKUP(B28,Справочник!$H:$I,2,FALSE),"Необходимо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28" s="2"/>
      <c r="E28" s="2"/>
      <c r="F28" s="2"/>
      <c r="G28" s="2"/>
      <c r="H28" s="2"/>
      <c r="I28" s="15"/>
      <c r="J28" s="2"/>
      <c r="K28" s="15"/>
      <c r="L28" s="15"/>
      <c r="M28" s="15"/>
      <c r="N28" s="15"/>
      <c r="O28" s="2"/>
      <c r="P28" s="2"/>
      <c r="Q28" s="2"/>
    </row>
    <row r="29" spans="2:17" ht="29" x14ac:dyDescent="0.35">
      <c r="B29" s="3"/>
      <c r="C29" s="23" t="str">
        <f>IFERROR(VLOOKUP(B29,Справочник!$H:$I,2,FALSE),"Необходимо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29" s="2"/>
      <c r="E29" s="2"/>
      <c r="F29" s="2"/>
      <c r="G29" s="2"/>
      <c r="H29" s="2"/>
      <c r="I29" s="15"/>
      <c r="J29" s="2"/>
      <c r="K29" s="15"/>
      <c r="L29" s="15"/>
      <c r="M29" s="15"/>
      <c r="N29" s="15"/>
      <c r="O29" s="2"/>
      <c r="P29" s="2"/>
      <c r="Q29" s="2"/>
    </row>
    <row r="30" spans="2:17" ht="29" x14ac:dyDescent="0.35">
      <c r="B30" s="3"/>
      <c r="C30" s="23" t="str">
        <f>IFERROR(VLOOKUP(B30,Справочник!$H:$I,2,FALSE),"Необходимо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30" s="2"/>
      <c r="E30" s="2"/>
      <c r="F30" s="2"/>
      <c r="G30" s="2"/>
      <c r="H30" s="2"/>
      <c r="I30" s="15"/>
      <c r="J30" s="2"/>
      <c r="K30" s="15"/>
      <c r="L30" s="15"/>
      <c r="M30" s="15"/>
      <c r="N30" s="15"/>
      <c r="O30" s="2"/>
      <c r="P30" s="2"/>
      <c r="Q30" s="2"/>
    </row>
    <row r="31" spans="2:17" ht="29" x14ac:dyDescent="0.35">
      <c r="B31" s="3"/>
      <c r="C31" s="23" t="str">
        <f>IFERROR(VLOOKUP(B31,Справочник!$H:$I,2,FALSE),"Необходимо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31" s="2"/>
      <c r="E31" s="2"/>
      <c r="F31" s="2"/>
      <c r="G31" s="2"/>
      <c r="H31" s="2"/>
      <c r="I31" s="15"/>
      <c r="J31" s="2"/>
      <c r="K31" s="15"/>
      <c r="L31" s="15"/>
      <c r="M31" s="15"/>
      <c r="N31" s="15"/>
      <c r="O31" s="2"/>
      <c r="P31" s="2"/>
      <c r="Q31" s="2"/>
    </row>
    <row r="32" spans="2:17" ht="29" x14ac:dyDescent="0.35">
      <c r="B32" s="3"/>
      <c r="C32" s="23" t="str">
        <f>IFERROR(VLOOKUP(B32,Справочник!$H:$I,2,FALSE),"Необходимо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32" s="2"/>
      <c r="E32" s="2"/>
      <c r="F32" s="2"/>
      <c r="G32" s="2"/>
      <c r="H32" s="2"/>
      <c r="I32" s="15"/>
      <c r="J32" s="2"/>
      <c r="K32" s="15"/>
      <c r="L32" s="15"/>
      <c r="M32" s="15"/>
      <c r="N32" s="15"/>
      <c r="O32" s="2"/>
      <c r="P32" s="2"/>
      <c r="Q32" s="2"/>
    </row>
    <row r="33" spans="2:17" ht="29" x14ac:dyDescent="0.35">
      <c r="B33" s="3"/>
      <c r="C33" s="23" t="str">
        <f>IFERROR(VLOOKUP(B33,Справочник!$H:$I,2,FALSE),"Необходимо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33" s="2"/>
      <c r="E33" s="2"/>
      <c r="F33" s="2"/>
      <c r="G33" s="2"/>
      <c r="H33" s="2"/>
      <c r="I33" s="15"/>
      <c r="J33" s="2"/>
      <c r="K33" s="15"/>
      <c r="L33" s="15"/>
      <c r="M33" s="15"/>
      <c r="N33" s="15"/>
      <c r="O33" s="2"/>
      <c r="P33" s="2"/>
      <c r="Q33" s="2"/>
    </row>
    <row r="34" spans="2:17" ht="29" x14ac:dyDescent="0.35">
      <c r="B34" s="3"/>
      <c r="C34" s="23" t="str">
        <f>IFERROR(VLOOKUP(B34,Справочник!$H:$I,2,FALSE),"Необходимо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34" s="2"/>
      <c r="E34" s="2"/>
      <c r="F34" s="2"/>
      <c r="G34" s="2"/>
      <c r="H34" s="2"/>
      <c r="I34" s="15"/>
      <c r="J34" s="2"/>
      <c r="K34" s="15"/>
      <c r="L34" s="15"/>
      <c r="M34" s="15"/>
      <c r="N34" s="15"/>
      <c r="O34" s="2"/>
      <c r="P34" s="2"/>
      <c r="Q34" s="2"/>
    </row>
    <row r="35" spans="2:17" ht="29" x14ac:dyDescent="0.35">
      <c r="B35" s="3"/>
      <c r="C35" s="23" t="str">
        <f>IFERROR(VLOOKUP(B35,Справочник!$H:$I,2,FALSE),"Необходимо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35" s="2"/>
      <c r="E35" s="2"/>
      <c r="F35" s="2"/>
      <c r="G35" s="2"/>
      <c r="H35" s="2"/>
      <c r="I35" s="15"/>
      <c r="J35" s="2"/>
      <c r="K35" s="15"/>
      <c r="L35" s="15"/>
      <c r="M35" s="15"/>
      <c r="N35" s="15"/>
      <c r="O35" s="2"/>
      <c r="P35" s="2"/>
      <c r="Q35" s="2"/>
    </row>
    <row r="36" spans="2:17" ht="29" x14ac:dyDescent="0.35">
      <c r="B36" s="3"/>
      <c r="C36" s="23" t="str">
        <f>IFERROR(VLOOKUP(B36,Справочник!$H:$I,2,FALSE),"Необходимо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36" s="2"/>
      <c r="E36" s="2"/>
      <c r="F36" s="2"/>
      <c r="G36" s="2"/>
      <c r="H36" s="2"/>
      <c r="I36" s="15"/>
      <c r="J36" s="2"/>
      <c r="K36" s="15"/>
      <c r="L36" s="15"/>
      <c r="M36" s="15"/>
      <c r="N36" s="15"/>
      <c r="O36" s="2"/>
      <c r="P36" s="2"/>
      <c r="Q36" s="2"/>
    </row>
    <row r="37" spans="2:17" ht="29" x14ac:dyDescent="0.35">
      <c r="B37" s="3"/>
      <c r="C37" s="23" t="str">
        <f>IFERROR(VLOOKUP(B37,Справочник!$H:$I,2,FALSE),"Необходимо внести наименование проекта на лист Справочник")</f>
        <v>Необходимо внести наименование проекта на лист Справочник</v>
      </c>
      <c r="D37" s="2"/>
      <c r="E37" s="2"/>
      <c r="F37" s="2"/>
      <c r="G37" s="2"/>
      <c r="H37" s="2"/>
      <c r="I37" s="15"/>
      <c r="J37" s="2"/>
      <c r="K37" s="15"/>
      <c r="L37" s="15"/>
      <c r="M37" s="15"/>
      <c r="N37" s="15"/>
      <c r="O37" s="2"/>
      <c r="P37" s="2"/>
      <c r="Q37" s="2"/>
    </row>
  </sheetData>
  <mergeCells count="14">
    <mergeCell ref="E9:E10"/>
    <mergeCell ref="D9:D10"/>
    <mergeCell ref="C9:C10"/>
    <mergeCell ref="B9:B10"/>
    <mergeCell ref="Q9:Q10"/>
    <mergeCell ref="P9:P10"/>
    <mergeCell ref="O9:O10"/>
    <mergeCell ref="K9:L9"/>
    <mergeCell ref="M9:N9"/>
    <mergeCell ref="I9:I10"/>
    <mergeCell ref="H9:H10"/>
    <mergeCell ref="G9:G10"/>
    <mergeCell ref="J9:J10"/>
    <mergeCell ref="F9:F10"/>
  </mergeCells>
  <dataValidations count="3">
    <dataValidation type="list" allowBlank="1" showInputMessage="1" showErrorMessage="1" sqref="C5" xr:uid="{00000000-0002-0000-0000-000000000000}">
      <formula1>Месторождение</formula1>
    </dataValidation>
    <dataValidation type="list" allowBlank="1" showInputMessage="1" showErrorMessage="1" sqref="C8" xr:uid="{00000000-0002-0000-0000-000001000000}">
      <formula1>$B$2:$B$21</formula1>
    </dataValidation>
    <dataValidation type="list" allowBlank="1" showInputMessage="1" showErrorMessage="1" sqref="B13:B37" xr:uid="{00000000-0002-0000-0000-000002000000}">
      <formula1>Код_стройки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6000000}">
          <x14:formula1>
            <xm:f>Справочник!$B$3:$B$23</xm:f>
          </x14:formula1>
          <xm:sqref>D4:D8</xm:sqref>
        </x14:dataValidation>
        <x14:dataValidation type="list" allowBlank="1" showInputMessage="1" showErrorMessage="1" xr:uid="{00000000-0002-0000-0000-000008000000}">
          <x14:formula1>
            <xm:f>'C:\Users\G_Chepurko\Desktop\ФСД\03.09.2025\ФСД\[ФСД_Стройка.xlsx]Справочник'!#REF!</xm:f>
          </x14:formula1>
          <xm:sqref>I3:J8</xm:sqref>
        </x14:dataValidation>
        <x14:dataValidation type="list" allowBlank="1" showInputMessage="1" showErrorMessage="1" xr:uid="{00000000-0002-0000-0000-00000A000000}">
          <x14:formula1>
            <xm:f>Справочник!$B$3:$B$20</xm:f>
          </x14:formula1>
          <xm:sqref>C4</xm:sqref>
        </x14:dataValidation>
        <x14:dataValidation type="list" allowBlank="1" showInputMessage="1" showErrorMessage="1" xr:uid="{00000000-0002-0000-0000-000003000000}">
          <x14:formula1>
            <xm:f>Справочник!$M$3:$M$5</xm:f>
          </x14:formula1>
          <xm:sqref>E13:E21</xm:sqref>
        </x14:dataValidation>
        <x14:dataValidation type="list" allowBlank="1" showInputMessage="1" showErrorMessage="1" xr:uid="{00000000-0002-0000-0000-000004000000}">
          <x14:formula1>
            <xm:f>Справочник!$O$3:$O$4</xm:f>
          </x14:formula1>
          <xm:sqref>G13:G21</xm:sqref>
        </x14:dataValidation>
        <x14:dataValidation type="list" allowBlank="1" showInputMessage="1" showErrorMessage="1" xr:uid="{00000000-0002-0000-0000-000005000000}">
          <x14:formula1>
            <xm:f>Справочник!$Q$3:$Q$7</xm:f>
          </x14:formula1>
          <xm:sqref>H13:H21</xm:sqref>
        </x14:dataValidation>
        <x14:dataValidation type="list" allowBlank="1" showInputMessage="1" showErrorMessage="1" xr:uid="{00000000-0002-0000-0000-000007000000}">
          <x14:formula1>
            <xm:f>Справочник!$K$3:$K$6</xm:f>
          </x14:formula1>
          <xm:sqref>D13:D21</xm:sqref>
        </x14:dataValidation>
        <x14:dataValidation type="list" allowBlank="1" showInputMessage="1" showErrorMessage="1" xr:uid="{00000000-0002-0000-0000-000009000000}">
          <x14:formula1>
            <xm:f>Справочник!$S$3:$S$4</xm:f>
          </x14:formula1>
          <xm:sqref>I13:I37</xm:sqref>
        </x14:dataValidation>
        <x14:dataValidation type="list" allowBlank="1" showInputMessage="1" showErrorMessage="1" xr:uid="{00000000-0002-0000-0000-00000B000000}">
          <x14:formula1>
            <xm:f>Справочник!$U$3:$U$12</xm:f>
          </x14:formula1>
          <xm:sqref>F11:F22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235"/>
  <sheetViews>
    <sheetView topLeftCell="J1" workbookViewId="0">
      <selection activeCell="N5" sqref="N5:P5"/>
    </sheetView>
  </sheetViews>
  <sheetFormatPr defaultColWidth="9.1796875" defaultRowHeight="14.5" x14ac:dyDescent="0.35"/>
  <cols>
    <col min="1" max="1" width="9.1796875" style="9"/>
    <col min="2" max="2" width="45.7265625" style="9" customWidth="1"/>
    <col min="3" max="4" width="9.1796875" style="9"/>
    <col min="5" max="5" width="37.26953125" style="9" customWidth="1"/>
    <col min="6" max="6" width="10.7265625" style="9" customWidth="1"/>
    <col min="7" max="7" width="31" style="21" customWidth="1"/>
    <col min="8" max="8" width="30.7265625" style="21" customWidth="1"/>
    <col min="9" max="9" width="42.7265625" style="21" customWidth="1"/>
    <col min="10" max="10" width="9.1796875" style="9"/>
    <col min="11" max="11" width="36.81640625" style="9" customWidth="1"/>
    <col min="12" max="12" width="9.1796875" style="9"/>
    <col min="13" max="13" width="36.7265625" style="9" customWidth="1"/>
    <col min="14" max="14" width="9.1796875" style="9"/>
    <col min="15" max="15" width="27.1796875" style="9" customWidth="1"/>
    <col min="16" max="16" width="9.1796875" style="9"/>
    <col min="17" max="17" width="37" style="9" customWidth="1"/>
    <col min="18" max="18" width="9.1796875" style="9"/>
    <col min="19" max="19" width="31.54296875" style="9" customWidth="1"/>
    <col min="20" max="20" width="9.1796875" style="9"/>
    <col min="21" max="21" width="27.26953125" style="9" customWidth="1"/>
    <col min="22" max="16384" width="9.1796875" style="9"/>
  </cols>
  <sheetData>
    <row r="2" spans="2:21" ht="42" x14ac:dyDescent="0.3">
      <c r="B2" s="10" t="s">
        <v>12</v>
      </c>
      <c r="D2" s="22" t="s">
        <v>145</v>
      </c>
      <c r="E2" s="10" t="s">
        <v>13</v>
      </c>
      <c r="F2" s="11"/>
      <c r="G2" s="22" t="s">
        <v>145</v>
      </c>
      <c r="H2" s="20" t="s">
        <v>150</v>
      </c>
      <c r="I2" s="20" t="s">
        <v>151</v>
      </c>
      <c r="K2" s="6" t="s">
        <v>4</v>
      </c>
      <c r="M2" s="5" t="s">
        <v>5</v>
      </c>
      <c r="O2" s="5" t="s">
        <v>1</v>
      </c>
      <c r="Q2" s="6" t="s">
        <v>9</v>
      </c>
      <c r="S2" s="5" t="s">
        <v>138</v>
      </c>
      <c r="U2" s="5" t="s">
        <v>622</v>
      </c>
    </row>
    <row r="3" spans="2:21" ht="12.75" customHeight="1" x14ac:dyDescent="0.35">
      <c r="B3" s="12" t="s">
        <v>30</v>
      </c>
      <c r="D3" s="9" t="s">
        <v>146</v>
      </c>
      <c r="E3" t="s">
        <v>100</v>
      </c>
      <c r="F3" s="12"/>
      <c r="G3" s="21" t="s">
        <v>15</v>
      </c>
      <c r="H3" s="21" t="s">
        <v>152</v>
      </c>
      <c r="I3" s="21" t="s">
        <v>153</v>
      </c>
      <c r="K3" s="13" t="s">
        <v>117</v>
      </c>
      <c r="M3" s="13" t="s">
        <v>119</v>
      </c>
      <c r="O3" s="9" t="s">
        <v>122</v>
      </c>
      <c r="Q3" s="9" t="s">
        <v>8</v>
      </c>
      <c r="S3" t="s">
        <v>136</v>
      </c>
      <c r="U3" t="s">
        <v>117</v>
      </c>
    </row>
    <row r="4" spans="2:21" ht="43.5" x14ac:dyDescent="0.35">
      <c r="B4" s="12" t="s">
        <v>139</v>
      </c>
      <c r="D4" s="9" t="s">
        <v>146</v>
      </c>
      <c r="E4" t="s">
        <v>52</v>
      </c>
      <c r="F4" s="12"/>
      <c r="G4" s="21" t="s">
        <v>15</v>
      </c>
      <c r="H4" s="21" t="s">
        <v>154</v>
      </c>
      <c r="I4" s="21" t="s">
        <v>155</v>
      </c>
      <c r="K4" s="13" t="s">
        <v>7</v>
      </c>
      <c r="M4" s="13" t="s">
        <v>120</v>
      </c>
      <c r="O4" s="9" t="s">
        <v>123</v>
      </c>
      <c r="Q4" s="9" t="s">
        <v>124</v>
      </c>
      <c r="S4" t="s">
        <v>137</v>
      </c>
      <c r="U4" t="s">
        <v>7</v>
      </c>
    </row>
    <row r="5" spans="2:21" ht="29" x14ac:dyDescent="0.35">
      <c r="B5" s="12" t="s">
        <v>25</v>
      </c>
      <c r="D5" s="9" t="s">
        <v>30</v>
      </c>
      <c r="E5" t="s">
        <v>54</v>
      </c>
      <c r="F5" s="12"/>
      <c r="G5" s="21" t="s">
        <v>15</v>
      </c>
      <c r="H5" s="21" t="s">
        <v>156</v>
      </c>
      <c r="I5" s="21" t="s">
        <v>157</v>
      </c>
      <c r="K5" s="13" t="s">
        <v>118</v>
      </c>
      <c r="M5" s="13" t="s">
        <v>121</v>
      </c>
      <c r="Q5" s="9" t="s">
        <v>125</v>
      </c>
      <c r="U5" s="9" t="s">
        <v>118</v>
      </c>
    </row>
    <row r="6" spans="2:21" ht="43.5" x14ac:dyDescent="0.35">
      <c r="B6" s="12" t="s">
        <v>38</v>
      </c>
      <c r="D6" s="9" t="s">
        <v>30</v>
      </c>
      <c r="E6" t="s">
        <v>71</v>
      </c>
      <c r="F6" s="12"/>
      <c r="G6" s="21" t="s">
        <v>15</v>
      </c>
      <c r="H6" s="21" t="s">
        <v>158</v>
      </c>
      <c r="I6" s="21" t="s">
        <v>159</v>
      </c>
      <c r="Q6" s="9" t="s">
        <v>624</v>
      </c>
      <c r="U6" s="9" t="s">
        <v>623</v>
      </c>
    </row>
    <row r="7" spans="2:21" ht="72.5" x14ac:dyDescent="0.35">
      <c r="B7" s="12" t="s">
        <v>23</v>
      </c>
      <c r="D7" s="9" t="s">
        <v>30</v>
      </c>
      <c r="E7" t="s">
        <v>76</v>
      </c>
      <c r="F7" s="12"/>
      <c r="G7" s="21" t="s">
        <v>15</v>
      </c>
      <c r="H7" s="21" t="s">
        <v>160</v>
      </c>
      <c r="I7" s="21" t="s">
        <v>161</v>
      </c>
      <c r="Q7" s="9" t="s">
        <v>126</v>
      </c>
    </row>
    <row r="8" spans="2:21" ht="43.5" x14ac:dyDescent="0.35">
      <c r="B8" s="12" t="s">
        <v>44</v>
      </c>
      <c r="D8" s="9" t="s">
        <v>30</v>
      </c>
      <c r="E8" t="s">
        <v>89</v>
      </c>
      <c r="F8" s="12"/>
      <c r="G8" s="21" t="s">
        <v>15</v>
      </c>
      <c r="H8" s="21" t="s">
        <v>162</v>
      </c>
      <c r="I8" s="21" t="s">
        <v>163</v>
      </c>
    </row>
    <row r="9" spans="2:21" ht="43.5" x14ac:dyDescent="0.35">
      <c r="B9" s="12" t="s">
        <v>18</v>
      </c>
      <c r="D9" s="9" t="s">
        <v>30</v>
      </c>
      <c r="E9" t="s">
        <v>26</v>
      </c>
      <c r="F9" s="12"/>
      <c r="G9" s="21" t="s">
        <v>15</v>
      </c>
      <c r="H9" s="21" t="s">
        <v>164</v>
      </c>
      <c r="I9" s="21" t="s">
        <v>163</v>
      </c>
    </row>
    <row r="10" spans="2:21" ht="58" x14ac:dyDescent="0.35">
      <c r="B10" s="12" t="s">
        <v>10</v>
      </c>
      <c r="D10" s="9" t="s">
        <v>30</v>
      </c>
      <c r="E10" t="s">
        <v>69</v>
      </c>
      <c r="F10" s="12"/>
      <c r="G10" s="21" t="s">
        <v>15</v>
      </c>
      <c r="H10" s="21" t="s">
        <v>165</v>
      </c>
      <c r="I10" s="21" t="s">
        <v>166</v>
      </c>
    </row>
    <row r="11" spans="2:21" ht="29" x14ac:dyDescent="0.35">
      <c r="B11" s="12" t="s">
        <v>21</v>
      </c>
      <c r="D11" s="9" t="s">
        <v>30</v>
      </c>
      <c r="E11" t="s">
        <v>83</v>
      </c>
      <c r="F11" s="12"/>
      <c r="G11" s="21" t="s">
        <v>15</v>
      </c>
      <c r="H11" s="21" t="s">
        <v>167</v>
      </c>
      <c r="I11" s="21" t="s">
        <v>168</v>
      </c>
    </row>
    <row r="12" spans="2:21" ht="29" x14ac:dyDescent="0.35">
      <c r="B12" s="12" t="s">
        <v>32</v>
      </c>
      <c r="D12" s="9" t="s">
        <v>30</v>
      </c>
      <c r="E12" t="s">
        <v>88</v>
      </c>
      <c r="F12" s="12"/>
      <c r="G12" s="21" t="s">
        <v>15</v>
      </c>
      <c r="H12" s="21" t="s">
        <v>169</v>
      </c>
      <c r="I12" s="21" t="s">
        <v>170</v>
      </c>
    </row>
    <row r="13" spans="2:21" ht="58" x14ac:dyDescent="0.35">
      <c r="B13" s="12" t="s">
        <v>16</v>
      </c>
      <c r="D13" s="9" t="s">
        <v>30</v>
      </c>
      <c r="E13" t="s">
        <v>93</v>
      </c>
      <c r="F13" s="12"/>
      <c r="G13" s="21" t="s">
        <v>15</v>
      </c>
      <c r="H13" s="21" t="s">
        <v>171</v>
      </c>
      <c r="I13" s="21" t="s">
        <v>172</v>
      </c>
    </row>
    <row r="14" spans="2:21" x14ac:dyDescent="0.35">
      <c r="B14" s="12" t="s">
        <v>42</v>
      </c>
      <c r="D14" s="9" t="s">
        <v>139</v>
      </c>
      <c r="E14" t="s">
        <v>41</v>
      </c>
      <c r="F14" s="12"/>
      <c r="G14" s="21" t="s">
        <v>20</v>
      </c>
      <c r="H14" s="21" t="s">
        <v>173</v>
      </c>
      <c r="I14" s="21" t="s">
        <v>174</v>
      </c>
    </row>
    <row r="15" spans="2:21" ht="29" x14ac:dyDescent="0.35">
      <c r="B15" s="12" t="s">
        <v>14</v>
      </c>
      <c r="D15" s="9" t="s">
        <v>147</v>
      </c>
      <c r="E15" t="s">
        <v>113</v>
      </c>
      <c r="F15" s="12"/>
      <c r="G15" s="21" t="s">
        <v>20</v>
      </c>
      <c r="H15" s="21" t="s">
        <v>175</v>
      </c>
      <c r="I15" s="21" t="s">
        <v>176</v>
      </c>
    </row>
    <row r="16" spans="2:21" ht="58" x14ac:dyDescent="0.35">
      <c r="B16" s="12" t="s">
        <v>40</v>
      </c>
      <c r="D16" s="9" t="s">
        <v>25</v>
      </c>
      <c r="E16" t="s">
        <v>15</v>
      </c>
      <c r="F16" s="12"/>
      <c r="G16" s="21" t="s">
        <v>24</v>
      </c>
      <c r="H16" s="21" t="s">
        <v>177</v>
      </c>
      <c r="I16" s="21" t="s">
        <v>178</v>
      </c>
    </row>
    <row r="17" spans="2:9" ht="43.5" x14ac:dyDescent="0.35">
      <c r="B17" s="12" t="s">
        <v>36</v>
      </c>
      <c r="D17" s="9" t="s">
        <v>38</v>
      </c>
      <c r="E17" t="s">
        <v>59</v>
      </c>
      <c r="F17" s="12"/>
      <c r="G17" s="21" t="s">
        <v>24</v>
      </c>
      <c r="H17" s="21" t="s">
        <v>179</v>
      </c>
      <c r="I17" s="21" t="s">
        <v>180</v>
      </c>
    </row>
    <row r="18" spans="2:9" ht="58" x14ac:dyDescent="0.35">
      <c r="B18" s="12" t="s">
        <v>28</v>
      </c>
      <c r="D18" s="9" t="s">
        <v>23</v>
      </c>
      <c r="E18" t="s">
        <v>65</v>
      </c>
      <c r="F18" s="12"/>
      <c r="G18" s="21" t="s">
        <v>24</v>
      </c>
      <c r="H18" s="21" t="s">
        <v>181</v>
      </c>
      <c r="I18" s="21" t="s">
        <v>182</v>
      </c>
    </row>
    <row r="19" spans="2:9" ht="43.5" x14ac:dyDescent="0.35">
      <c r="B19" s="12" t="s">
        <v>34</v>
      </c>
      <c r="D19" s="9" t="s">
        <v>23</v>
      </c>
      <c r="E19" t="s">
        <v>68</v>
      </c>
      <c r="F19" s="12"/>
      <c r="G19" s="21" t="s">
        <v>24</v>
      </c>
      <c r="H19" s="21" t="s">
        <v>183</v>
      </c>
      <c r="I19" s="21" t="s">
        <v>184</v>
      </c>
    </row>
    <row r="20" spans="2:9" ht="43.5" x14ac:dyDescent="0.35">
      <c r="B20" s="12" t="s">
        <v>140</v>
      </c>
      <c r="D20" s="9" t="s">
        <v>23</v>
      </c>
      <c r="E20" t="s">
        <v>31</v>
      </c>
      <c r="F20" s="12"/>
      <c r="G20" s="21" t="s">
        <v>24</v>
      </c>
      <c r="H20" s="21" t="s">
        <v>185</v>
      </c>
      <c r="I20" s="21" t="s">
        <v>186</v>
      </c>
    </row>
    <row r="21" spans="2:9" ht="43.5" x14ac:dyDescent="0.35">
      <c r="B21" s="12"/>
      <c r="D21" s="9" t="s">
        <v>23</v>
      </c>
      <c r="E21" t="s">
        <v>49</v>
      </c>
      <c r="F21" s="12"/>
      <c r="G21" s="21" t="s">
        <v>24</v>
      </c>
      <c r="H21" s="21" t="s">
        <v>187</v>
      </c>
      <c r="I21" s="21" t="s">
        <v>188</v>
      </c>
    </row>
    <row r="22" spans="2:9" ht="43.5" x14ac:dyDescent="0.35">
      <c r="B22" s="12"/>
      <c r="D22" s="9" t="s">
        <v>23</v>
      </c>
      <c r="E22" t="s">
        <v>110</v>
      </c>
      <c r="F22" s="12"/>
      <c r="G22" s="21" t="s">
        <v>24</v>
      </c>
      <c r="H22" s="21" t="s">
        <v>189</v>
      </c>
      <c r="I22" s="21" t="s">
        <v>190</v>
      </c>
    </row>
    <row r="23" spans="2:9" ht="43.5" x14ac:dyDescent="0.35">
      <c r="D23" s="9" t="s">
        <v>23</v>
      </c>
      <c r="E23" t="s">
        <v>81</v>
      </c>
      <c r="F23" s="12"/>
      <c r="G23" s="21" t="s">
        <v>24</v>
      </c>
      <c r="H23" s="21" t="s">
        <v>191</v>
      </c>
      <c r="I23" s="21" t="s">
        <v>192</v>
      </c>
    </row>
    <row r="24" spans="2:9" ht="43.5" x14ac:dyDescent="0.35">
      <c r="D24" s="9" t="s">
        <v>23</v>
      </c>
      <c r="E24" t="s">
        <v>84</v>
      </c>
      <c r="F24" s="12"/>
      <c r="G24" s="21" t="s">
        <v>24</v>
      </c>
      <c r="H24" s="21" t="s">
        <v>193</v>
      </c>
      <c r="I24" s="21" t="s">
        <v>194</v>
      </c>
    </row>
    <row r="25" spans="2:9" ht="58" x14ac:dyDescent="0.35">
      <c r="D25" s="9" t="s">
        <v>23</v>
      </c>
      <c r="E25" t="s">
        <v>17</v>
      </c>
      <c r="F25" s="12"/>
      <c r="G25" s="21" t="s">
        <v>24</v>
      </c>
      <c r="H25" s="21" t="s">
        <v>195</v>
      </c>
      <c r="I25" s="21" t="s">
        <v>196</v>
      </c>
    </row>
    <row r="26" spans="2:9" ht="29" x14ac:dyDescent="0.35">
      <c r="D26" s="9" t="s">
        <v>23</v>
      </c>
      <c r="E26" t="s">
        <v>19</v>
      </c>
      <c r="F26" s="12"/>
      <c r="G26" s="21" t="s">
        <v>24</v>
      </c>
      <c r="H26" s="21" t="s">
        <v>197</v>
      </c>
      <c r="I26" s="21" t="s">
        <v>198</v>
      </c>
    </row>
    <row r="27" spans="2:9" ht="29" x14ac:dyDescent="0.35">
      <c r="D27" s="9" t="s">
        <v>23</v>
      </c>
      <c r="E27" t="s">
        <v>20</v>
      </c>
      <c r="F27" s="12"/>
      <c r="G27" s="21" t="s">
        <v>24</v>
      </c>
      <c r="H27" s="21" t="s">
        <v>199</v>
      </c>
      <c r="I27" s="21" t="s">
        <v>200</v>
      </c>
    </row>
    <row r="28" spans="2:9" ht="29" x14ac:dyDescent="0.35">
      <c r="D28" s="9" t="s">
        <v>23</v>
      </c>
      <c r="E28" t="s">
        <v>29</v>
      </c>
      <c r="F28" s="12"/>
      <c r="G28" s="21" t="s">
        <v>24</v>
      </c>
      <c r="H28" s="21" t="s">
        <v>201</v>
      </c>
      <c r="I28" s="21" t="s">
        <v>202</v>
      </c>
    </row>
    <row r="29" spans="2:9" ht="29" x14ac:dyDescent="0.35">
      <c r="D29" s="9" t="s">
        <v>23</v>
      </c>
      <c r="E29" t="s">
        <v>39</v>
      </c>
      <c r="F29" s="12"/>
      <c r="G29" s="21" t="s">
        <v>24</v>
      </c>
      <c r="H29" s="21" t="s">
        <v>203</v>
      </c>
      <c r="I29" s="21" t="s">
        <v>204</v>
      </c>
    </row>
    <row r="30" spans="2:9" ht="43.5" x14ac:dyDescent="0.35">
      <c r="D30" s="9" t="s">
        <v>23</v>
      </c>
      <c r="E30" t="s">
        <v>107</v>
      </c>
      <c r="F30" s="12"/>
      <c r="G30" s="21" t="s">
        <v>24</v>
      </c>
      <c r="H30" s="21" t="s">
        <v>205</v>
      </c>
      <c r="I30" s="21" t="s">
        <v>206</v>
      </c>
    </row>
    <row r="31" spans="2:9" ht="58" x14ac:dyDescent="0.35">
      <c r="D31" s="9" t="s">
        <v>23</v>
      </c>
      <c r="E31" t="s">
        <v>103</v>
      </c>
      <c r="F31" s="12"/>
      <c r="G31" s="21" t="s">
        <v>24</v>
      </c>
      <c r="H31" s="21" t="s">
        <v>207</v>
      </c>
      <c r="I31" s="21" t="s">
        <v>208</v>
      </c>
    </row>
    <row r="32" spans="2:9" ht="29" x14ac:dyDescent="0.35">
      <c r="D32" s="9" t="s">
        <v>23</v>
      </c>
      <c r="E32" t="s">
        <v>99</v>
      </c>
      <c r="F32" s="12"/>
      <c r="G32" s="21" t="s">
        <v>209</v>
      </c>
      <c r="H32" s="21" t="s">
        <v>210</v>
      </c>
      <c r="I32" s="21" t="s">
        <v>211</v>
      </c>
    </row>
    <row r="33" spans="4:9" ht="43.5" x14ac:dyDescent="0.35">
      <c r="D33" s="9" t="s">
        <v>23</v>
      </c>
      <c r="E33" t="s">
        <v>98</v>
      </c>
      <c r="F33" s="12"/>
      <c r="G33" s="21" t="s">
        <v>209</v>
      </c>
      <c r="H33" s="21" t="s">
        <v>212</v>
      </c>
      <c r="I33" s="21" t="s">
        <v>213</v>
      </c>
    </row>
    <row r="34" spans="4:9" ht="43.5" x14ac:dyDescent="0.35">
      <c r="D34" s="9" t="s">
        <v>23</v>
      </c>
      <c r="E34" t="s">
        <v>86</v>
      </c>
      <c r="F34" s="12"/>
      <c r="G34" s="21" t="s">
        <v>29</v>
      </c>
      <c r="H34" s="21" t="s">
        <v>214</v>
      </c>
      <c r="I34" s="21" t="s">
        <v>215</v>
      </c>
    </row>
    <row r="35" spans="4:9" ht="43.5" x14ac:dyDescent="0.35">
      <c r="D35" s="9" t="s">
        <v>23</v>
      </c>
      <c r="E35" t="s">
        <v>55</v>
      </c>
      <c r="F35" s="12"/>
      <c r="G35" s="21" t="s">
        <v>31</v>
      </c>
      <c r="H35" s="21" t="s">
        <v>216</v>
      </c>
      <c r="I35" s="21" t="s">
        <v>217</v>
      </c>
    </row>
    <row r="36" spans="4:9" ht="43.5" x14ac:dyDescent="0.35">
      <c r="D36" s="9" t="s">
        <v>23</v>
      </c>
      <c r="E36" t="s">
        <v>53</v>
      </c>
      <c r="F36" s="12"/>
      <c r="G36" s="21" t="s">
        <v>31</v>
      </c>
      <c r="H36" s="21" t="s">
        <v>218</v>
      </c>
      <c r="I36" s="21" t="s">
        <v>219</v>
      </c>
    </row>
    <row r="37" spans="4:9" ht="43.5" x14ac:dyDescent="0.35">
      <c r="D37" s="9" t="s">
        <v>23</v>
      </c>
      <c r="E37" t="s">
        <v>47</v>
      </c>
      <c r="F37" s="12"/>
      <c r="G37" s="21" t="s">
        <v>35</v>
      </c>
      <c r="H37" s="21" t="s">
        <v>220</v>
      </c>
      <c r="I37" s="21" t="s">
        <v>221</v>
      </c>
    </row>
    <row r="38" spans="4:9" ht="29" x14ac:dyDescent="0.35">
      <c r="D38" s="9" t="s">
        <v>23</v>
      </c>
      <c r="E38" t="s">
        <v>48</v>
      </c>
      <c r="F38" s="12"/>
      <c r="G38" s="21" t="s">
        <v>35</v>
      </c>
      <c r="H38" s="21" t="s">
        <v>222</v>
      </c>
      <c r="I38" s="21" t="s">
        <v>223</v>
      </c>
    </row>
    <row r="39" spans="4:9" ht="29" x14ac:dyDescent="0.35">
      <c r="D39" s="9" t="s">
        <v>23</v>
      </c>
      <c r="E39" t="s">
        <v>57</v>
      </c>
      <c r="F39" s="12"/>
      <c r="G39" s="21" t="s">
        <v>35</v>
      </c>
      <c r="H39" s="21" t="s">
        <v>224</v>
      </c>
      <c r="I39" s="21" t="s">
        <v>225</v>
      </c>
    </row>
    <row r="40" spans="4:9" ht="29" x14ac:dyDescent="0.35">
      <c r="D40" s="9" t="s">
        <v>23</v>
      </c>
      <c r="E40" t="s">
        <v>61</v>
      </c>
      <c r="F40" s="12"/>
      <c r="G40" s="21" t="s">
        <v>45</v>
      </c>
      <c r="H40" s="21" t="s">
        <v>226</v>
      </c>
      <c r="I40" s="21" t="s">
        <v>227</v>
      </c>
    </row>
    <row r="41" spans="4:9" ht="29" x14ac:dyDescent="0.35">
      <c r="D41" s="9" t="s">
        <v>23</v>
      </c>
      <c r="E41" t="s">
        <v>67</v>
      </c>
      <c r="F41" s="12"/>
      <c r="G41" s="21" t="s">
        <v>45</v>
      </c>
      <c r="H41" s="21" t="s">
        <v>228</v>
      </c>
      <c r="I41" s="21" t="s">
        <v>229</v>
      </c>
    </row>
    <row r="42" spans="4:9" ht="29" x14ac:dyDescent="0.35">
      <c r="D42" s="9" t="s">
        <v>23</v>
      </c>
      <c r="E42" t="s">
        <v>70</v>
      </c>
      <c r="F42" s="12"/>
      <c r="G42" s="21" t="s">
        <v>45</v>
      </c>
      <c r="H42" s="21" t="s">
        <v>230</v>
      </c>
      <c r="I42" s="21" t="s">
        <v>231</v>
      </c>
    </row>
    <row r="43" spans="4:9" ht="43.5" x14ac:dyDescent="0.35">
      <c r="D43" s="9" t="s">
        <v>23</v>
      </c>
      <c r="E43" t="s">
        <v>87</v>
      </c>
      <c r="F43" s="12"/>
      <c r="G43" s="21" t="s">
        <v>46</v>
      </c>
      <c r="H43" s="21" t="s">
        <v>232</v>
      </c>
      <c r="I43" s="21" t="s">
        <v>233</v>
      </c>
    </row>
    <row r="44" spans="4:9" ht="29" x14ac:dyDescent="0.35">
      <c r="D44" s="9" t="s">
        <v>23</v>
      </c>
      <c r="E44" t="s">
        <v>90</v>
      </c>
      <c r="F44" s="12"/>
      <c r="G44" s="21" t="s">
        <v>46</v>
      </c>
      <c r="H44" s="21" t="s">
        <v>234</v>
      </c>
      <c r="I44" s="21" t="s">
        <v>235</v>
      </c>
    </row>
    <row r="45" spans="4:9" ht="29" x14ac:dyDescent="0.35">
      <c r="D45" s="9" t="s">
        <v>23</v>
      </c>
      <c r="E45" t="s">
        <v>94</v>
      </c>
      <c r="F45" s="12"/>
      <c r="G45" s="21" t="s">
        <v>46</v>
      </c>
      <c r="H45" s="21" t="s">
        <v>236</v>
      </c>
      <c r="I45" s="21" t="s">
        <v>237</v>
      </c>
    </row>
    <row r="46" spans="4:9" ht="43.5" x14ac:dyDescent="0.35">
      <c r="D46" s="9" t="s">
        <v>23</v>
      </c>
      <c r="E46" t="s">
        <v>97</v>
      </c>
      <c r="F46" s="12"/>
      <c r="G46" s="21" t="s">
        <v>50</v>
      </c>
      <c r="H46" s="21" t="s">
        <v>238</v>
      </c>
      <c r="I46" s="21" t="s">
        <v>239</v>
      </c>
    </row>
    <row r="47" spans="4:9" ht="29" x14ac:dyDescent="0.35">
      <c r="D47" s="9" t="s">
        <v>23</v>
      </c>
      <c r="E47" t="s">
        <v>108</v>
      </c>
      <c r="F47" s="12"/>
      <c r="G47" s="21" t="s">
        <v>50</v>
      </c>
      <c r="H47" s="21" t="s">
        <v>240</v>
      </c>
      <c r="I47" s="21" t="s">
        <v>241</v>
      </c>
    </row>
    <row r="48" spans="4:9" ht="29" x14ac:dyDescent="0.35">
      <c r="D48" s="9" t="s">
        <v>23</v>
      </c>
      <c r="E48" t="s">
        <v>112</v>
      </c>
      <c r="F48" s="12"/>
      <c r="G48" s="21" t="s">
        <v>50</v>
      </c>
      <c r="H48" s="21" t="s">
        <v>242</v>
      </c>
      <c r="I48" s="21" t="s">
        <v>243</v>
      </c>
    </row>
    <row r="49" spans="4:9" ht="29" x14ac:dyDescent="0.35">
      <c r="D49" s="9" t="s">
        <v>23</v>
      </c>
      <c r="E49" t="s">
        <v>80</v>
      </c>
      <c r="F49" s="12"/>
      <c r="G49" s="21" t="s">
        <v>50</v>
      </c>
      <c r="H49" s="21" t="s">
        <v>244</v>
      </c>
      <c r="I49" s="21" t="s">
        <v>245</v>
      </c>
    </row>
    <row r="50" spans="4:9" ht="29" x14ac:dyDescent="0.35">
      <c r="D50" s="9" t="s">
        <v>23</v>
      </c>
      <c r="E50" t="s">
        <v>62</v>
      </c>
      <c r="F50" s="12"/>
      <c r="G50" s="21" t="s">
        <v>51</v>
      </c>
      <c r="H50" s="21" t="s">
        <v>246</v>
      </c>
      <c r="I50" s="21" t="s">
        <v>247</v>
      </c>
    </row>
    <row r="51" spans="4:9" ht="43.5" x14ac:dyDescent="0.35">
      <c r="D51" s="9" t="s">
        <v>23</v>
      </c>
      <c r="E51" t="s">
        <v>77</v>
      </c>
      <c r="F51" s="12"/>
      <c r="G51" s="21" t="s">
        <v>51</v>
      </c>
      <c r="H51" s="21" t="s">
        <v>248</v>
      </c>
      <c r="I51" s="21" t="s">
        <v>249</v>
      </c>
    </row>
    <row r="52" spans="4:9" ht="43.5" x14ac:dyDescent="0.35">
      <c r="D52" s="9" t="s">
        <v>23</v>
      </c>
      <c r="E52" t="s">
        <v>74</v>
      </c>
      <c r="F52" s="12"/>
      <c r="G52" s="21" t="s">
        <v>51</v>
      </c>
      <c r="H52" s="21" t="s">
        <v>250</v>
      </c>
      <c r="I52" s="21" t="s">
        <v>251</v>
      </c>
    </row>
    <row r="53" spans="4:9" ht="72.5" x14ac:dyDescent="0.35">
      <c r="D53" s="9" t="s">
        <v>23</v>
      </c>
      <c r="E53" t="s">
        <v>79</v>
      </c>
      <c r="F53" s="12"/>
      <c r="G53" s="21" t="s">
        <v>51</v>
      </c>
      <c r="H53" s="21" t="s">
        <v>252</v>
      </c>
      <c r="I53" s="21" t="s">
        <v>253</v>
      </c>
    </row>
    <row r="54" spans="4:9" ht="43.5" x14ac:dyDescent="0.35">
      <c r="D54" s="9" t="s">
        <v>23</v>
      </c>
      <c r="E54" t="s">
        <v>37</v>
      </c>
      <c r="F54" s="12"/>
      <c r="G54" s="21" t="s">
        <v>51</v>
      </c>
      <c r="H54" s="21" t="s">
        <v>254</v>
      </c>
      <c r="I54" s="21" t="s">
        <v>255</v>
      </c>
    </row>
    <row r="55" spans="4:9" ht="43.5" x14ac:dyDescent="0.35">
      <c r="D55" s="9" t="s">
        <v>23</v>
      </c>
      <c r="E55" t="s">
        <v>85</v>
      </c>
      <c r="F55" s="12"/>
      <c r="G55" s="21" t="s">
        <v>51</v>
      </c>
      <c r="H55" s="21" t="s">
        <v>256</v>
      </c>
      <c r="I55" s="21" t="s">
        <v>257</v>
      </c>
    </row>
    <row r="56" spans="4:9" ht="43.5" x14ac:dyDescent="0.35">
      <c r="D56" s="9" t="s">
        <v>44</v>
      </c>
      <c r="E56" t="s">
        <v>141</v>
      </c>
      <c r="F56" s="12"/>
      <c r="G56" s="21" t="s">
        <v>51</v>
      </c>
      <c r="H56" s="21" t="s">
        <v>258</v>
      </c>
      <c r="I56" s="21" t="s">
        <v>259</v>
      </c>
    </row>
    <row r="57" spans="4:9" ht="43.5" x14ac:dyDescent="0.35">
      <c r="D57" s="9" t="s">
        <v>44</v>
      </c>
      <c r="E57" t="s">
        <v>101</v>
      </c>
      <c r="F57" s="12"/>
      <c r="G57" s="21" t="s">
        <v>51</v>
      </c>
      <c r="H57" s="21" t="s">
        <v>260</v>
      </c>
      <c r="I57" s="21" t="s">
        <v>261</v>
      </c>
    </row>
    <row r="58" spans="4:9" ht="29" x14ac:dyDescent="0.35">
      <c r="D58" s="9" t="s">
        <v>18</v>
      </c>
      <c r="E58" t="s">
        <v>66</v>
      </c>
      <c r="F58" s="12"/>
      <c r="G58" s="21" t="s">
        <v>51</v>
      </c>
      <c r="H58" s="21" t="s">
        <v>262</v>
      </c>
      <c r="I58" s="21" t="s">
        <v>263</v>
      </c>
    </row>
    <row r="59" spans="4:9" ht="43.5" x14ac:dyDescent="0.35">
      <c r="D59" s="9" t="s">
        <v>18</v>
      </c>
      <c r="E59" t="s">
        <v>109</v>
      </c>
      <c r="F59" s="12"/>
      <c r="G59" s="21" t="s">
        <v>51</v>
      </c>
      <c r="H59" s="21" t="s">
        <v>264</v>
      </c>
      <c r="I59" s="21" t="s">
        <v>265</v>
      </c>
    </row>
    <row r="60" spans="4:9" ht="43.5" x14ac:dyDescent="0.35">
      <c r="D60" s="9" t="s">
        <v>18</v>
      </c>
      <c r="E60" t="s">
        <v>115</v>
      </c>
      <c r="F60" s="12"/>
      <c r="G60" s="21" t="s">
        <v>51</v>
      </c>
      <c r="H60" s="21" t="s">
        <v>266</v>
      </c>
      <c r="I60" s="21" t="s">
        <v>267</v>
      </c>
    </row>
    <row r="61" spans="4:9" ht="43.5" x14ac:dyDescent="0.35">
      <c r="D61" s="9" t="s">
        <v>18</v>
      </c>
      <c r="E61" t="s">
        <v>24</v>
      </c>
      <c r="F61" s="12"/>
      <c r="G61" s="21" t="s">
        <v>51</v>
      </c>
      <c r="H61" s="21" t="s">
        <v>268</v>
      </c>
      <c r="I61" s="21" t="s">
        <v>269</v>
      </c>
    </row>
    <row r="62" spans="4:9" ht="58" x14ac:dyDescent="0.35">
      <c r="D62" s="9" t="s">
        <v>18</v>
      </c>
      <c r="E62" t="s">
        <v>105</v>
      </c>
      <c r="F62" s="12"/>
      <c r="G62" s="21" t="s">
        <v>51</v>
      </c>
      <c r="H62" s="21" t="s">
        <v>270</v>
      </c>
      <c r="I62" s="21" t="s">
        <v>271</v>
      </c>
    </row>
    <row r="63" spans="4:9" ht="29" x14ac:dyDescent="0.35">
      <c r="D63" s="9" t="s">
        <v>10</v>
      </c>
      <c r="E63" t="s">
        <v>33</v>
      </c>
      <c r="F63" s="12"/>
      <c r="G63" s="21" t="s">
        <v>51</v>
      </c>
      <c r="H63" s="21" t="s">
        <v>272</v>
      </c>
      <c r="I63" s="21" t="s">
        <v>273</v>
      </c>
    </row>
    <row r="64" spans="4:9" ht="29" x14ac:dyDescent="0.35">
      <c r="D64" s="9" t="s">
        <v>10</v>
      </c>
      <c r="E64" t="s">
        <v>60</v>
      </c>
      <c r="F64" s="12"/>
      <c r="G64" s="21" t="s">
        <v>51</v>
      </c>
      <c r="H64" s="21" t="s">
        <v>274</v>
      </c>
      <c r="I64" s="21" t="s">
        <v>275</v>
      </c>
    </row>
    <row r="65" spans="4:9" ht="29" x14ac:dyDescent="0.35">
      <c r="D65" s="9" t="s">
        <v>10</v>
      </c>
      <c r="E65" t="s">
        <v>35</v>
      </c>
      <c r="F65" s="12"/>
      <c r="G65" s="21" t="s">
        <v>51</v>
      </c>
      <c r="H65" s="21" t="s">
        <v>276</v>
      </c>
      <c r="I65" s="21" t="s">
        <v>277</v>
      </c>
    </row>
    <row r="66" spans="4:9" ht="29" x14ac:dyDescent="0.35">
      <c r="D66" s="9" t="s">
        <v>10</v>
      </c>
      <c r="E66" t="s">
        <v>46</v>
      </c>
      <c r="F66" s="12"/>
      <c r="G66" s="21" t="s">
        <v>51</v>
      </c>
      <c r="H66" s="21" t="s">
        <v>278</v>
      </c>
      <c r="I66" s="21" t="s">
        <v>279</v>
      </c>
    </row>
    <row r="67" spans="4:9" ht="43.5" x14ac:dyDescent="0.35">
      <c r="D67" s="9" t="s">
        <v>10</v>
      </c>
      <c r="E67" t="s">
        <v>50</v>
      </c>
      <c r="F67" s="12"/>
      <c r="G67" s="21" t="s">
        <v>51</v>
      </c>
      <c r="H67" s="21" t="s">
        <v>280</v>
      </c>
      <c r="I67" s="21" t="s">
        <v>281</v>
      </c>
    </row>
    <row r="68" spans="4:9" x14ac:dyDescent="0.35">
      <c r="D68" s="9" t="s">
        <v>10</v>
      </c>
      <c r="E68" t="s">
        <v>106</v>
      </c>
      <c r="F68" s="12"/>
      <c r="G68" s="21" t="s">
        <v>51</v>
      </c>
      <c r="H68" s="21" t="s">
        <v>282</v>
      </c>
      <c r="I68" s="21" t="s">
        <v>283</v>
      </c>
    </row>
    <row r="69" spans="4:9" x14ac:dyDescent="0.35">
      <c r="D69" s="9" t="s">
        <v>10</v>
      </c>
      <c r="E69" t="s">
        <v>73</v>
      </c>
      <c r="F69" s="12"/>
      <c r="G69" s="21" t="s">
        <v>51</v>
      </c>
      <c r="H69" s="21" t="s">
        <v>284</v>
      </c>
      <c r="I69" s="21" t="s">
        <v>285</v>
      </c>
    </row>
    <row r="70" spans="4:9" ht="29" x14ac:dyDescent="0.35">
      <c r="D70" s="9" t="s">
        <v>10</v>
      </c>
      <c r="E70" t="s">
        <v>63</v>
      </c>
      <c r="F70" s="12"/>
      <c r="G70" s="21" t="s">
        <v>51</v>
      </c>
      <c r="H70" s="21" t="s">
        <v>129</v>
      </c>
      <c r="I70" s="21" t="s">
        <v>286</v>
      </c>
    </row>
    <row r="71" spans="4:9" ht="29" x14ac:dyDescent="0.35">
      <c r="D71" s="9" t="s">
        <v>10</v>
      </c>
      <c r="E71" t="s">
        <v>92</v>
      </c>
      <c r="F71" s="12"/>
      <c r="G71" s="21" t="s">
        <v>56</v>
      </c>
      <c r="H71" s="21" t="s">
        <v>287</v>
      </c>
      <c r="I71" s="21" t="s">
        <v>288</v>
      </c>
    </row>
    <row r="72" spans="4:9" ht="43.5" x14ac:dyDescent="0.35">
      <c r="D72" s="9" t="s">
        <v>10</v>
      </c>
      <c r="E72" t="s">
        <v>27</v>
      </c>
      <c r="F72" s="12"/>
      <c r="G72" s="21" t="s">
        <v>56</v>
      </c>
      <c r="H72" s="21" t="s">
        <v>289</v>
      </c>
      <c r="I72" s="21" t="s">
        <v>290</v>
      </c>
    </row>
    <row r="73" spans="4:9" ht="29" x14ac:dyDescent="0.35">
      <c r="D73" s="9" t="s">
        <v>21</v>
      </c>
      <c r="E73" t="s">
        <v>75</v>
      </c>
      <c r="F73" s="12"/>
      <c r="G73" s="21" t="s">
        <v>58</v>
      </c>
      <c r="H73" s="21" t="s">
        <v>291</v>
      </c>
      <c r="I73" s="21" t="s">
        <v>292</v>
      </c>
    </row>
    <row r="74" spans="4:9" ht="29" x14ac:dyDescent="0.35">
      <c r="D74" s="9" t="s">
        <v>32</v>
      </c>
      <c r="E74" t="s">
        <v>102</v>
      </c>
      <c r="F74" s="12"/>
      <c r="G74" s="21" t="s">
        <v>58</v>
      </c>
      <c r="H74" s="21" t="s">
        <v>293</v>
      </c>
      <c r="I74" s="21" t="s">
        <v>294</v>
      </c>
    </row>
    <row r="75" spans="4:9" ht="29" x14ac:dyDescent="0.35">
      <c r="D75" s="9" t="s">
        <v>16</v>
      </c>
      <c r="E75" t="s">
        <v>104</v>
      </c>
      <c r="F75" s="12"/>
      <c r="G75" s="21" t="s">
        <v>58</v>
      </c>
      <c r="H75" s="21" t="s">
        <v>295</v>
      </c>
      <c r="I75" s="21" t="s">
        <v>296</v>
      </c>
    </row>
    <row r="76" spans="4:9" ht="29" x14ac:dyDescent="0.35">
      <c r="D76" s="9" t="s">
        <v>16</v>
      </c>
      <c r="E76" t="s">
        <v>96</v>
      </c>
      <c r="F76" s="12"/>
      <c r="G76" s="21" t="s">
        <v>58</v>
      </c>
      <c r="H76" s="21" t="s">
        <v>297</v>
      </c>
      <c r="I76" s="21" t="s">
        <v>298</v>
      </c>
    </row>
    <row r="77" spans="4:9" x14ac:dyDescent="0.35">
      <c r="D77" s="9" t="s">
        <v>16</v>
      </c>
      <c r="E77" t="s">
        <v>45</v>
      </c>
      <c r="F77" s="12"/>
      <c r="G77" s="21" t="s">
        <v>58</v>
      </c>
      <c r="H77" s="21" t="s">
        <v>299</v>
      </c>
      <c r="I77" s="21" t="s">
        <v>300</v>
      </c>
    </row>
    <row r="78" spans="4:9" x14ac:dyDescent="0.35">
      <c r="D78" s="9" t="s">
        <v>16</v>
      </c>
      <c r="E78" t="s">
        <v>78</v>
      </c>
      <c r="F78" s="12"/>
      <c r="G78" s="21" t="s">
        <v>59</v>
      </c>
      <c r="H78" s="21" t="s">
        <v>301</v>
      </c>
      <c r="I78" s="21" t="s">
        <v>302</v>
      </c>
    </row>
    <row r="79" spans="4:9" ht="29" x14ac:dyDescent="0.35">
      <c r="D79" s="9" t="s">
        <v>42</v>
      </c>
      <c r="E79" t="s">
        <v>58</v>
      </c>
      <c r="F79" s="12"/>
      <c r="G79" s="21" t="s">
        <v>59</v>
      </c>
      <c r="H79" s="21" t="s">
        <v>303</v>
      </c>
      <c r="I79" s="21" t="s">
        <v>304</v>
      </c>
    </row>
    <row r="80" spans="4:9" ht="29" x14ac:dyDescent="0.35">
      <c r="D80" s="9" t="s">
        <v>42</v>
      </c>
      <c r="E80" t="s">
        <v>111</v>
      </c>
      <c r="F80" s="12"/>
      <c r="G80" s="21" t="s">
        <v>59</v>
      </c>
      <c r="H80" s="21" t="s">
        <v>305</v>
      </c>
      <c r="I80" s="21" t="s">
        <v>306</v>
      </c>
    </row>
    <row r="81" spans="4:9" ht="29" x14ac:dyDescent="0.35">
      <c r="D81" s="9" t="s">
        <v>14</v>
      </c>
      <c r="E81" t="s">
        <v>114</v>
      </c>
      <c r="F81" s="12"/>
      <c r="G81" s="21" t="s">
        <v>59</v>
      </c>
      <c r="H81" s="21" t="s">
        <v>307</v>
      </c>
      <c r="I81" s="21" t="s">
        <v>308</v>
      </c>
    </row>
    <row r="82" spans="4:9" ht="43.5" x14ac:dyDescent="0.35">
      <c r="D82" s="9" t="s">
        <v>14</v>
      </c>
      <c r="E82" t="s">
        <v>51</v>
      </c>
      <c r="F82" s="12"/>
      <c r="G82" s="21" t="s">
        <v>59</v>
      </c>
      <c r="H82" s="21" t="s">
        <v>309</v>
      </c>
      <c r="I82" s="21" t="s">
        <v>310</v>
      </c>
    </row>
    <row r="83" spans="4:9" ht="43.5" x14ac:dyDescent="0.35">
      <c r="D83" s="9" t="s">
        <v>14</v>
      </c>
      <c r="E83" t="s">
        <v>56</v>
      </c>
      <c r="F83" s="12"/>
      <c r="G83" s="21" t="s">
        <v>59</v>
      </c>
      <c r="H83" s="21" t="s">
        <v>311</v>
      </c>
      <c r="I83" s="21" t="s">
        <v>312</v>
      </c>
    </row>
    <row r="84" spans="4:9" ht="29" x14ac:dyDescent="0.35">
      <c r="D84" s="9" t="s">
        <v>14</v>
      </c>
      <c r="E84" t="s">
        <v>91</v>
      </c>
      <c r="F84" s="12"/>
      <c r="G84" s="21" t="s">
        <v>59</v>
      </c>
      <c r="H84" s="21" t="s">
        <v>313</v>
      </c>
      <c r="I84" s="21" t="s">
        <v>314</v>
      </c>
    </row>
    <row r="85" spans="4:9" ht="43.5" x14ac:dyDescent="0.35">
      <c r="D85" s="9" t="s">
        <v>40</v>
      </c>
      <c r="E85" t="s">
        <v>22</v>
      </c>
      <c r="F85" s="12"/>
      <c r="G85" s="21" t="s">
        <v>59</v>
      </c>
      <c r="H85" s="21" t="s">
        <v>315</v>
      </c>
      <c r="I85" s="21" t="s">
        <v>316</v>
      </c>
    </row>
    <row r="86" spans="4:9" ht="43.5" x14ac:dyDescent="0.35">
      <c r="D86" s="9" t="s">
        <v>40</v>
      </c>
      <c r="E86" t="s">
        <v>43</v>
      </c>
      <c r="F86" s="12"/>
      <c r="G86" s="21" t="s">
        <v>59</v>
      </c>
      <c r="H86" s="21" t="s">
        <v>317</v>
      </c>
      <c r="I86" s="21" t="s">
        <v>318</v>
      </c>
    </row>
    <row r="87" spans="4:9" ht="29" x14ac:dyDescent="0.35">
      <c r="D87" s="9" t="s">
        <v>148</v>
      </c>
      <c r="E87" t="s">
        <v>72</v>
      </c>
      <c r="F87" s="12"/>
      <c r="G87" s="21" t="s">
        <v>59</v>
      </c>
      <c r="H87" s="21" t="s">
        <v>319</v>
      </c>
      <c r="I87" s="21" t="s">
        <v>320</v>
      </c>
    </row>
    <row r="88" spans="4:9" ht="29" x14ac:dyDescent="0.35">
      <c r="D88" s="9" t="s">
        <v>148</v>
      </c>
      <c r="E88" t="s">
        <v>95</v>
      </c>
      <c r="F88" s="12"/>
      <c r="G88" s="21" t="s">
        <v>59</v>
      </c>
      <c r="H88" s="21" t="s">
        <v>321</v>
      </c>
      <c r="I88" s="21" t="s">
        <v>322</v>
      </c>
    </row>
    <row r="89" spans="4:9" ht="29" x14ac:dyDescent="0.35">
      <c r="D89" s="9" t="s">
        <v>36</v>
      </c>
      <c r="E89" t="s">
        <v>104</v>
      </c>
      <c r="F89" s="12"/>
      <c r="G89" s="21" t="s">
        <v>60</v>
      </c>
      <c r="H89" s="21" t="s">
        <v>323</v>
      </c>
      <c r="I89" s="21" t="s">
        <v>324</v>
      </c>
    </row>
    <row r="90" spans="4:9" ht="43.5" x14ac:dyDescent="0.35">
      <c r="D90" s="9" t="s">
        <v>36</v>
      </c>
      <c r="E90" t="s">
        <v>45</v>
      </c>
      <c r="F90" s="12"/>
      <c r="G90" s="21" t="s">
        <v>60</v>
      </c>
      <c r="H90" s="21" t="s">
        <v>325</v>
      </c>
      <c r="I90" s="21" t="s">
        <v>326</v>
      </c>
    </row>
    <row r="91" spans="4:9" ht="43.5" x14ac:dyDescent="0.35">
      <c r="D91" s="9" t="s">
        <v>36</v>
      </c>
      <c r="E91" s="9" t="s">
        <v>78</v>
      </c>
      <c r="G91" s="21" t="s">
        <v>60</v>
      </c>
      <c r="H91" s="21" t="s">
        <v>327</v>
      </c>
      <c r="I91" s="21" t="s">
        <v>328</v>
      </c>
    </row>
    <row r="92" spans="4:9" ht="43.5" x14ac:dyDescent="0.35">
      <c r="D92" s="9" t="s">
        <v>36</v>
      </c>
      <c r="E92" s="9" t="s">
        <v>24</v>
      </c>
      <c r="G92" s="21" t="s">
        <v>60</v>
      </c>
      <c r="H92" s="21" t="s">
        <v>329</v>
      </c>
      <c r="I92" s="21" t="s">
        <v>330</v>
      </c>
    </row>
    <row r="93" spans="4:9" ht="43.5" x14ac:dyDescent="0.35">
      <c r="D93" s="9" t="s">
        <v>36</v>
      </c>
      <c r="E93" s="9" t="s">
        <v>105</v>
      </c>
      <c r="G93" s="21" t="s">
        <v>60</v>
      </c>
      <c r="H93" s="21" t="s">
        <v>331</v>
      </c>
      <c r="I93" s="21" t="s">
        <v>332</v>
      </c>
    </row>
    <row r="94" spans="4:9" ht="43.5" x14ac:dyDescent="0.35">
      <c r="D94" s="9" t="s">
        <v>36</v>
      </c>
      <c r="E94" s="9" t="s">
        <v>106</v>
      </c>
      <c r="G94" s="21" t="s">
        <v>60</v>
      </c>
      <c r="H94" s="21" t="s">
        <v>333</v>
      </c>
      <c r="I94" s="21" t="s">
        <v>334</v>
      </c>
    </row>
    <row r="95" spans="4:9" ht="43.5" x14ac:dyDescent="0.35">
      <c r="D95" s="9" t="s">
        <v>149</v>
      </c>
      <c r="E95" s="9" t="s">
        <v>82</v>
      </c>
      <c r="G95" s="21" t="s">
        <v>60</v>
      </c>
      <c r="H95" s="21" t="s">
        <v>335</v>
      </c>
      <c r="I95" s="21" t="s">
        <v>336</v>
      </c>
    </row>
    <row r="96" spans="4:9" ht="29" x14ac:dyDescent="0.35">
      <c r="D96" s="9" t="s">
        <v>149</v>
      </c>
      <c r="E96" s="9" t="s">
        <v>64</v>
      </c>
      <c r="G96" s="21" t="s">
        <v>60</v>
      </c>
      <c r="H96" s="21" t="s">
        <v>337</v>
      </c>
      <c r="I96" s="21" t="s">
        <v>338</v>
      </c>
    </row>
    <row r="97" spans="7:9" x14ac:dyDescent="0.35">
      <c r="G97" s="21" t="s">
        <v>63</v>
      </c>
      <c r="H97" s="21" t="s">
        <v>339</v>
      </c>
      <c r="I97" s="21" t="s">
        <v>340</v>
      </c>
    </row>
    <row r="98" spans="7:9" ht="43.5" x14ac:dyDescent="0.35">
      <c r="G98" s="21" t="s">
        <v>63</v>
      </c>
      <c r="H98" s="21" t="s">
        <v>341</v>
      </c>
      <c r="I98" s="21" t="s">
        <v>342</v>
      </c>
    </row>
    <row r="99" spans="7:9" ht="43.5" x14ac:dyDescent="0.35">
      <c r="G99" s="21" t="s">
        <v>66</v>
      </c>
      <c r="H99" s="21" t="s">
        <v>343</v>
      </c>
      <c r="I99" s="21" t="s">
        <v>344</v>
      </c>
    </row>
    <row r="100" spans="7:9" x14ac:dyDescent="0.35">
      <c r="G100" s="21" t="s">
        <v>66</v>
      </c>
      <c r="H100" s="21" t="s">
        <v>345</v>
      </c>
      <c r="I100" s="21" t="s">
        <v>346</v>
      </c>
    </row>
    <row r="101" spans="7:9" x14ac:dyDescent="0.35">
      <c r="G101" s="21" t="s">
        <v>66</v>
      </c>
      <c r="H101" s="21" t="s">
        <v>347</v>
      </c>
      <c r="I101" s="21" t="s">
        <v>348</v>
      </c>
    </row>
    <row r="102" spans="7:9" ht="43.5" x14ac:dyDescent="0.35">
      <c r="G102" s="21" t="s">
        <v>66</v>
      </c>
      <c r="H102" s="21" t="s">
        <v>349</v>
      </c>
      <c r="I102" s="21" t="s">
        <v>350</v>
      </c>
    </row>
    <row r="103" spans="7:9" ht="43.5" x14ac:dyDescent="0.35">
      <c r="G103" s="21" t="s">
        <v>66</v>
      </c>
      <c r="H103" s="21" t="s">
        <v>351</v>
      </c>
      <c r="I103" s="21" t="s">
        <v>352</v>
      </c>
    </row>
    <row r="104" spans="7:9" ht="43.5" x14ac:dyDescent="0.35">
      <c r="G104" s="21" t="s">
        <v>66</v>
      </c>
      <c r="H104" s="21" t="s">
        <v>353</v>
      </c>
      <c r="I104" s="21" t="s">
        <v>354</v>
      </c>
    </row>
    <row r="105" spans="7:9" ht="43.5" x14ac:dyDescent="0.35">
      <c r="G105" s="21" t="s">
        <v>66</v>
      </c>
      <c r="H105" s="21" t="s">
        <v>355</v>
      </c>
      <c r="I105" s="21" t="s">
        <v>356</v>
      </c>
    </row>
    <row r="106" spans="7:9" ht="43.5" x14ac:dyDescent="0.35">
      <c r="G106" s="21" t="s">
        <v>66</v>
      </c>
      <c r="H106" s="21" t="s">
        <v>357</v>
      </c>
      <c r="I106" s="21" t="s">
        <v>358</v>
      </c>
    </row>
    <row r="107" spans="7:9" ht="43.5" x14ac:dyDescent="0.35">
      <c r="G107" s="21" t="s">
        <v>66</v>
      </c>
      <c r="H107" s="21" t="s">
        <v>359</v>
      </c>
      <c r="I107" s="21" t="s">
        <v>360</v>
      </c>
    </row>
    <row r="108" spans="7:9" ht="29" x14ac:dyDescent="0.35">
      <c r="G108" s="21" t="s">
        <v>66</v>
      </c>
      <c r="H108" s="21" t="s">
        <v>361</v>
      </c>
      <c r="I108" s="21" t="s">
        <v>362</v>
      </c>
    </row>
    <row r="109" spans="7:9" ht="29" x14ac:dyDescent="0.35">
      <c r="G109" s="21" t="s">
        <v>66</v>
      </c>
      <c r="H109" s="21" t="s">
        <v>363</v>
      </c>
      <c r="I109" s="21" t="s">
        <v>364</v>
      </c>
    </row>
    <row r="110" spans="7:9" ht="43.5" x14ac:dyDescent="0.35">
      <c r="G110" s="21" t="s">
        <v>66</v>
      </c>
      <c r="H110" s="21" t="s">
        <v>365</v>
      </c>
      <c r="I110" s="21" t="s">
        <v>366</v>
      </c>
    </row>
    <row r="111" spans="7:9" x14ac:dyDescent="0.35">
      <c r="G111" s="21" t="s">
        <v>66</v>
      </c>
      <c r="H111" s="21" t="s">
        <v>367</v>
      </c>
      <c r="I111" s="21" t="s">
        <v>368</v>
      </c>
    </row>
    <row r="112" spans="7:9" ht="43.5" x14ac:dyDescent="0.35">
      <c r="G112" s="21" t="s">
        <v>68</v>
      </c>
      <c r="H112" s="21" t="s">
        <v>369</v>
      </c>
      <c r="I112" s="21" t="s">
        <v>370</v>
      </c>
    </row>
    <row r="113" spans="7:9" ht="43.5" x14ac:dyDescent="0.35">
      <c r="G113" s="21" t="s">
        <v>73</v>
      </c>
      <c r="H113" s="21" t="s">
        <v>371</v>
      </c>
      <c r="I113" s="21" t="s">
        <v>372</v>
      </c>
    </row>
    <row r="114" spans="7:9" x14ac:dyDescent="0.35">
      <c r="G114" s="21" t="s">
        <v>73</v>
      </c>
      <c r="H114" s="21" t="s">
        <v>373</v>
      </c>
      <c r="I114" s="21" t="s">
        <v>374</v>
      </c>
    </row>
    <row r="115" spans="7:9" ht="29" x14ac:dyDescent="0.35">
      <c r="G115" s="21" t="s">
        <v>73</v>
      </c>
      <c r="H115" s="21" t="s">
        <v>375</v>
      </c>
      <c r="I115" s="21" t="s">
        <v>376</v>
      </c>
    </row>
    <row r="116" spans="7:9" ht="29" x14ac:dyDescent="0.35">
      <c r="G116" s="21" t="s">
        <v>377</v>
      </c>
      <c r="H116" s="21" t="s">
        <v>378</v>
      </c>
      <c r="I116" s="21" t="s">
        <v>379</v>
      </c>
    </row>
    <row r="117" spans="7:9" ht="29" x14ac:dyDescent="0.35">
      <c r="G117" s="21" t="s">
        <v>75</v>
      </c>
      <c r="H117" s="21" t="s">
        <v>380</v>
      </c>
      <c r="I117" s="21" t="s">
        <v>381</v>
      </c>
    </row>
    <row r="118" spans="7:9" ht="29" x14ac:dyDescent="0.35">
      <c r="G118" s="21" t="s">
        <v>75</v>
      </c>
      <c r="H118" s="21" t="s">
        <v>382</v>
      </c>
      <c r="I118" s="21" t="s">
        <v>383</v>
      </c>
    </row>
    <row r="119" spans="7:9" x14ac:dyDescent="0.35">
      <c r="G119" s="21" t="s">
        <v>75</v>
      </c>
      <c r="H119" s="21" t="s">
        <v>384</v>
      </c>
      <c r="I119" s="21" t="s">
        <v>385</v>
      </c>
    </row>
    <row r="120" spans="7:9" x14ac:dyDescent="0.35">
      <c r="G120" s="21" t="s">
        <v>75</v>
      </c>
      <c r="H120" s="21" t="s">
        <v>386</v>
      </c>
      <c r="I120" s="21" t="s">
        <v>387</v>
      </c>
    </row>
    <row r="121" spans="7:9" ht="29" x14ac:dyDescent="0.35">
      <c r="G121" s="21" t="s">
        <v>75</v>
      </c>
      <c r="H121" s="21" t="s">
        <v>388</v>
      </c>
      <c r="I121" s="21" t="s">
        <v>389</v>
      </c>
    </row>
    <row r="122" spans="7:9" ht="43.5" x14ac:dyDescent="0.35">
      <c r="G122" s="21" t="s">
        <v>75</v>
      </c>
      <c r="H122" s="21" t="s">
        <v>390</v>
      </c>
      <c r="I122" s="21" t="s">
        <v>391</v>
      </c>
    </row>
    <row r="123" spans="7:9" ht="43.5" x14ac:dyDescent="0.35">
      <c r="G123" s="21" t="s">
        <v>75</v>
      </c>
      <c r="H123" s="21" t="s">
        <v>392</v>
      </c>
      <c r="I123" s="21" t="s">
        <v>393</v>
      </c>
    </row>
    <row r="124" spans="7:9" ht="58" x14ac:dyDescent="0.35">
      <c r="G124" s="21" t="s">
        <v>75</v>
      </c>
      <c r="H124" s="21" t="s">
        <v>394</v>
      </c>
      <c r="I124" s="21" t="s">
        <v>395</v>
      </c>
    </row>
    <row r="125" spans="7:9" ht="43.5" x14ac:dyDescent="0.35">
      <c r="G125" s="21" t="s">
        <v>75</v>
      </c>
      <c r="H125" s="21" t="s">
        <v>396</v>
      </c>
      <c r="I125" s="21" t="s">
        <v>397</v>
      </c>
    </row>
    <row r="126" spans="7:9" ht="58" x14ac:dyDescent="0.35">
      <c r="G126" s="21" t="s">
        <v>75</v>
      </c>
      <c r="H126" s="21" t="s">
        <v>398</v>
      </c>
      <c r="I126" s="21" t="s">
        <v>399</v>
      </c>
    </row>
    <row r="127" spans="7:9" ht="29" x14ac:dyDescent="0.35">
      <c r="G127" s="21" t="s">
        <v>75</v>
      </c>
      <c r="H127" s="21" t="s">
        <v>400</v>
      </c>
      <c r="I127" s="21" t="s">
        <v>401</v>
      </c>
    </row>
    <row r="128" spans="7:9" ht="29" x14ac:dyDescent="0.35">
      <c r="G128" s="21" t="s">
        <v>75</v>
      </c>
      <c r="H128" s="21" t="s">
        <v>402</v>
      </c>
      <c r="I128" s="21" t="s">
        <v>403</v>
      </c>
    </row>
    <row r="129" spans="7:9" ht="29" x14ac:dyDescent="0.35">
      <c r="G129" s="21" t="s">
        <v>75</v>
      </c>
      <c r="H129" s="21" t="s">
        <v>404</v>
      </c>
      <c r="I129" s="21" t="s">
        <v>405</v>
      </c>
    </row>
    <row r="130" spans="7:9" ht="29" x14ac:dyDescent="0.35">
      <c r="G130" s="21" t="s">
        <v>75</v>
      </c>
      <c r="H130" s="21" t="s">
        <v>406</v>
      </c>
      <c r="I130" s="21" t="s">
        <v>407</v>
      </c>
    </row>
    <row r="131" spans="7:9" ht="29" x14ac:dyDescent="0.35">
      <c r="G131" s="21" t="s">
        <v>75</v>
      </c>
      <c r="H131" s="21" t="s">
        <v>408</v>
      </c>
      <c r="I131" s="21" t="s">
        <v>409</v>
      </c>
    </row>
    <row r="132" spans="7:9" ht="29" x14ac:dyDescent="0.35">
      <c r="G132" s="21" t="s">
        <v>75</v>
      </c>
      <c r="H132" s="21" t="s">
        <v>410</v>
      </c>
      <c r="I132" s="21" t="s">
        <v>411</v>
      </c>
    </row>
    <row r="133" spans="7:9" ht="29" x14ac:dyDescent="0.35">
      <c r="G133" s="21" t="s">
        <v>75</v>
      </c>
      <c r="H133" s="21" t="s">
        <v>412</v>
      </c>
      <c r="I133" s="21" t="s">
        <v>413</v>
      </c>
    </row>
    <row r="134" spans="7:9" ht="29" x14ac:dyDescent="0.35">
      <c r="G134" s="21" t="s">
        <v>75</v>
      </c>
      <c r="H134" s="21" t="s">
        <v>414</v>
      </c>
      <c r="I134" s="21" t="s">
        <v>415</v>
      </c>
    </row>
    <row r="135" spans="7:9" ht="29" x14ac:dyDescent="0.35">
      <c r="G135" s="21" t="s">
        <v>75</v>
      </c>
      <c r="H135" s="21" t="s">
        <v>416</v>
      </c>
      <c r="I135" s="21" t="s">
        <v>417</v>
      </c>
    </row>
    <row r="136" spans="7:9" ht="29" x14ac:dyDescent="0.35">
      <c r="G136" s="21" t="s">
        <v>75</v>
      </c>
      <c r="H136" s="21" t="s">
        <v>418</v>
      </c>
      <c r="I136" s="21" t="s">
        <v>419</v>
      </c>
    </row>
    <row r="137" spans="7:9" ht="29" x14ac:dyDescent="0.35">
      <c r="G137" s="21" t="s">
        <v>75</v>
      </c>
      <c r="H137" s="21" t="s">
        <v>420</v>
      </c>
      <c r="I137" s="21" t="s">
        <v>421</v>
      </c>
    </row>
    <row r="138" spans="7:9" x14ac:dyDescent="0.35">
      <c r="G138" s="21" t="s">
        <v>75</v>
      </c>
      <c r="H138" s="21" t="s">
        <v>422</v>
      </c>
      <c r="I138" s="21" t="s">
        <v>423</v>
      </c>
    </row>
    <row r="139" spans="7:9" ht="29" x14ac:dyDescent="0.35">
      <c r="G139" s="21" t="s">
        <v>75</v>
      </c>
      <c r="H139" s="21" t="s">
        <v>424</v>
      </c>
      <c r="I139" s="21" t="s">
        <v>425</v>
      </c>
    </row>
    <row r="140" spans="7:9" ht="29" x14ac:dyDescent="0.35">
      <c r="G140" s="21" t="s">
        <v>75</v>
      </c>
      <c r="H140" s="21" t="s">
        <v>426</v>
      </c>
      <c r="I140" s="21" t="s">
        <v>427</v>
      </c>
    </row>
    <row r="141" spans="7:9" ht="29" x14ac:dyDescent="0.35">
      <c r="G141" s="21" t="s">
        <v>75</v>
      </c>
      <c r="H141" s="21" t="s">
        <v>428</v>
      </c>
      <c r="I141" s="21" t="s">
        <v>429</v>
      </c>
    </row>
    <row r="142" spans="7:9" ht="43.5" x14ac:dyDescent="0.35">
      <c r="G142" s="21" t="s">
        <v>75</v>
      </c>
      <c r="H142" s="21" t="s">
        <v>430</v>
      </c>
      <c r="I142" s="21" t="s">
        <v>431</v>
      </c>
    </row>
    <row r="143" spans="7:9" ht="43.5" x14ac:dyDescent="0.35">
      <c r="G143" s="21" t="s">
        <v>75</v>
      </c>
      <c r="H143" s="21" t="s">
        <v>432</v>
      </c>
      <c r="I143" s="21" t="s">
        <v>433</v>
      </c>
    </row>
    <row r="144" spans="7:9" ht="43.5" x14ac:dyDescent="0.35">
      <c r="G144" s="21" t="s">
        <v>75</v>
      </c>
      <c r="H144" s="21" t="s">
        <v>434</v>
      </c>
      <c r="I144" s="21" t="s">
        <v>435</v>
      </c>
    </row>
    <row r="145" spans="7:9" ht="29" x14ac:dyDescent="0.35">
      <c r="G145" s="21" t="s">
        <v>75</v>
      </c>
      <c r="H145" s="21" t="s">
        <v>436</v>
      </c>
      <c r="I145" s="21" t="s">
        <v>437</v>
      </c>
    </row>
    <row r="146" spans="7:9" ht="58" x14ac:dyDescent="0.35">
      <c r="G146" s="21" t="s">
        <v>75</v>
      </c>
      <c r="H146" s="21" t="s">
        <v>438</v>
      </c>
      <c r="I146" s="21" t="s">
        <v>439</v>
      </c>
    </row>
    <row r="147" spans="7:9" x14ac:dyDescent="0.35">
      <c r="G147" s="21" t="s">
        <v>79</v>
      </c>
      <c r="H147" s="21" t="s">
        <v>440</v>
      </c>
      <c r="I147" s="21" t="s">
        <v>441</v>
      </c>
    </row>
    <row r="148" spans="7:9" ht="29" x14ac:dyDescent="0.35">
      <c r="G148" s="21" t="s">
        <v>79</v>
      </c>
      <c r="H148" s="21" t="s">
        <v>442</v>
      </c>
      <c r="I148" s="21" t="s">
        <v>443</v>
      </c>
    </row>
    <row r="149" spans="7:9" ht="29" x14ac:dyDescent="0.35">
      <c r="G149" s="21" t="s">
        <v>444</v>
      </c>
      <c r="H149" s="21" t="s">
        <v>445</v>
      </c>
      <c r="I149" s="21" t="s">
        <v>446</v>
      </c>
    </row>
    <row r="150" spans="7:9" x14ac:dyDescent="0.35">
      <c r="G150" s="21" t="s">
        <v>444</v>
      </c>
      <c r="H150" s="21" t="s">
        <v>447</v>
      </c>
      <c r="I150" s="21" t="s">
        <v>448</v>
      </c>
    </row>
    <row r="151" spans="7:9" ht="29" x14ac:dyDescent="0.35">
      <c r="G151" s="21" t="s">
        <v>84</v>
      </c>
      <c r="H151" s="21" t="s">
        <v>449</v>
      </c>
      <c r="I151" s="21" t="s">
        <v>450</v>
      </c>
    </row>
    <row r="152" spans="7:9" x14ac:dyDescent="0.35">
      <c r="G152" s="21" t="s">
        <v>451</v>
      </c>
      <c r="H152" s="21" t="s">
        <v>452</v>
      </c>
      <c r="I152" s="21" t="s">
        <v>453</v>
      </c>
    </row>
    <row r="153" spans="7:9" x14ac:dyDescent="0.35">
      <c r="G153" s="21" t="s">
        <v>454</v>
      </c>
      <c r="H153" s="21" t="s">
        <v>455</v>
      </c>
      <c r="I153" s="21" t="s">
        <v>456</v>
      </c>
    </row>
    <row r="154" spans="7:9" ht="43.5" x14ac:dyDescent="0.35">
      <c r="G154" s="21" t="s">
        <v>454</v>
      </c>
      <c r="H154" s="21" t="s">
        <v>457</v>
      </c>
      <c r="I154" s="21" t="s">
        <v>458</v>
      </c>
    </row>
    <row r="155" spans="7:9" ht="43.5" x14ac:dyDescent="0.35">
      <c r="G155" s="21" t="s">
        <v>104</v>
      </c>
      <c r="H155" s="21" t="s">
        <v>459</v>
      </c>
      <c r="I155" s="21" t="s">
        <v>460</v>
      </c>
    </row>
    <row r="156" spans="7:9" ht="43.5" x14ac:dyDescent="0.35">
      <c r="G156" s="21" t="s">
        <v>104</v>
      </c>
      <c r="H156" s="21" t="s">
        <v>461</v>
      </c>
      <c r="I156" s="21" t="s">
        <v>462</v>
      </c>
    </row>
    <row r="157" spans="7:9" ht="43.5" x14ac:dyDescent="0.35">
      <c r="G157" s="21" t="s">
        <v>104</v>
      </c>
      <c r="H157" s="21" t="s">
        <v>463</v>
      </c>
      <c r="I157" s="21" t="s">
        <v>464</v>
      </c>
    </row>
    <row r="158" spans="7:9" ht="43.5" x14ac:dyDescent="0.35">
      <c r="G158" s="21" t="s">
        <v>104</v>
      </c>
      <c r="H158" s="21" t="s">
        <v>465</v>
      </c>
      <c r="I158" s="21" t="s">
        <v>466</v>
      </c>
    </row>
    <row r="159" spans="7:9" ht="43.5" x14ac:dyDescent="0.35">
      <c r="G159" s="21" t="s">
        <v>104</v>
      </c>
      <c r="H159" s="21" t="s">
        <v>467</v>
      </c>
      <c r="I159" s="21" t="s">
        <v>468</v>
      </c>
    </row>
    <row r="160" spans="7:9" ht="43.5" x14ac:dyDescent="0.35">
      <c r="G160" s="21" t="s">
        <v>104</v>
      </c>
      <c r="H160" s="21" t="s">
        <v>469</v>
      </c>
      <c r="I160" s="21" t="s">
        <v>470</v>
      </c>
    </row>
    <row r="161" spans="7:9" ht="43.5" x14ac:dyDescent="0.35">
      <c r="G161" s="21" t="s">
        <v>104</v>
      </c>
      <c r="H161" s="21" t="s">
        <v>471</v>
      </c>
      <c r="I161" s="21" t="s">
        <v>472</v>
      </c>
    </row>
    <row r="162" spans="7:9" ht="58" x14ac:dyDescent="0.35">
      <c r="G162" s="21" t="s">
        <v>104</v>
      </c>
      <c r="H162" s="21" t="s">
        <v>473</v>
      </c>
      <c r="I162" s="21" t="s">
        <v>474</v>
      </c>
    </row>
    <row r="163" spans="7:9" ht="58" x14ac:dyDescent="0.35">
      <c r="G163" s="21" t="s">
        <v>104</v>
      </c>
      <c r="H163" s="21" t="s">
        <v>475</v>
      </c>
      <c r="I163" s="21" t="s">
        <v>476</v>
      </c>
    </row>
    <row r="164" spans="7:9" ht="72.5" x14ac:dyDescent="0.35">
      <c r="G164" s="21" t="s">
        <v>104</v>
      </c>
      <c r="H164" s="21" t="s">
        <v>477</v>
      </c>
      <c r="I164" s="21" t="s">
        <v>478</v>
      </c>
    </row>
    <row r="165" spans="7:9" ht="58" x14ac:dyDescent="0.35">
      <c r="G165" s="21" t="s">
        <v>104</v>
      </c>
      <c r="H165" s="21" t="s">
        <v>479</v>
      </c>
      <c r="I165" s="21" t="s">
        <v>480</v>
      </c>
    </row>
    <row r="166" spans="7:9" x14ac:dyDescent="0.35">
      <c r="G166" s="21" t="s">
        <v>104</v>
      </c>
      <c r="H166" s="21" t="s">
        <v>481</v>
      </c>
      <c r="I166" s="21" t="s">
        <v>482</v>
      </c>
    </row>
    <row r="167" spans="7:9" ht="43.5" x14ac:dyDescent="0.35">
      <c r="G167" s="21" t="s">
        <v>104</v>
      </c>
      <c r="H167" s="21" t="s">
        <v>483</v>
      </c>
      <c r="I167" s="21" t="s">
        <v>484</v>
      </c>
    </row>
    <row r="168" spans="7:9" ht="43.5" x14ac:dyDescent="0.35">
      <c r="G168" s="21" t="s">
        <v>104</v>
      </c>
      <c r="H168" s="21" t="s">
        <v>485</v>
      </c>
      <c r="I168" s="21" t="s">
        <v>486</v>
      </c>
    </row>
    <row r="169" spans="7:9" ht="43.5" x14ac:dyDescent="0.35">
      <c r="G169" s="21" t="s">
        <v>104</v>
      </c>
      <c r="H169" s="21" t="s">
        <v>487</v>
      </c>
      <c r="I169" s="21" t="s">
        <v>488</v>
      </c>
    </row>
    <row r="170" spans="7:9" ht="58" x14ac:dyDescent="0.35">
      <c r="G170" s="21" t="s">
        <v>104</v>
      </c>
      <c r="H170" s="21" t="s">
        <v>489</v>
      </c>
      <c r="I170" s="21" t="s">
        <v>490</v>
      </c>
    </row>
    <row r="171" spans="7:9" ht="43.5" x14ac:dyDescent="0.35">
      <c r="G171" s="21" t="s">
        <v>104</v>
      </c>
      <c r="H171" s="21" t="s">
        <v>491</v>
      </c>
      <c r="I171" s="21" t="s">
        <v>492</v>
      </c>
    </row>
    <row r="172" spans="7:9" ht="43.5" x14ac:dyDescent="0.35">
      <c r="G172" s="21" t="s">
        <v>104</v>
      </c>
      <c r="H172" s="21" t="s">
        <v>493</v>
      </c>
      <c r="I172" s="21" t="s">
        <v>494</v>
      </c>
    </row>
    <row r="173" spans="7:9" ht="58" x14ac:dyDescent="0.35">
      <c r="G173" s="21" t="s">
        <v>104</v>
      </c>
      <c r="H173" s="21" t="s">
        <v>495</v>
      </c>
      <c r="I173" s="21" t="s">
        <v>496</v>
      </c>
    </row>
    <row r="174" spans="7:9" ht="29" x14ac:dyDescent="0.35">
      <c r="G174" s="21" t="s">
        <v>104</v>
      </c>
      <c r="H174" s="21" t="s">
        <v>497</v>
      </c>
      <c r="I174" s="21" t="s">
        <v>498</v>
      </c>
    </row>
    <row r="175" spans="7:9" ht="29" x14ac:dyDescent="0.35">
      <c r="G175" s="21" t="s">
        <v>104</v>
      </c>
      <c r="H175" s="21" t="s">
        <v>499</v>
      </c>
      <c r="I175" s="21" t="s">
        <v>500</v>
      </c>
    </row>
    <row r="176" spans="7:9" ht="43.5" x14ac:dyDescent="0.35">
      <c r="G176" s="21" t="s">
        <v>104</v>
      </c>
      <c r="H176" s="21" t="s">
        <v>501</v>
      </c>
      <c r="I176" s="21" t="s">
        <v>502</v>
      </c>
    </row>
    <row r="177" spans="7:9" ht="43.5" x14ac:dyDescent="0.35">
      <c r="G177" s="21" t="s">
        <v>104</v>
      </c>
      <c r="H177" s="21" t="s">
        <v>503</v>
      </c>
      <c r="I177" s="21" t="s">
        <v>504</v>
      </c>
    </row>
    <row r="178" spans="7:9" ht="29" x14ac:dyDescent="0.35">
      <c r="G178" s="21" t="s">
        <v>104</v>
      </c>
      <c r="H178" s="21" t="s">
        <v>505</v>
      </c>
      <c r="I178" s="21" t="s">
        <v>506</v>
      </c>
    </row>
    <row r="179" spans="7:9" ht="29" x14ac:dyDescent="0.35">
      <c r="G179" s="21" t="s">
        <v>104</v>
      </c>
      <c r="H179" s="21" t="s">
        <v>507</v>
      </c>
      <c r="I179" s="21" t="s">
        <v>508</v>
      </c>
    </row>
    <row r="180" spans="7:9" ht="29" x14ac:dyDescent="0.35">
      <c r="G180" s="21" t="s">
        <v>104</v>
      </c>
      <c r="H180" s="21" t="s">
        <v>509</v>
      </c>
      <c r="I180" s="21" t="s">
        <v>510</v>
      </c>
    </row>
    <row r="181" spans="7:9" ht="43.5" x14ac:dyDescent="0.35">
      <c r="G181" s="21" t="s">
        <v>104</v>
      </c>
      <c r="H181" s="21" t="s">
        <v>511</v>
      </c>
      <c r="I181" s="21" t="s">
        <v>512</v>
      </c>
    </row>
    <row r="182" spans="7:9" ht="58" x14ac:dyDescent="0.35">
      <c r="G182" s="21" t="s">
        <v>104</v>
      </c>
      <c r="H182" s="21" t="s">
        <v>513</v>
      </c>
      <c r="I182" s="21" t="s">
        <v>514</v>
      </c>
    </row>
    <row r="183" spans="7:9" ht="58" x14ac:dyDescent="0.35">
      <c r="G183" s="21" t="s">
        <v>105</v>
      </c>
      <c r="H183" s="21" t="s">
        <v>515</v>
      </c>
      <c r="I183" s="21" t="s">
        <v>516</v>
      </c>
    </row>
    <row r="184" spans="7:9" ht="29" x14ac:dyDescent="0.35">
      <c r="G184" s="21" t="s">
        <v>105</v>
      </c>
      <c r="H184" s="21" t="s">
        <v>517</v>
      </c>
      <c r="I184" s="21" t="s">
        <v>518</v>
      </c>
    </row>
    <row r="185" spans="7:9" ht="29" x14ac:dyDescent="0.35">
      <c r="G185" s="21" t="s">
        <v>105</v>
      </c>
      <c r="H185" s="21" t="s">
        <v>519</v>
      </c>
      <c r="I185" s="21" t="s">
        <v>520</v>
      </c>
    </row>
    <row r="186" spans="7:9" ht="43.5" x14ac:dyDescent="0.35">
      <c r="G186" s="21" t="s">
        <v>105</v>
      </c>
      <c r="H186" s="21" t="s">
        <v>521</v>
      </c>
      <c r="I186" s="21" t="s">
        <v>522</v>
      </c>
    </row>
    <row r="187" spans="7:9" ht="29" x14ac:dyDescent="0.35">
      <c r="G187" s="21" t="s">
        <v>106</v>
      </c>
      <c r="H187" s="21" t="s">
        <v>523</v>
      </c>
      <c r="I187" s="21" t="s">
        <v>524</v>
      </c>
    </row>
    <row r="188" spans="7:9" ht="29" x14ac:dyDescent="0.35">
      <c r="G188" s="21" t="s">
        <v>106</v>
      </c>
      <c r="H188" s="21" t="s">
        <v>525</v>
      </c>
      <c r="I188" s="21" t="s">
        <v>526</v>
      </c>
    </row>
    <row r="189" spans="7:9" x14ac:dyDescent="0.35">
      <c r="G189" s="21" t="s">
        <v>106</v>
      </c>
      <c r="H189" s="21" t="s">
        <v>527</v>
      </c>
      <c r="I189" s="21" t="s">
        <v>528</v>
      </c>
    </row>
    <row r="190" spans="7:9" ht="29" x14ac:dyDescent="0.35">
      <c r="G190" s="21" t="s">
        <v>106</v>
      </c>
      <c r="H190" s="21" t="s">
        <v>529</v>
      </c>
      <c r="I190" s="21" t="s">
        <v>530</v>
      </c>
    </row>
    <row r="191" spans="7:9" x14ac:dyDescent="0.35">
      <c r="G191" s="21" t="s">
        <v>106</v>
      </c>
      <c r="H191" s="21" t="s">
        <v>531</v>
      </c>
      <c r="I191" s="21" t="s">
        <v>532</v>
      </c>
    </row>
    <row r="192" spans="7:9" ht="43.5" x14ac:dyDescent="0.35">
      <c r="G192" s="21" t="s">
        <v>106</v>
      </c>
      <c r="H192" s="21" t="s">
        <v>533</v>
      </c>
      <c r="I192" s="21" t="s">
        <v>534</v>
      </c>
    </row>
    <row r="193" spans="7:9" x14ac:dyDescent="0.35">
      <c r="G193" s="21" t="s">
        <v>106</v>
      </c>
      <c r="H193" s="21" t="s">
        <v>535</v>
      </c>
      <c r="I193" s="21" t="s">
        <v>536</v>
      </c>
    </row>
    <row r="194" spans="7:9" x14ac:dyDescent="0.35">
      <c r="G194" s="21" t="s">
        <v>106</v>
      </c>
      <c r="H194" s="21" t="s">
        <v>537</v>
      </c>
      <c r="I194" s="21" t="s">
        <v>538</v>
      </c>
    </row>
    <row r="195" spans="7:9" x14ac:dyDescent="0.35">
      <c r="G195" s="21" t="s">
        <v>106</v>
      </c>
      <c r="H195" s="21" t="s">
        <v>539</v>
      </c>
      <c r="I195" s="21" t="s">
        <v>540</v>
      </c>
    </row>
    <row r="196" spans="7:9" ht="43.5" x14ac:dyDescent="0.35">
      <c r="G196" s="21" t="s">
        <v>106</v>
      </c>
      <c r="H196" s="21" t="s">
        <v>541</v>
      </c>
      <c r="I196" s="21" t="s">
        <v>542</v>
      </c>
    </row>
    <row r="197" spans="7:9" ht="29" x14ac:dyDescent="0.35">
      <c r="G197" s="21" t="s">
        <v>109</v>
      </c>
      <c r="H197" s="21" t="s">
        <v>543</v>
      </c>
      <c r="I197" s="21" t="s">
        <v>544</v>
      </c>
    </row>
    <row r="198" spans="7:9" ht="29" x14ac:dyDescent="0.35">
      <c r="G198" s="21" t="s">
        <v>109</v>
      </c>
      <c r="H198" s="21" t="s">
        <v>545</v>
      </c>
      <c r="I198" s="21" t="s">
        <v>546</v>
      </c>
    </row>
    <row r="199" spans="7:9" ht="43.5" x14ac:dyDescent="0.35">
      <c r="G199" s="21" t="s">
        <v>109</v>
      </c>
      <c r="H199" s="21" t="s">
        <v>547</v>
      </c>
      <c r="I199" s="21" t="s">
        <v>548</v>
      </c>
    </row>
    <row r="200" spans="7:9" ht="29" x14ac:dyDescent="0.35">
      <c r="G200" s="21" t="s">
        <v>109</v>
      </c>
      <c r="H200" s="21" t="s">
        <v>549</v>
      </c>
      <c r="I200" s="21" t="s">
        <v>550</v>
      </c>
    </row>
    <row r="201" spans="7:9" ht="43.5" x14ac:dyDescent="0.35">
      <c r="G201" s="21" t="s">
        <v>109</v>
      </c>
      <c r="H201" s="21" t="s">
        <v>551</v>
      </c>
      <c r="I201" s="21" t="s">
        <v>552</v>
      </c>
    </row>
    <row r="202" spans="7:9" ht="43.5" x14ac:dyDescent="0.35">
      <c r="G202" s="21" t="s">
        <v>109</v>
      </c>
      <c r="H202" s="21" t="s">
        <v>553</v>
      </c>
      <c r="I202" s="21" t="s">
        <v>554</v>
      </c>
    </row>
    <row r="203" spans="7:9" ht="29" x14ac:dyDescent="0.35">
      <c r="G203" s="21" t="s">
        <v>109</v>
      </c>
      <c r="H203" s="21" t="s">
        <v>555</v>
      </c>
      <c r="I203" s="21" t="s">
        <v>556</v>
      </c>
    </row>
    <row r="204" spans="7:9" ht="29" x14ac:dyDescent="0.35">
      <c r="G204" s="21" t="s">
        <v>109</v>
      </c>
      <c r="H204" s="21" t="s">
        <v>557</v>
      </c>
      <c r="I204" s="21" t="s">
        <v>558</v>
      </c>
    </row>
    <row r="205" spans="7:9" ht="29" x14ac:dyDescent="0.35">
      <c r="G205" s="21" t="s">
        <v>111</v>
      </c>
      <c r="H205" s="21" t="s">
        <v>559</v>
      </c>
      <c r="I205" s="21" t="s">
        <v>560</v>
      </c>
    </row>
    <row r="206" spans="7:9" ht="43.5" x14ac:dyDescent="0.35">
      <c r="G206" s="21" t="s">
        <v>111</v>
      </c>
      <c r="H206" s="21" t="s">
        <v>561</v>
      </c>
      <c r="I206" s="21" t="s">
        <v>562</v>
      </c>
    </row>
    <row r="207" spans="7:9" ht="43.5" x14ac:dyDescent="0.35">
      <c r="G207" s="21" t="s">
        <v>111</v>
      </c>
      <c r="H207" s="21" t="s">
        <v>563</v>
      </c>
      <c r="I207" s="21" t="s">
        <v>564</v>
      </c>
    </row>
    <row r="208" spans="7:9" ht="29" x14ac:dyDescent="0.35">
      <c r="G208" s="21" t="s">
        <v>114</v>
      </c>
      <c r="H208" s="21" t="s">
        <v>565</v>
      </c>
      <c r="I208" s="21" t="s">
        <v>566</v>
      </c>
    </row>
    <row r="209" spans="7:9" ht="29" x14ac:dyDescent="0.35">
      <c r="G209" s="21" t="s">
        <v>114</v>
      </c>
      <c r="H209" s="21" t="s">
        <v>567</v>
      </c>
      <c r="I209" s="21" t="s">
        <v>568</v>
      </c>
    </row>
    <row r="210" spans="7:9" ht="29" x14ac:dyDescent="0.35">
      <c r="G210" s="21" t="s">
        <v>114</v>
      </c>
      <c r="H210" s="21" t="s">
        <v>569</v>
      </c>
      <c r="I210" s="21" t="s">
        <v>570</v>
      </c>
    </row>
    <row r="211" spans="7:9" ht="29" x14ac:dyDescent="0.35">
      <c r="G211" s="21" t="s">
        <v>114</v>
      </c>
      <c r="H211" s="21" t="s">
        <v>571</v>
      </c>
      <c r="I211" s="21" t="s">
        <v>572</v>
      </c>
    </row>
    <row r="212" spans="7:9" ht="29" x14ac:dyDescent="0.35">
      <c r="G212" s="21" t="s">
        <v>114</v>
      </c>
      <c r="H212" s="21" t="s">
        <v>573</v>
      </c>
      <c r="I212" s="21" t="s">
        <v>574</v>
      </c>
    </row>
    <row r="213" spans="7:9" ht="43.5" x14ac:dyDescent="0.35">
      <c r="G213" s="21" t="s">
        <v>114</v>
      </c>
      <c r="H213" s="21" t="s">
        <v>575</v>
      </c>
      <c r="I213" s="21" t="s">
        <v>576</v>
      </c>
    </row>
    <row r="214" spans="7:9" ht="43.5" x14ac:dyDescent="0.35">
      <c r="G214" s="21" t="s">
        <v>114</v>
      </c>
      <c r="H214" s="21" t="s">
        <v>577</v>
      </c>
      <c r="I214" s="21" t="s">
        <v>578</v>
      </c>
    </row>
    <row r="215" spans="7:9" ht="29" x14ac:dyDescent="0.35">
      <c r="G215" s="21" t="s">
        <v>114</v>
      </c>
      <c r="H215" s="21" t="s">
        <v>579</v>
      </c>
      <c r="I215" s="21" t="s">
        <v>580</v>
      </c>
    </row>
    <row r="216" spans="7:9" ht="29" x14ac:dyDescent="0.35">
      <c r="G216" s="21" t="s">
        <v>114</v>
      </c>
      <c r="H216" s="21" t="s">
        <v>581</v>
      </c>
      <c r="I216" s="21" t="s">
        <v>582</v>
      </c>
    </row>
    <row r="217" spans="7:9" ht="29" x14ac:dyDescent="0.35">
      <c r="G217" s="21" t="s">
        <v>114</v>
      </c>
      <c r="H217" s="21" t="s">
        <v>583</v>
      </c>
      <c r="I217" s="21" t="s">
        <v>584</v>
      </c>
    </row>
    <row r="218" spans="7:9" ht="29" x14ac:dyDescent="0.35">
      <c r="G218" s="21" t="s">
        <v>114</v>
      </c>
      <c r="H218" s="21" t="s">
        <v>585</v>
      </c>
      <c r="I218" s="21" t="s">
        <v>586</v>
      </c>
    </row>
    <row r="219" spans="7:9" ht="43.5" x14ac:dyDescent="0.35">
      <c r="G219" s="21" t="s">
        <v>114</v>
      </c>
      <c r="H219" s="21" t="s">
        <v>587</v>
      </c>
      <c r="I219" s="21" t="s">
        <v>588</v>
      </c>
    </row>
    <row r="220" spans="7:9" x14ac:dyDescent="0.35">
      <c r="G220" s="21" t="s">
        <v>114</v>
      </c>
      <c r="H220" s="21" t="s">
        <v>589</v>
      </c>
      <c r="I220" s="21" t="s">
        <v>590</v>
      </c>
    </row>
    <row r="221" spans="7:9" ht="29" x14ac:dyDescent="0.35">
      <c r="G221" s="21" t="s">
        <v>114</v>
      </c>
      <c r="H221" s="21" t="s">
        <v>591</v>
      </c>
      <c r="I221" s="21" t="s">
        <v>592</v>
      </c>
    </row>
    <row r="222" spans="7:9" ht="43.5" x14ac:dyDescent="0.35">
      <c r="G222" s="21" t="s">
        <v>114</v>
      </c>
      <c r="H222" s="21" t="s">
        <v>593</v>
      </c>
      <c r="I222" s="21" t="s">
        <v>594</v>
      </c>
    </row>
    <row r="223" spans="7:9" ht="43.5" x14ac:dyDescent="0.35">
      <c r="G223" s="21" t="s">
        <v>114</v>
      </c>
      <c r="H223" s="21" t="s">
        <v>595</v>
      </c>
      <c r="I223" s="21" t="s">
        <v>596</v>
      </c>
    </row>
    <row r="224" spans="7:9" ht="43.5" x14ac:dyDescent="0.35">
      <c r="G224" s="21" t="s">
        <v>114</v>
      </c>
      <c r="H224" s="21" t="s">
        <v>597</v>
      </c>
      <c r="I224" s="21" t="s">
        <v>598</v>
      </c>
    </row>
    <row r="225" spans="7:9" ht="29" x14ac:dyDescent="0.35">
      <c r="G225" s="21" t="s">
        <v>114</v>
      </c>
      <c r="H225" s="21" t="s">
        <v>599</v>
      </c>
      <c r="I225" s="21" t="s">
        <v>600</v>
      </c>
    </row>
    <row r="226" spans="7:9" ht="29" x14ac:dyDescent="0.35">
      <c r="G226" s="21" t="s">
        <v>114</v>
      </c>
      <c r="H226" s="21" t="s">
        <v>601</v>
      </c>
      <c r="I226" s="21" t="s">
        <v>602</v>
      </c>
    </row>
    <row r="227" spans="7:9" ht="43.5" x14ac:dyDescent="0.35">
      <c r="G227" s="21" t="s">
        <v>114</v>
      </c>
      <c r="H227" s="21" t="s">
        <v>603</v>
      </c>
      <c r="I227" s="21" t="s">
        <v>604</v>
      </c>
    </row>
    <row r="228" spans="7:9" ht="29" x14ac:dyDescent="0.35">
      <c r="G228" s="21" t="s">
        <v>114</v>
      </c>
      <c r="H228" s="21" t="s">
        <v>605</v>
      </c>
      <c r="I228" s="21" t="s">
        <v>606</v>
      </c>
    </row>
    <row r="229" spans="7:9" ht="43.5" x14ac:dyDescent="0.35">
      <c r="G229" s="21" t="s">
        <v>114</v>
      </c>
      <c r="H229" s="21" t="s">
        <v>607</v>
      </c>
      <c r="I229" s="21" t="s">
        <v>608</v>
      </c>
    </row>
    <row r="230" spans="7:9" ht="29" x14ac:dyDescent="0.35">
      <c r="G230" s="21" t="s">
        <v>114</v>
      </c>
      <c r="H230" s="21" t="s">
        <v>609</v>
      </c>
      <c r="I230" s="21" t="s">
        <v>610</v>
      </c>
    </row>
    <row r="231" spans="7:9" ht="29" x14ac:dyDescent="0.35">
      <c r="G231" s="21" t="s">
        <v>115</v>
      </c>
      <c r="H231" s="21" t="s">
        <v>611</v>
      </c>
      <c r="I231" s="21" t="s">
        <v>612</v>
      </c>
    </row>
    <row r="232" spans="7:9" ht="29" x14ac:dyDescent="0.35">
      <c r="G232" s="21" t="s">
        <v>115</v>
      </c>
      <c r="H232" s="21" t="s">
        <v>613</v>
      </c>
      <c r="I232" s="21" t="s">
        <v>614</v>
      </c>
    </row>
    <row r="233" spans="7:9" ht="29" x14ac:dyDescent="0.35">
      <c r="G233" s="21" t="s">
        <v>115</v>
      </c>
      <c r="H233" s="21" t="s">
        <v>615</v>
      </c>
      <c r="I233" s="21" t="s">
        <v>616</v>
      </c>
    </row>
    <row r="234" spans="7:9" ht="29" x14ac:dyDescent="0.35">
      <c r="G234" s="21" t="s">
        <v>115</v>
      </c>
      <c r="H234" s="21" t="s">
        <v>617</v>
      </c>
      <c r="I234" s="21" t="s">
        <v>618</v>
      </c>
    </row>
    <row r="235" spans="7:9" ht="43.5" x14ac:dyDescent="0.35">
      <c r="G235" s="21" t="s">
        <v>115</v>
      </c>
      <c r="H235" s="21" t="s">
        <v>619</v>
      </c>
      <c r="I235" s="21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Справочник</vt:lpstr>
    </vt:vector>
  </TitlesOfParts>
  <Company>OOO Gazprom VNIIGAZ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G_Chepurko</dc:creator>
  <cp:lastModifiedBy>Vladislav Sevodin</cp:lastModifiedBy>
  <dcterms:created xsi:type="dcterms:W3CDTF">2025-08-13T13:21:13Z</dcterms:created>
  <dcterms:modified xsi:type="dcterms:W3CDTF">2026-08-18T21:24:18Z</dcterms:modified>
</cp:coreProperties>
</file>
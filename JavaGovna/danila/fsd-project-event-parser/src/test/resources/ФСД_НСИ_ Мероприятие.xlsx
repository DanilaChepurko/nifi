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project-event -parser\src\test\resources\"/>
    </mc:Choice>
  </mc:AlternateContent>
  <xr:revisionPtr revIDLastSave="0" documentId="8_{CD3FA3B9-E9E9-4181-A105-DEF182F7AAA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ФСД мероприятия" sheetId="1" r:id="rId1"/>
    <sheet name="Номер стройки" sheetId="2" r:id="rId2"/>
    <sheet name="Справочники" sheetId="3" r:id="rId3"/>
    <sheet name="Лист3" sheetId="4" state="hidden" r:id="rId4"/>
  </sheets>
  <definedNames>
    <definedName name="_xlnm._FilterDatabase" localSheetId="1" hidden="1">'Номер стройки'!$A$3:$D$3</definedName>
    <definedName name="ВидМероприятия">OFFSET(Справочники!#REF!,MATCH('ФСД мероприятия'!XFD1,Справочники!#REF!,0)-3,1,COUNTIF(Справочники!#REF!,'ФСД мероприятия'!XFD1),1)</definedName>
    <definedName name="Горизонт">OFFSET(Справочники!$M$2,MATCH('ФСД мероприятия'!$C$5,Справочники!$M:$M,0)-2,1,COUNTIF(Справочники!$M:$M,'ФСД мероприятия'!$C$5),1)</definedName>
    <definedName name="КодИУСпроекта">OFFSET('Номер стройки'!$A$4,MATCH('ФСД мероприятия'!$C$5,'Номер стройки'!$A:$A,0)-4,1,COUNTIF('Номер стройки'!$A:$A,'ФСД мероприятия'!$C$5),1)</definedName>
    <definedName name="_xlnm.Print_Area" localSheetId="1">'Номер стройки'!$A$1:$D$143</definedName>
    <definedName name="_xlnm.Print_Area" localSheetId="2">Справочники!$A$1:$T$115</definedName>
    <definedName name="_xlnm.Print_Area" localSheetId="0">'ФСД мероприятия'!$A$1:$S$15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D11" i="1"/>
  <c r="D10" i="1"/>
  <c r="O11" i="1" l="1"/>
  <c r="O10" i="1"/>
  <c r="L11" i="1"/>
  <c r="L10" i="1"/>
  <c r="C11" i="1" l="1"/>
  <c r="C10" i="1"/>
</calcChain>
</file>

<file path=xl/sharedStrings.xml><?xml version="1.0" encoding="utf-8"?>
<sst xmlns="http://schemas.openxmlformats.org/spreadsheetml/2006/main" count="620" uniqueCount="574">
  <si>
    <t>Форма сбора данных Мероприятия</t>
  </si>
  <si>
    <t>Сценарий планирования</t>
  </si>
  <si>
    <t>Мероприятия</t>
  </si>
  <si>
    <t>Год планирования</t>
  </si>
  <si>
    <t>ГДО</t>
  </si>
  <si>
    <t>ООО "Газпром добыча Астрахань"</t>
  </si>
  <si>
    <t>№</t>
  </si>
  <si>
    <t>Краткое Название мероприятия</t>
  </si>
  <si>
    <t>Геологический горизонт</t>
  </si>
  <si>
    <t>051-2000006</t>
  </si>
  <si>
    <t>Скважины</t>
  </si>
  <si>
    <t>051-2000005</t>
  </si>
  <si>
    <t>Техническое перевооружение фонда скважин АГКМ (Модернизация морально и физически устаревшего оборудования обвязки устья скважин АГКМ (этап 2))</t>
  </si>
  <si>
    <t>НКТ</t>
  </si>
  <si>
    <t>Сети водоснабжения и канализации</t>
  </si>
  <si>
    <t>051-2002202</t>
  </si>
  <si>
    <t>Подключение дополнительных скважин к существующим мощностям I и II очередей АГКМ (этап 2)</t>
  </si>
  <si>
    <t>051-2000010</t>
  </si>
  <si>
    <t>Подключение дополнительных скважин к существующим мощностям I и II очередей АГКМ (этап 3)</t>
  </si>
  <si>
    <t>Форма сбора данных Стройки</t>
  </si>
  <si>
    <t xml:space="preserve"> Код</t>
  </si>
  <si>
    <t>Название</t>
  </si>
  <si>
    <t>Месторождение</t>
  </si>
  <si>
    <t>051-2004023</t>
  </si>
  <si>
    <t>Реконструкция газосборной сети с применением МКУ и объединением УКПГ Ямбургского НГКМ</t>
  </si>
  <si>
    <t>Ямбургское</t>
  </si>
  <si>
    <t>051-2004432</t>
  </si>
  <si>
    <t>Техническое перевооружение обвязки кустов газовых скважин Ямбургского НГКМ</t>
  </si>
  <si>
    <t>051-2004694</t>
  </si>
  <si>
    <t>Техперевооружение газовых скважин Ямбургского НГКМ</t>
  </si>
  <si>
    <t>051-2005102</t>
  </si>
  <si>
    <t>Техническое перевооружение газовых и газоконденсатных скважин Заполярного НГКМ</t>
  </si>
  <si>
    <t>Заполярное</t>
  </si>
  <si>
    <t>051-2005474</t>
  </si>
  <si>
    <t>Техническое перевооружение газоконденсатных скважин Ямбургского НГКМ</t>
  </si>
  <si>
    <t>051-2005694</t>
  </si>
  <si>
    <t>Техническое перевооружение газоперекачивающих агрегатов ДКС 1 очереди УКПГ-1С Заполярного НГКМ</t>
  </si>
  <si>
    <t>051-2005697</t>
  </si>
  <si>
    <t>Реконструкция УЗПП УКПГ-1В Ямбургского НГКМ</t>
  </si>
  <si>
    <t>051-2005700</t>
  </si>
  <si>
    <t>Техническое перевооружение технологического оборудования УКПГ-1В, УКПГ-2В Заполярного НГКМ</t>
  </si>
  <si>
    <t>051-2006572</t>
  </si>
  <si>
    <t>Техническое перевооружение газоперекачивающих агрегатов ДКС УКПГ-2С, УКПГ-3С Заполярного НГКМ</t>
  </si>
  <si>
    <t>051-2006573</t>
  </si>
  <si>
    <t>Техническое перевооружение газовых и газокондентсаных скважин Ямбургского НГКМ</t>
  </si>
  <si>
    <t>051-2007099</t>
  </si>
  <si>
    <t>Реконструкция системы утилизации газов выветривания валанжинского комплекса Заполярного НГКМ</t>
  </si>
  <si>
    <t>051-2004015</t>
  </si>
  <si>
    <t>Техническое перевооружение скважины № 514 ГКП-5 Уренгойского НГКМ. Оснащение концентрической лифтовой колонной</t>
  </si>
  <si>
    <t>Уренгойское</t>
  </si>
  <si>
    <t>051-2004433</t>
  </si>
  <si>
    <t>Техническое перевооружение обвязок кустов газовых, газоконденсатных скважин Уренгойского НГКМ</t>
  </si>
  <si>
    <t>051-2004691</t>
  </si>
  <si>
    <t>Техническое перевооружение нефтяных скважин Уренгойского НГКМ. Реконструкция объектов добычи и подготовки углеводородного сырья</t>
  </si>
  <si>
    <t>051-2004692</t>
  </si>
  <si>
    <t>Техническое перевооружение газовых, газоконденсатных скважин Уренгойского НГКМ</t>
  </si>
  <si>
    <t>Ен-Яхинское</t>
  </si>
  <si>
    <t>051-2005090</t>
  </si>
  <si>
    <t>Техническое перевооружение газоперекачивающих агрегатов. Замена СПЧ на ДКС Уренгойского НГКМ</t>
  </si>
  <si>
    <t>051-2005277</t>
  </si>
  <si>
    <t>Реконструкция ФА, промысловых и технологических трубопроводов с установкой средств коррозионного мониторинга объектов второго Ачимовского участка Уренгойского НГКМ</t>
  </si>
  <si>
    <t>051-2005977</t>
  </si>
  <si>
    <t>Техническое перевооружение газовых, газоконденсатных скважин Уренгойского месторождения (2 этап)</t>
  </si>
  <si>
    <t>051-2005978</t>
  </si>
  <si>
    <t>Техническое перевооружение газоперекачивающих агрегатов. Замена СПЧ на ДКС Уренгойского НГКМ (2 этап)</t>
  </si>
  <si>
    <t>051-2004676</t>
  </si>
  <si>
    <t>Реконструкция обвязок кустов газовых скважин Юбилейного НГКМ</t>
  </si>
  <si>
    <t>Юбилейное</t>
  </si>
  <si>
    <t>051-2005523</t>
  </si>
  <si>
    <t>Техническое перевооружение турбодетандерных агрегатов на газовых промыслах Бованенковского НГКМ (замена СПЧ)</t>
  </si>
  <si>
    <t>Бованенковское</t>
  </si>
  <si>
    <t>051-2005677</t>
  </si>
  <si>
    <t>Реконструкция ДКС Ямсовейского НГКМ (2-я очередь)</t>
  </si>
  <si>
    <t>Ямсовейское</t>
  </si>
  <si>
    <t>051-2005679</t>
  </si>
  <si>
    <t>Техническое перевооружение ГПА ДКС (2-я очередь) Юбилейного НГКМ (замена СПЧ)</t>
  </si>
  <si>
    <t>051-2005692</t>
  </si>
  <si>
    <t>Техническое перевооружение газоперекачивающих агрегатов на ДКС (1 очередь) ГП-1 Бованенковского НГКМ (замена ГТУ)</t>
  </si>
  <si>
    <t>051-2005701</t>
  </si>
  <si>
    <t>Реконструкция ЦДКС Медвежьего НГКМ</t>
  </si>
  <si>
    <t>Медвежье</t>
  </si>
  <si>
    <t>051-2005702</t>
  </si>
  <si>
    <t>Внедрение технологии непрерывной дозированной подачи жидких ПАВ в скважины Медвежьего НГКМ</t>
  </si>
  <si>
    <t>051-2005703</t>
  </si>
  <si>
    <t>Реконструкция МПК 1, 2, 3 Медвежьего НГКМ</t>
  </si>
  <si>
    <t>051-2005708</t>
  </si>
  <si>
    <t>Реконструкция газосборной сети Ямсовейского НГКМ</t>
  </si>
  <si>
    <t>051-2006513</t>
  </si>
  <si>
    <t>Техническое перевооружение ГПА ДКС (2 и 3 очередей) ГП-1, ГП-2 Бованенковского НГКМ (замена СПЧ)</t>
  </si>
  <si>
    <t>051-2004684</t>
  </si>
  <si>
    <t>Реконструкция обвязки кустов газовых скважин Западно-Таркосалинского газового промысла</t>
  </si>
  <si>
    <t>Западно-Таркосалинское</t>
  </si>
  <si>
    <t>051-2004687</t>
  </si>
  <si>
    <t>Техперевооружение обвязки кустов газовых скважин Комсомольского газового промысла</t>
  </si>
  <si>
    <t>Комсомольское</t>
  </si>
  <si>
    <t>051-2005359</t>
  </si>
  <si>
    <t>Реконструкция ГСС Западно-Таркосалинского газового промысла</t>
  </si>
  <si>
    <t>051-2005685</t>
  </si>
  <si>
    <t>Техперевооружение ДКС Комсомольского газового месторождения. Замена СПЧ ГПА 1-й очереди 3-й ступени сжатия. 2-й этап</t>
  </si>
  <si>
    <t>051-2006341</t>
  </si>
  <si>
    <t>Техперевооружение газовых скважин Комсомольского газового промысла. Замена НКТ</t>
  </si>
  <si>
    <t>051-2006514</t>
  </si>
  <si>
    <t>Внедрение технологии непрерывной дозированной подачи жидких ПАВ в скважины Комсомольского газового промысла</t>
  </si>
  <si>
    <t>051-2006515</t>
  </si>
  <si>
    <t>Внедрение технологии непрерывной дозированной подачи жидких ПАВ в скважины Западно-Таркосалинского газового промысла</t>
  </si>
  <si>
    <t>051-2006517</t>
  </si>
  <si>
    <t>Реконструкция ДКС Западно-Таркосалинского НГКМ. Установка многосекционных ЦБК</t>
  </si>
  <si>
    <t>051-2006518</t>
  </si>
  <si>
    <t>Внедрение технологии непрерывной дозированной подачи жидких ПАВ в скважинах Вынгаяхинского месторождения</t>
  </si>
  <si>
    <t>Вынгаяхинское</t>
  </si>
  <si>
    <t>051-2006519</t>
  </si>
  <si>
    <t>Внедрение технологии непрерывной дозированной подачи жидких ПАВ в скважины Еты-Пуровского месторождения</t>
  </si>
  <si>
    <t>Еты-Пуровское</t>
  </si>
  <si>
    <t>051-2006521</t>
  </si>
  <si>
    <t>Внедрение технологии непрерывной дозированной подачи жидких ПАВ в скважины Нижнеквакчикского месторождения</t>
  </si>
  <si>
    <t>Нижнеквакчикское</t>
  </si>
  <si>
    <t>051-2006523</t>
  </si>
  <si>
    <t>Реконструкция объектов подготовки и транспортировки газа Комсомольского газового промысла</t>
  </si>
  <si>
    <t>051-2006524</t>
  </si>
  <si>
    <t>Техническое перевооружение объектов ООО «Газпром добыча Ноябрьск  (2 этап)</t>
  </si>
  <si>
    <t>Чаяндинское</t>
  </si>
  <si>
    <t>051-2006584</t>
  </si>
  <si>
    <t>Техперевооружение ДКС Еты-Пуровского ГМ. Замена СПЧ 3,0.</t>
  </si>
  <si>
    <t>051-2006962</t>
  </si>
  <si>
    <t>Техническое перевооружение объектов ООО «Газпром добыча Ноябрьск» (3 этап)</t>
  </si>
  <si>
    <t>051-2007103</t>
  </si>
  <si>
    <t>Реконструкция Камчатского ГПУ</t>
  </si>
  <si>
    <t>ГДНя-0003.2025</t>
  </si>
  <si>
    <t>Реконструкция ГСС  Западно-Таркосалинского газового промысла 2 этап</t>
  </si>
  <si>
    <t>Астраханское</t>
  </si>
  <si>
    <t>Реконструкция эксплуатационных скважин Астраханского газоконденсатного месторождения с боковой зарезкой стволов</t>
  </si>
  <si>
    <t>051-2001315</t>
  </si>
  <si>
    <t>Техническое перевооружение и реконструкция объектов добычи газа ОНГКМ</t>
  </si>
  <si>
    <t>Оренбургское</t>
  </si>
  <si>
    <t>051-1001317</t>
  </si>
  <si>
    <t>Реконструкция промысловых объектов ООО "Астраханьгазпром"</t>
  </si>
  <si>
    <t>051-2001320</t>
  </si>
  <si>
    <t>Реконструкция ДКС-1,2 на Оренбургском НГКМ</t>
  </si>
  <si>
    <t>051-2004003</t>
  </si>
  <si>
    <t>Реконструкция ДКС-3 Оренбургского НГКМ</t>
  </si>
  <si>
    <t>051-2005354</t>
  </si>
  <si>
    <t>Обводненный фонд газовых скважин Оренбургского нефтегазоконденсатного месторождения</t>
  </si>
  <si>
    <t>051-2005355</t>
  </si>
  <si>
    <t>Реконструкция скважины № 178 Оренбургского НГКМ для механизированной добычи газа по схеме прямой закачки пластовой воды в поглощающий горизонт</t>
  </si>
  <si>
    <t>051-2005482</t>
  </si>
  <si>
    <t>Реконструкция объектов ГПУ для приема, подготовки и учета продукции нефтяных скважин Филипповской залежи</t>
  </si>
  <si>
    <t>051-2006449</t>
  </si>
  <si>
    <t>Техническое перевооружение скважин Оренбургского НГКМ</t>
  </si>
  <si>
    <t>051-2006450</t>
  </si>
  <si>
    <t>Подключение скважин переведенных в эксплуатационный фонд Оренбургского НГКМ</t>
  </si>
  <si>
    <t>051-2006451</t>
  </si>
  <si>
    <t>Реконструкция технологических линий УКПГ-10 Оренбургского НГКМ</t>
  </si>
  <si>
    <t>051-2007105</t>
  </si>
  <si>
    <t>Реконструкция технологической линии УКПГ-9 Оренбургского НГКМ с применением МКУ</t>
  </si>
  <si>
    <t>051-2007106</t>
  </si>
  <si>
    <t>Реконструкция и техническое перевооружение УКПГ-2 ОНГКМ</t>
  </si>
  <si>
    <t>051-2007107</t>
  </si>
  <si>
    <t>Реконструкция и техническое перевооружение УКПГ-6 ОНГКМ</t>
  </si>
  <si>
    <t>051-2007108</t>
  </si>
  <si>
    <t>Реконструкция и техническое перевооружение УКПГ-15 ОНГКМ</t>
  </si>
  <si>
    <t>051-2006278</t>
  </si>
  <si>
    <t>Реконструкция объектов Киринского ГКМ (3 очередь)</t>
  </si>
  <si>
    <t>Киринское</t>
  </si>
  <si>
    <t>051-1006437</t>
  </si>
  <si>
    <t>Реконструкция УПГ-102 Ковыктинского ГКМ</t>
  </si>
  <si>
    <t>Ковыктинское</t>
  </si>
  <si>
    <t>051-2004681</t>
  </si>
  <si>
    <t>Реконструкция ФА и технологических трубопроводов с установкой средств коррозионного мониторинга объектов на Бованенковском НГКМ</t>
  </si>
  <si>
    <t>051-2005706</t>
  </si>
  <si>
    <t>Модернизация системы водоподготовки котельной "Сермет" на промбазе  ГП-1 Бованековского НГКМ</t>
  </si>
  <si>
    <t>051-2006188</t>
  </si>
  <si>
    <t>Техническое перевооружение наблюдательных скважин №№ 5600, 6100, 6400, 6800 УКПГ-1 Бованенковского НГКМ</t>
  </si>
  <si>
    <t>051-2006342</t>
  </si>
  <si>
    <t>Реконструкция полигона твердых бытовых и производственных отходов Бованенковского НГКМ</t>
  </si>
  <si>
    <t>051-2006571</t>
  </si>
  <si>
    <t>Техническое перевооружение оборудования резервуарного парка расходного склада ГСМ промбазы ГП-1 Бованенковского НГКМ</t>
  </si>
  <si>
    <t>051-2006570</t>
  </si>
  <si>
    <t xml:space="preserve">Реконструкция и техническое перевооружение электромодуля №1 ЭСН на промбазе ГП-2 Бованенковского НГКМ (2 очередь, 1 этап) </t>
  </si>
  <si>
    <t>051-2006967</t>
  </si>
  <si>
    <t>Техническое перевооружение теплой стоянки на 50 машин базы АТП на промбазе ГП-1 Бованенковского НГКМ</t>
  </si>
  <si>
    <t>051-2006968</t>
  </si>
  <si>
    <t>Реконструкция и техническое перевооружение комплекса инженерно-технических средств охраны ГП-2 Бованенковского НГКМ (УКПГ, ДКС 1 очередь, (1,2 модуль))</t>
  </si>
  <si>
    <t>051-2004674</t>
  </si>
  <si>
    <t>Дообустройство сеноман-аптских залежей Бованенковского НГКМ. 1 Этап. ДКС 3-их очередей ГП-1, ГП-2</t>
  </si>
  <si>
    <t>Дообустройство сеноман-аптских залежей Бованенковского НГКМ. 2 Этап. Кусты газовых скважин, в том числе Эксплуатационное бурение</t>
  </si>
  <si>
    <t>051-2005495</t>
  </si>
  <si>
    <t xml:space="preserve">Реконструкция газопроводов Заполярного НГКМ с устройством узлов пуска и приёма очистных и диагностических устройств </t>
  </si>
  <si>
    <t>051-2005695</t>
  </si>
  <si>
    <t>Реконструкция и техническое перевооружение систем пожарной сигнализации, контроля загазованности и пожаротушения объектов УКПГ-1С, УКПГ-2С, УКПГ-3С, АГРС БК 2/70 Заполярного НГКМ</t>
  </si>
  <si>
    <t xml:space="preserve">051-2006021 </t>
  </si>
  <si>
    <t>Реконструкция технологичского оборудования и системы автоматизации КАДС Заполярного НГКМ</t>
  </si>
  <si>
    <t>051-2005690</t>
  </si>
  <si>
    <t>Реконструкция и техническое перевооружение системы электрохимзащиты объектов Заполярного НГКМ</t>
  </si>
  <si>
    <t>051-2005699</t>
  </si>
  <si>
    <t>Реконструкция и техническое перевооружение электроснабжения объектов ГТЭС-24 Заполярного НГКМ</t>
  </si>
  <si>
    <t>051-2005199</t>
  </si>
  <si>
    <t>Реконструкция базы АТП НГДУ на 470 единиц Заполярного ГНКМ</t>
  </si>
  <si>
    <t xml:space="preserve">051-2005696 </t>
  </si>
  <si>
    <t>Реконструкция и техническое перевооружения нефтебазы и базы метанола  Заполярного ГНКМ</t>
  </si>
  <si>
    <t>036-2001043</t>
  </si>
  <si>
    <t>Техническое перевооружение, реконструкция, расширение действующих мощностей Уренгойского НГКМ</t>
  </si>
  <si>
    <t>051-2005191</t>
  </si>
  <si>
    <t>Реконструкция системы подготовки, очистки и закачки сточных вод в поглощающие скважины Уренгойского НГКМ</t>
  </si>
  <si>
    <t>051-2005370</t>
  </si>
  <si>
    <t>Реконструкция и техническое перевооружение объектов и инженерных систем межпромысловых коллекторов Уренгойского НГКМ. 1 этап</t>
  </si>
  <si>
    <t>Техническое перевооружение скважины № 514 ГКП-5 Уренгойского НГКМ. Оснащение концентрической лифтовой колонной.</t>
  </si>
  <si>
    <t>051-2006174</t>
  </si>
  <si>
    <t>Реконструкция технологического оборудования. Ачимовский участок Уренгойского НГКМ. (Письмо ПАО "Газпром" от 04.07.2022 № 06/44/4/06-2677)</t>
  </si>
  <si>
    <t>051-1005673</t>
  </si>
  <si>
    <t>Реконструкция водозаборов Таб–Яха, Хадуттэ.</t>
  </si>
  <si>
    <t>051-2006446</t>
  </si>
  <si>
    <t>Комплексная реконструкция УКПГ. Перевод УКПГ в УППГ. УКПГ–1АС, 1, 2, 3, 5, 6, 8,  9, 10, 11, 13, 15</t>
  </si>
  <si>
    <t>051-2006448</t>
  </si>
  <si>
    <t>Реконструкция систем электрохимзащиты объектов ООО «Газпром добыча Уренгой» ГП (ГКП) №№ 1-16, 1А</t>
  </si>
  <si>
    <t>051-2001204</t>
  </si>
  <si>
    <t>Реконструкция и техперевооружение объектов Ямбургского ГКМ. 2-й этап реконструкции</t>
  </si>
  <si>
    <t>051-2004693</t>
  </si>
  <si>
    <t>Инженерная защита балочных переходов газопровордов-шлейфов  и межпромысловых коллекторов Ямбургского НГКМ</t>
  </si>
  <si>
    <t>051-2005475</t>
  </si>
  <si>
    <t xml:space="preserve">Реконструкция энергомодулей № 1, 2, 3 ГТЭС-72 Ямбургского НГКМ </t>
  </si>
  <si>
    <t>051-2005698</t>
  </si>
  <si>
    <t>Реконструкция ГТЭС-15 УКПГ-9 Харвутинской площади Ямбургского НГКМ</t>
  </si>
  <si>
    <t xml:space="preserve">051-2005853 </t>
  </si>
  <si>
    <t>Реконструкция УПМТ-1 УКПГ-1В Ямбургского НГКМ</t>
  </si>
  <si>
    <t>051-2005261</t>
  </si>
  <si>
    <t>Реконструкция здания производственных корпусов с тёплой стоянкой УКПГ-4 и УКПГ-9 Ямбургского НГКМ</t>
  </si>
  <si>
    <t xml:space="preserve">051-2006022 </t>
  </si>
  <si>
    <t>Реконструкция ПАЭС 2500 УКПГ-1В ЯНГКМ</t>
  </si>
  <si>
    <t>051-2001230</t>
  </si>
  <si>
    <t>Реконструкция и модернизация Ямбургского ГКМ</t>
  </si>
  <si>
    <t>051-2000791</t>
  </si>
  <si>
    <t>Газовые промыслы Медвежьего НГКМ. Реконструкция и техперевооружение. 2-я очередь строительства</t>
  </si>
  <si>
    <t>051-2006585</t>
  </si>
  <si>
    <t>Техническое перевооружение сети УКВ-радиосвязи на газовых промыслах Надым-Пур-Тазовского региона</t>
  </si>
  <si>
    <t>051-2006586</t>
  </si>
  <si>
    <t>Реконструкция сети оперативно-диспетчерской связи и оповещения ГОиЧС на газовых промыслах Надым-Пур-Тазовского региона</t>
  </si>
  <si>
    <t>051-2006965</t>
  </si>
  <si>
    <t xml:space="preserve">Техническое перевооружение внутриплощадочных сетей газовых промыслов Медвежьего НГКМ </t>
  </si>
  <si>
    <t>051-2000793</t>
  </si>
  <si>
    <t xml:space="preserve">Реконструкция и техническое перевооружение объектов добычи газа Юбилейного НГКМ </t>
  </si>
  <si>
    <t>051-2000804</t>
  </si>
  <si>
    <t>Реконструкция и техническое перевооружение объектов добычи газа Юбилейного НГКМ. 2-я очередь</t>
  </si>
  <si>
    <t>051-2006345</t>
  </si>
  <si>
    <t>Реконструкция полигона утилизации ТБО Юбилейного НГКМ</t>
  </si>
  <si>
    <t>051-2000792</t>
  </si>
  <si>
    <t>Реконструкция и техническое перевооружение объектов добычи газа Ямсовейского НГКМ</t>
  </si>
  <si>
    <t>051-2000800</t>
  </si>
  <si>
    <t>Реконструкция и техническое перевооружение объектов добычи газа Ямсовейского НГКМ. 2-я очередь</t>
  </si>
  <si>
    <t>051-2006966</t>
  </si>
  <si>
    <t>Техническое перевооружение внутриплощадочных сетей Ямсовейского НГКМ</t>
  </si>
  <si>
    <t>051-2006465</t>
  </si>
  <si>
    <t>Реконструкция сливной эстакады для приема нефтепродуктов автомобильным транспортом на базовый склад ГСМ, ДЭГа и метанола промбазы Харасавэйского ГКМ</t>
  </si>
  <si>
    <t>Харасавэйское</t>
  </si>
  <si>
    <t xml:space="preserve">051-2000842 </t>
  </si>
  <si>
    <t>Реконструкция Комсомольского газового промысла (2 этап)</t>
  </si>
  <si>
    <t>051-2005686</t>
  </si>
  <si>
    <t>Техническое перевооружение систем автоматизации Комсомольского газового промысла</t>
  </si>
  <si>
    <t>051-2007100</t>
  </si>
  <si>
    <t>Техническое перевооружение систем противопожарной защиты Комсомольского НГКМ</t>
  </si>
  <si>
    <t>051-2000826</t>
  </si>
  <si>
    <t>Реконструкция  Западно-Таркосалинского газового промысла</t>
  </si>
  <si>
    <t>051-2004683</t>
  </si>
  <si>
    <t>Техперевооружение газовых скважин Западно-Таркосалинского газового промысла</t>
  </si>
  <si>
    <t>051-2007133</t>
  </si>
  <si>
    <t>Реконструкция ГСС  Западно-Таркосалинского газового промысла 2 этап, 2 очередь</t>
  </si>
  <si>
    <t>051-2000848</t>
  </si>
  <si>
    <t>Реконструкция Вынгаяхинского газового промысла</t>
  </si>
  <si>
    <t>051-2007101</t>
  </si>
  <si>
    <t>Техническое перевооружение объектов системы сбора газа Вынгаяхинского ГПУ</t>
  </si>
  <si>
    <t>051-2006344</t>
  </si>
  <si>
    <t>Реконструкция полигона ТБиПО Чаяндинского НГКМ</t>
  </si>
  <si>
    <t>051-2007090</t>
  </si>
  <si>
    <t>ПСП «Чаяндинский»</t>
  </si>
  <si>
    <t>051-2007102</t>
  </si>
  <si>
    <t>Техническое перевооружение систем противопожарной защиты Чаяндинского НГКМ</t>
  </si>
  <si>
    <t>051-2006343</t>
  </si>
  <si>
    <t>Реконструкция полигона ТБиПО Кшукского ГКМ</t>
  </si>
  <si>
    <t>Кшукское</t>
  </si>
  <si>
    <t>051-2000880</t>
  </si>
  <si>
    <t>Оснащение устьев газовых скважин в затапливаемой зоне локальной автоматикой и телемеханикой управления скважиной</t>
  </si>
  <si>
    <t>051-2005353</t>
  </si>
  <si>
    <t>Оснащение скважин сероводородсодержащих месторождений энергонезависимой системой телемеханики с функциями аварийной защиты и раннего оповещения</t>
  </si>
  <si>
    <t>051-2005715</t>
  </si>
  <si>
    <t>Техперевооружение обвязки устьев скважин для регулировки подачи метанола</t>
  </si>
  <si>
    <t>051-2000877</t>
  </si>
  <si>
    <t>Техперевооружение газоконденсатопродуктопроводов УЭСП по Абдулинскому направлению</t>
  </si>
  <si>
    <t>051-2004659</t>
  </si>
  <si>
    <t xml:space="preserve">Газоконденсатопродуктопроводы УЭСП по Дедуровскому коридору     </t>
  </si>
  <si>
    <t>051-2000878</t>
  </si>
  <si>
    <t>Газоконденсатопродуктопроводы УЭСП по Западному коридору</t>
  </si>
  <si>
    <t>051-2004652</t>
  </si>
  <si>
    <t>Газоконденсатопродуктопроводы УЭСП по Павловскому коридору</t>
  </si>
  <si>
    <t>051-2004616</t>
  </si>
  <si>
    <t>Продуктопроводы УЭСП Салаватско-Уфимского направления</t>
  </si>
  <si>
    <t>051-2000872</t>
  </si>
  <si>
    <t>Реконструкция газопровода очищенного газа "Союз" - ДКС-1"</t>
  </si>
  <si>
    <t>051-2006509</t>
  </si>
  <si>
    <t>Модернизация сепарационного оборудования дожимной компрессорной станции Вуктыльского ГПУ</t>
  </si>
  <si>
    <t>Вуктыльское</t>
  </si>
  <si>
    <t>051-2006510</t>
  </si>
  <si>
    <t>Реконструкция системы маслоснабжения дожимной компрессорной станции Вуктыльского ГПУ</t>
  </si>
  <si>
    <t>051-2005984</t>
  </si>
  <si>
    <t>Реконструкция берегового технологического комплекса Киринского ГКМ  (2 очередь)</t>
  </si>
  <si>
    <t>ГДЮС-0001.2025</t>
  </si>
  <si>
    <t>Реконструкция азотно-компрессорной станции УКПГ Киринского ГКМ</t>
  </si>
  <si>
    <t>ГДИ-0001.2025</t>
  </si>
  <si>
    <t>Реконструкция дренажной системы Компрессорной станции газов стабилизации УКПГ-2 для обеспечения требований промышленной безопасности</t>
  </si>
  <si>
    <t>ГДИ-0003.2025</t>
  </si>
  <si>
    <t>Реконструкция системы подачи метанола УКПГ-2</t>
  </si>
  <si>
    <t>ГДИ-0002.2025</t>
  </si>
  <si>
    <t>Реконструкция ТОК Окунайский Ковыктинского ГКМ</t>
  </si>
  <si>
    <t>Гелогический горизонт</t>
  </si>
  <si>
    <t>ООО "Газпром добыча Надым"</t>
  </si>
  <si>
    <t>ООО "Газпром добыча Ноябрьск"</t>
  </si>
  <si>
    <t>КЛК</t>
  </si>
  <si>
    <t>ООО "Газпром добыча Оренбург"</t>
  </si>
  <si>
    <t>ООО "Газпром добыча Уренгой"</t>
  </si>
  <si>
    <t>ООО "Газпром добыча Ямбург"</t>
  </si>
  <si>
    <t>Теплообменник</t>
  </si>
  <si>
    <t>Губкинское</t>
  </si>
  <si>
    <t>Южно-Русское</t>
  </si>
  <si>
    <t>Тип стройки</t>
  </si>
  <si>
    <t>С</t>
  </si>
  <si>
    <t>Р</t>
  </si>
  <si>
    <t>Т</t>
  </si>
  <si>
    <t>Л</t>
  </si>
  <si>
    <t>Строительство объекта</t>
  </si>
  <si>
    <t>Сокращение стройки</t>
  </si>
  <si>
    <t>Реконструкция объекта</t>
  </si>
  <si>
    <t>Техниечское перевооружение стройки</t>
  </si>
  <si>
    <t>Ликвидация объекта</t>
  </si>
  <si>
    <t>Номер мероприятия</t>
  </si>
  <si>
    <t>Уровень мероприятия</t>
  </si>
  <si>
    <t>Сокращение уровня</t>
  </si>
  <si>
    <t>Промысловый</t>
  </si>
  <si>
    <t>Групповой</t>
  </si>
  <si>
    <t>Скважинный</t>
  </si>
  <si>
    <t>П</t>
  </si>
  <si>
    <t>Г</t>
  </si>
  <si>
    <t>1.1.0.1</t>
  </si>
  <si>
    <t>1.1.0.2</t>
  </si>
  <si>
    <t>ОАО "Севернефтегазпром"</t>
  </si>
  <si>
    <t>Основная артинско-среднекаменноугольная залежь</t>
  </si>
  <si>
    <t>Наименование оборудования</t>
  </si>
  <si>
    <t>ФА</t>
  </si>
  <si>
    <t>Система подачи метанола</t>
  </si>
  <si>
    <t>ЛЭП</t>
  </si>
  <si>
    <t>АСУЭ</t>
  </si>
  <si>
    <t>Тепловая сеть</t>
  </si>
  <si>
    <t>Здания и сооружения</t>
  </si>
  <si>
    <t>ГСС</t>
  </si>
  <si>
    <t>КЗПОУ</t>
  </si>
  <si>
    <t>ДКС</t>
  </si>
  <si>
    <t>ГПА</t>
  </si>
  <si>
    <t>ЭСН</t>
  </si>
  <si>
    <t>Новые скважины</t>
  </si>
  <si>
    <t>МКУ</t>
  </si>
  <si>
    <t>Краткое Название стройки</t>
  </si>
  <si>
    <t>УКПГ</t>
  </si>
  <si>
    <t>Объект стройки</t>
  </si>
  <si>
    <t>Вид оборудования</t>
  </si>
  <si>
    <t>Наименование мероприятия</t>
  </si>
  <si>
    <t>Газодобывающее общество</t>
  </si>
  <si>
    <t>АО "Газпром добыча Томск"</t>
  </si>
  <si>
    <t>ЗАО "Пургаз"</t>
  </si>
  <si>
    <t>ООО "Газпром добыча Иркутск"</t>
  </si>
  <si>
    <t>ООО "Газпром добыча Краснодар"</t>
  </si>
  <si>
    <t>ООО "Газпром добыча Кузнецк"</t>
  </si>
  <si>
    <t>ООО "Газпром добыча Тамбей"</t>
  </si>
  <si>
    <t>ООО "Газпром добыча шельф Южно-Сахалинск"</t>
  </si>
  <si>
    <t>ООО "Газпром трансгаз Югорск"</t>
  </si>
  <si>
    <t>ООО "Газпромнефть-Заполярье"</t>
  </si>
  <si>
    <t>ПАО "Газпром нефть"</t>
  </si>
  <si>
    <t>ООО "Сахалинская энергия"</t>
  </si>
  <si>
    <t>АО "Газпром газораспределение Элиста"</t>
  </si>
  <si>
    <t>ООО "Газпромвьет"</t>
  </si>
  <si>
    <t>Апт-альб-сеноманский</t>
  </si>
  <si>
    <t>Ассельский</t>
  </si>
  <si>
    <t>Ачимовский</t>
  </si>
  <si>
    <t>Ботуобинский</t>
  </si>
  <si>
    <t>Девонский</t>
  </si>
  <si>
    <t>Карбон</t>
  </si>
  <si>
    <t>Неоком</t>
  </si>
  <si>
    <t>Неоком-юра</t>
  </si>
  <si>
    <t>Сакмарский</t>
  </si>
  <si>
    <t>Сеноман</t>
  </si>
  <si>
    <t>Сеноман-апт</t>
  </si>
  <si>
    <t>Сенон</t>
  </si>
  <si>
    <t>Среднекаменноугольный</t>
  </si>
  <si>
    <t>Талахский горизонт</t>
  </si>
  <si>
    <t>Туронский</t>
  </si>
  <si>
    <t>Ухтолокская свита</t>
  </si>
  <si>
    <t>Филипповская залежь</t>
  </si>
  <si>
    <t>Филипповский</t>
  </si>
  <si>
    <t>Хамакинский горизонт</t>
  </si>
  <si>
    <t>Эрмановская свита</t>
  </si>
  <si>
    <t>Этолонская свита</t>
  </si>
  <si>
    <t>Юра</t>
  </si>
  <si>
    <t xml:space="preserve">береза </t>
  </si>
  <si>
    <t>Азовское</t>
  </si>
  <si>
    <t>Безопасненское</t>
  </si>
  <si>
    <t>Бейсугское</t>
  </si>
  <si>
    <t>Березовское</t>
  </si>
  <si>
    <t>Болтное</t>
  </si>
  <si>
    <t>Бухаровское</t>
  </si>
  <si>
    <t>Восточно-Прибрежное</t>
  </si>
  <si>
    <t>Вынгапуровское</t>
  </si>
  <si>
    <t>Граничное</t>
  </si>
  <si>
    <t>Гривенское</t>
  </si>
  <si>
    <t>Деминское</t>
  </si>
  <si>
    <t>Журавское</t>
  </si>
  <si>
    <t>Западно-Красноармейское</t>
  </si>
  <si>
    <t>Западно-Соплесское</t>
  </si>
  <si>
    <t>Ики-Бурульское</t>
  </si>
  <si>
    <t>Ильинское</t>
  </si>
  <si>
    <t>Казанское</t>
  </si>
  <si>
    <t>Каменно-Балковское</t>
  </si>
  <si>
    <t>Каменномысское-море</t>
  </si>
  <si>
    <t>Каневское-Лебяжье</t>
  </si>
  <si>
    <t>Красноармейское</t>
  </si>
  <si>
    <t>Кугутское</t>
  </si>
  <si>
    <t>Лунское</t>
  </si>
  <si>
    <t>Марковское</t>
  </si>
  <si>
    <t>Мечетское</t>
  </si>
  <si>
    <t>Мирненское</t>
  </si>
  <si>
    <t>Мирное</t>
  </si>
  <si>
    <t>Мостовянское</t>
  </si>
  <si>
    <t>Мыльджинское</t>
  </si>
  <si>
    <t>Нагумановское</t>
  </si>
  <si>
    <t>Нарыкско-Осташнинское</t>
  </si>
  <si>
    <t>Николаевское</t>
  </si>
  <si>
    <t>Останинское</t>
  </si>
  <si>
    <t>Патроновское</t>
  </si>
  <si>
    <t>Песцовое</t>
  </si>
  <si>
    <t>Песчаное</t>
  </si>
  <si>
    <t>Петровско-Благодарненское</t>
  </si>
  <si>
    <t>Печорокожвинское</t>
  </si>
  <si>
    <t>Пильтун-Астохское</t>
  </si>
  <si>
    <t>Пинджинское</t>
  </si>
  <si>
    <t>Прибрежное</t>
  </si>
  <si>
    <t>Радыковское</t>
  </si>
  <si>
    <t>Расшеватское</t>
  </si>
  <si>
    <t>Роговское</t>
  </si>
  <si>
    <t>Рыбальное</t>
  </si>
  <si>
    <t>Северо-Васюганское</t>
  </si>
  <si>
    <t>Северо-Гривенское</t>
  </si>
  <si>
    <t>Северо-Каменномысское</t>
  </si>
  <si>
    <t>Северо-Колпаковское</t>
  </si>
  <si>
    <t>Северо-Останинское</t>
  </si>
  <si>
    <t>Северо-Прибрежное</t>
  </si>
  <si>
    <t>Северо-Пуровское</t>
  </si>
  <si>
    <t>Северо-Уренгойское</t>
  </si>
  <si>
    <t>Северо-Чебургольское</t>
  </si>
  <si>
    <t>Сенгилеевское</t>
  </si>
  <si>
    <t>Синявское</t>
  </si>
  <si>
    <t>Совхозное</t>
  </si>
  <si>
    <t>Талдинское</t>
  </si>
  <si>
    <t>Тамбейское</t>
  </si>
  <si>
    <t>Тахта-Кугультинское</t>
  </si>
  <si>
    <t>Челбасское</t>
  </si>
  <si>
    <t>Элитное</t>
  </si>
  <si>
    <t>Югидское</t>
  </si>
  <si>
    <t>Южно-Киринское</t>
  </si>
  <si>
    <t>Южно-Радыковское</t>
  </si>
  <si>
    <t>ПО</t>
  </si>
  <si>
    <t>Боковой ствол</t>
  </si>
  <si>
    <t>Скважина с ЭЦН</t>
  </si>
  <si>
    <t>Газлифтная установка</t>
  </si>
  <si>
    <t>Факельная установка скважин (куста скважин)</t>
  </si>
  <si>
    <t>Скважинный подогреватель</t>
  </si>
  <si>
    <t>Нагревательный кабель скважин</t>
  </si>
  <si>
    <t>Прискважинное оборудование</t>
  </si>
  <si>
    <t>УК КЛК</t>
  </si>
  <si>
    <t xml:space="preserve">Телемеханика (телеметрия ) скважин  </t>
  </si>
  <si>
    <t>Устройство подачи ПАВ</t>
  </si>
  <si>
    <t>Привод ГПА</t>
  </si>
  <si>
    <t>Нагнетатель ГПА</t>
  </si>
  <si>
    <t>СПЧ нагнетателей ГПА</t>
  </si>
  <si>
    <t>СПЧ турбодетандеров</t>
  </si>
  <si>
    <t>АВО</t>
  </si>
  <si>
    <t>ЗРА (горячая серия)</t>
  </si>
  <si>
    <t>Вспомогательные системы ДКС</t>
  </si>
  <si>
    <t>МПТ</t>
  </si>
  <si>
    <t>ЗРА</t>
  </si>
  <si>
    <t>Газлифтный трубопровод</t>
  </si>
  <si>
    <t>Метанолопровод</t>
  </si>
  <si>
    <t>Конденсатопровод</t>
  </si>
  <si>
    <t>Датчики прохождения поршня</t>
  </si>
  <si>
    <t>КУ</t>
  </si>
  <si>
    <t>Десорбер</t>
  </si>
  <si>
    <t>Печь</t>
  </si>
  <si>
    <t>Абсорбер</t>
  </si>
  <si>
    <t>Разделитель</t>
  </si>
  <si>
    <t>ТДА</t>
  </si>
  <si>
    <t>Сепаратор</t>
  </si>
  <si>
    <t>Сепаратор ПУ</t>
  </si>
  <si>
    <t>Насосная</t>
  </si>
  <si>
    <t>Установка утилизации продуктов поршевания</t>
  </si>
  <si>
    <t>Система подготовки пластовой воды</t>
  </si>
  <si>
    <t>ГФУ</t>
  </si>
  <si>
    <t>ФУ УКПГ</t>
  </si>
  <si>
    <t>Система компримирования газа стабилизации, дегазации</t>
  </si>
  <si>
    <t>МЦК</t>
  </si>
  <si>
    <t>Тепловая изоляция наземных трубопроводов сырого газа УКПГ</t>
  </si>
  <si>
    <t>Подземная продувочная емкость</t>
  </si>
  <si>
    <t>Амбары ГФУ</t>
  </si>
  <si>
    <t>ПРГ</t>
  </si>
  <si>
    <t>Компрессорная воздуха КИП</t>
  </si>
  <si>
    <t>Установка регенерации метанола</t>
  </si>
  <si>
    <t>Установка регенерации гликоля</t>
  </si>
  <si>
    <t>Установка получения азота</t>
  </si>
  <si>
    <t>АСУТП УКПГ</t>
  </si>
  <si>
    <t>АСУТП ПО</t>
  </si>
  <si>
    <t>АСПС КЗиПТ ДКС</t>
  </si>
  <si>
    <t>АСПС КЗиПТ ГПА</t>
  </si>
  <si>
    <t>АСПС КЗиПТ УКПГ</t>
  </si>
  <si>
    <t>АСПС КЗиПТ ПО</t>
  </si>
  <si>
    <t>САУ ГПА</t>
  </si>
  <si>
    <t>АСУТП КЦ ДКС</t>
  </si>
  <si>
    <t>АСДО ДКС</t>
  </si>
  <si>
    <t>Связь</t>
  </si>
  <si>
    <t>ИУС</t>
  </si>
  <si>
    <t>УЗГ</t>
  </si>
  <si>
    <t>КИТСО</t>
  </si>
  <si>
    <t>Внутриплощадочные электрические сети</t>
  </si>
  <si>
    <t>АЭК</t>
  </si>
  <si>
    <t>ЗРУ</t>
  </si>
  <si>
    <t>КТП</t>
  </si>
  <si>
    <t>САКЗ</t>
  </si>
  <si>
    <t>ЭХЗ</t>
  </si>
  <si>
    <t>СКМ</t>
  </si>
  <si>
    <t>Cистема подачи ингибитора коррозии</t>
  </si>
  <si>
    <t>ТП</t>
  </si>
  <si>
    <t>Отделение подогрева теплоносителя</t>
  </si>
  <si>
    <t>Котел</t>
  </si>
  <si>
    <t>Котельная</t>
  </si>
  <si>
    <t>Водозабор</t>
  </si>
  <si>
    <t>ВНС</t>
  </si>
  <si>
    <t>ВОС</t>
  </si>
  <si>
    <t>Резервуар</t>
  </si>
  <si>
    <t>КНС</t>
  </si>
  <si>
    <t>Канализация ливневая</t>
  </si>
  <si>
    <t>КОС</t>
  </si>
  <si>
    <t>Система вентиляции и кондиционирования</t>
  </si>
  <si>
    <t>Подогреватель нефти</t>
  </si>
  <si>
    <t>Химлаборатория</t>
  </si>
  <si>
    <t>Склад ГСМ</t>
  </si>
  <si>
    <t>Склад абсорбента</t>
  </si>
  <si>
    <t>Склад метанола</t>
  </si>
  <si>
    <t>СЭБ</t>
  </si>
  <si>
    <t>Переход через преграды</t>
  </si>
  <si>
    <t>Автодорога</t>
  </si>
  <si>
    <t>Инженерная защита балочных переходов</t>
  </si>
  <si>
    <t>Система с установкой средств коррозионного мониторинга</t>
  </si>
  <si>
    <t>Механический регулятор метанола</t>
  </si>
  <si>
    <t>Код стройки</t>
  </si>
  <si>
    <t>Заполняется автоматически = Код стройки + номер мероприятия +месторождение+ геологический горизонт + сокращение стройки + сокращение уровня + Объект стройки + вид оборудования</t>
  </si>
  <si>
    <t>Группа приоритетности мероприятия</t>
  </si>
  <si>
    <t>1</t>
  </si>
  <si>
    <t>2.1</t>
  </si>
  <si>
    <t>2.2</t>
  </si>
  <si>
    <t>2.3</t>
  </si>
  <si>
    <t>2.4</t>
  </si>
  <si>
    <t>3.1</t>
  </si>
  <si>
    <t>3.2</t>
  </si>
  <si>
    <t>3.3</t>
  </si>
  <si>
    <t>3.4</t>
  </si>
  <si>
    <t>Замена ФА</t>
  </si>
  <si>
    <t>Прочие</t>
  </si>
  <si>
    <t>Наименование стройки</t>
  </si>
  <si>
    <t>Замена привода ГПА</t>
  </si>
  <si>
    <t>Комментарии</t>
  </si>
  <si>
    <t>Добавлено в 2024 году</t>
  </si>
  <si>
    <t>Исключено в 2024 году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</si>
</sst>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4" tint="-0.249977111117893"/>
      <name val="Times New Roman"/>
      <family val="1"/>
      <charset val="204"/>
    </font>
    <font>
      <i/>
      <sz val="12"/>
      <color theme="4" tint="-0.499984740745262"/>
      <name val="Times New Roman"/>
      <family val="1"/>
      <charset val="204"/>
    </font>
    <font>
      <sz val="10"/>
      <color theme="1"/>
      <name val="Arial"/>
      <family val="2"/>
      <charset val="1"/>
    </font>
    <font>
      <sz val="10"/>
      <color theme="1"/>
      <name val="Arial"/>
      <family val="2"/>
      <charset val="204"/>
    </font>
    <font>
      <sz val="12"/>
      <color rgb="FF000000"/>
      <name val="Times New Roman"/>
      <family val="1"/>
      <charset val="1"/>
    </font>
    <font>
      <sz val="11"/>
      <name val="Arial"/>
      <family val="2"/>
      <charset val="204"/>
    </font>
    <font>
      <b/>
      <sz val="8"/>
      <color rgb="FF000000"/>
      <name val="Times New Roman Cyr"/>
      <family val="1"/>
      <charset val="204"/>
    </font>
    <font>
      <b/>
      <sz val="11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rgb="FFD9D9D9"/>
      </patternFill>
    </fill>
    <fill>
      <patternFill patternType="solid">
        <fgColor theme="0" tint="-0.14999847407452621"/>
        <bgColor rgb="FFD9E7F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7F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6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1" applyFont="1" applyBorder="1" applyAlignment="1">
      <alignment vertical="top" wrapText="1"/>
    </xf>
    <xf numFmtId="0" fontId="9" fillId="0" borderId="0" xfId="1" applyFont="1" applyBorder="1" applyAlignment="1">
      <alignment horizontal="left" vertical="top" wrapText="1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7FD"/>
      <rgbColor rgb="FF660066"/>
      <rgbColor rgb="FFFF8080"/>
      <rgbColor rgb="FF0D5BD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6F8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93C9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12"/>
  <sheetViews>
    <sheetView showGridLines="0" tabSelected="1" view="pageBreakPreview" topLeftCell="A2" zoomScale="80" zoomScaleNormal="70" zoomScaleSheetLayoutView="80" workbookViewId="0">
      <selection activeCell="C10" sqref="C10"/>
    </sheetView>
  </sheetViews>
  <sheetFormatPr defaultColWidth="12.42578125" defaultRowHeight="15.75" x14ac:dyDescent="0.25"/>
  <cols>
    <col min="1" max="1" width="3" style="1" customWidth="1"/>
    <col min="2" max="2" width="38.5703125" style="1" customWidth="1"/>
    <col min="3" max="4" width="65.85546875" style="1" customWidth="1"/>
    <col min="5" max="5" width="19.7109375" style="1" hidden="1" customWidth="1"/>
    <col min="6" max="6" width="69.140625" style="1" hidden="1" customWidth="1"/>
    <col min="7" max="7" width="19.7109375" style="1" customWidth="1"/>
    <col min="8" max="8" width="30.5703125" style="1" customWidth="1"/>
    <col min="9" max="9" width="18.5703125" style="1" hidden="1" customWidth="1"/>
    <col min="10" max="10" width="19.7109375" style="1" hidden="1" customWidth="1"/>
    <col min="11" max="11" width="27.140625" style="1" customWidth="1"/>
    <col min="12" max="12" width="16.42578125" style="1" hidden="1" customWidth="1"/>
    <col min="13" max="13" width="13.42578125" style="1" hidden="1" customWidth="1"/>
    <col min="14" max="14" width="31" style="2" customWidth="1"/>
    <col min="15" max="15" width="11.42578125" style="1" hidden="1" customWidth="1"/>
    <col min="16" max="16" width="19" style="1" hidden="1" customWidth="1"/>
    <col min="17" max="17" width="28.85546875" style="1" customWidth="1"/>
    <col min="18" max="18" width="30.85546875" style="1" hidden="1" customWidth="1"/>
    <col min="19" max="16384" width="12.42578125" style="1"/>
  </cols>
  <sheetData>
    <row r="1" spans="2:18" x14ac:dyDescent="0.25">
      <c r="B1" s="3" t="s">
        <v>0</v>
      </c>
    </row>
    <row r="3" spans="2:18" x14ac:dyDescent="0.25">
      <c r="B3" s="30" t="s">
        <v>1</v>
      </c>
      <c r="C3" s="9" t="s">
        <v>2</v>
      </c>
      <c r="D3" s="33"/>
      <c r="E3" s="4"/>
      <c r="F3" s="4"/>
      <c r="G3" s="4"/>
      <c r="H3" s="4"/>
      <c r="I3" s="4"/>
      <c r="J3" s="4"/>
      <c r="K3" s="4"/>
      <c r="L3" s="5"/>
      <c r="M3" s="10"/>
    </row>
    <row r="4" spans="2:18" x14ac:dyDescent="0.25">
      <c r="B4" s="31" t="s">
        <v>3</v>
      </c>
      <c r="C4" s="9">
        <v>2025</v>
      </c>
      <c r="D4" s="33"/>
      <c r="L4" s="5"/>
      <c r="M4" s="10"/>
    </row>
    <row r="5" spans="2:18" x14ac:dyDescent="0.25">
      <c r="B5" s="31" t="s">
        <v>4</v>
      </c>
      <c r="C5" s="9" t="s">
        <v>5</v>
      </c>
      <c r="D5" s="33"/>
      <c r="L5" s="5"/>
      <c r="M5" s="10"/>
      <c r="P5" s="29"/>
    </row>
    <row r="6" spans="2:18" x14ac:dyDescent="0.25">
      <c r="B6" s="31" t="s">
        <v>22</v>
      </c>
      <c r="C6" s="9" t="s">
        <v>129</v>
      </c>
      <c r="D6" s="33"/>
      <c r="L6" s="10"/>
      <c r="M6" s="10"/>
      <c r="P6" s="29"/>
    </row>
    <row r="7" spans="2:18" x14ac:dyDescent="0.25">
      <c r="B7" s="32"/>
      <c r="C7" s="33"/>
      <c r="D7" s="33"/>
      <c r="L7" s="10"/>
      <c r="M7" s="10"/>
      <c r="P7" s="29"/>
    </row>
    <row r="8" spans="2:18" x14ac:dyDescent="0.25">
      <c r="C8" s="6" t="s">
        <v>556</v>
      </c>
      <c r="D8" s="6"/>
      <c r="O8" s="7"/>
      <c r="P8" s="29"/>
    </row>
    <row r="9" spans="2:18" ht="47.25" x14ac:dyDescent="0.25">
      <c r="B9" s="8" t="s">
        <v>6</v>
      </c>
      <c r="C9" s="8" t="s">
        <v>7</v>
      </c>
      <c r="D9" s="8" t="s">
        <v>357</v>
      </c>
      <c r="E9" s="8" t="s">
        <v>555</v>
      </c>
      <c r="F9" s="8" t="s">
        <v>569</v>
      </c>
      <c r="G9" s="8" t="s">
        <v>331</v>
      </c>
      <c r="H9" s="8" t="s">
        <v>361</v>
      </c>
      <c r="I9" s="8" t="s">
        <v>22</v>
      </c>
      <c r="J9" s="8" t="s">
        <v>8</v>
      </c>
      <c r="K9" s="8" t="s">
        <v>321</v>
      </c>
      <c r="L9" s="8" t="s">
        <v>327</v>
      </c>
      <c r="M9" s="8" t="s">
        <v>359</v>
      </c>
      <c r="N9" s="8" t="s">
        <v>332</v>
      </c>
      <c r="O9" s="8" t="s">
        <v>333</v>
      </c>
      <c r="P9" s="8" t="s">
        <v>360</v>
      </c>
      <c r="Q9" s="8" t="s">
        <v>557</v>
      </c>
      <c r="R9" s="8" t="s">
        <v>571</v>
      </c>
    </row>
    <row r="10" spans="2:18" ht="47.25" x14ac:dyDescent="0.25">
      <c r="B10" s="28">
        <v>1</v>
      </c>
      <c r="C10" s="41" t="str">
        <f>CONCATENATE(E10,".","(",G10,")",".",I10,".",J10,".",L10,".",O10,".",M10,".",P10)</f>
        <v>051-2000005.(1.1.0.1).Астраханское.Карбон.Р.С.Скважины.НКТ</v>
      </c>
      <c r="D10" s="41" t="str">
        <f>CONCATENATE(E10,".",I10,".",J10,".",M10,".",P10)</f>
        <v>051-2000005.Астраханское.Карбон.Скважины.НКТ</v>
      </c>
      <c r="E10" s="14" t="s">
        <v>11</v>
      </c>
      <c r="F10" s="14" t="str">
        <f>IFERROR(VLOOKUP(E10,'Номер стройки'!$B:$C,2,FALSE),"Необходимо внести наименование проекта на лист ФСД стройки")</f>
        <v>Техническое перевооружение фонда скважин АГКМ (Модернизация морально и физически устаревшего оборудования обвязки устья скважин АГКМ (этап 2))</v>
      </c>
      <c r="G10" s="40" t="s">
        <v>339</v>
      </c>
      <c r="H10" s="40" t="s">
        <v>567</v>
      </c>
      <c r="I10" s="14" t="s">
        <v>129</v>
      </c>
      <c r="J10" s="14" t="s">
        <v>381</v>
      </c>
      <c r="K10" s="40" t="s">
        <v>328</v>
      </c>
      <c r="L10" s="13" t="str">
        <f>VLOOKUP(K10,Справочники!$F$3:$G$6,2,FALSE)</f>
        <v>Р</v>
      </c>
      <c r="M10" s="14" t="s">
        <v>10</v>
      </c>
      <c r="N10" s="40" t="s">
        <v>336</v>
      </c>
      <c r="O10" s="14" t="str">
        <f>VLOOKUP(N10,Справочники!$I$3:$J$5,2,FALSE)</f>
        <v>С</v>
      </c>
      <c r="P10" s="14" t="s">
        <v>13</v>
      </c>
      <c r="Q10" s="40" t="s">
        <v>560</v>
      </c>
      <c r="R10" s="39" t="s">
        <v>572</v>
      </c>
    </row>
    <row r="11" spans="2:18" ht="31.5" x14ac:dyDescent="0.25">
      <c r="B11" s="28">
        <v>2</v>
      </c>
      <c r="C11" s="41" t="str">
        <f>CONCATENATE(E11,".","(",G11,")",".",I11,".",J11,".",L11,".",O11,".",M11,".",P11)</f>
        <v>051-2000006.(1.1.0.2).Астраханское.Карбон.Р.П.ДКС.Привод ГПА</v>
      </c>
      <c r="D11" s="41" t="str">
        <f>CONCATENATE(E11,".",I11,".",J11,".",M11,".",P11)</f>
        <v>051-2000006.Астраханское.Карбон.ДКС.Привод ГПА</v>
      </c>
      <c r="E11" s="14" t="s">
        <v>9</v>
      </c>
      <c r="F11" s="14" t="str">
        <f>IFERROR(VLOOKUP(E11,'Номер стройки'!$B:$C,2,FALSE),"Необходимо внести наименование проекта на лист ФСД стройки")</f>
        <v>Реконструкция эксплуатационных скважин Астраханского газоконденсатного месторождения с боковой зарезкой стволов</v>
      </c>
      <c r="G11" s="40" t="s">
        <v>340</v>
      </c>
      <c r="H11" s="40" t="s">
        <v>570</v>
      </c>
      <c r="I11" s="14" t="s">
        <v>129</v>
      </c>
      <c r="J11" s="14" t="s">
        <v>381</v>
      </c>
      <c r="K11" s="40" t="s">
        <v>328</v>
      </c>
      <c r="L11" s="13" t="str">
        <f>VLOOKUP(K11,Справочники!$F$3:$G$6,2,FALSE)</f>
        <v>Р</v>
      </c>
      <c r="M11" s="14" t="s">
        <v>352</v>
      </c>
      <c r="N11" s="40" t="s">
        <v>334</v>
      </c>
      <c r="O11" s="14" t="str">
        <f>VLOOKUP(N11,Справочники!$I$3:$J$5,2,FALSE)</f>
        <v>П</v>
      </c>
      <c r="P11" s="14" t="s">
        <v>475</v>
      </c>
      <c r="Q11" s="40" t="s">
        <v>559</v>
      </c>
      <c r="R11" s="39" t="s">
        <v>573</v>
      </c>
    </row>
    <row r="12" spans="2:18" x14ac:dyDescent="0.25">
      <c r="N12" s="1"/>
    </row>
  </sheetData>
  <conditionalFormatting sqref="H1:I1048576">
    <cfRule type="cellIs" dxfId="5" priority="2" operator="equal">
      <formula>"Необходимо внести наименование проекта на лист ФСД стройки или указать Код ИУС проекта"</formula>
    </cfRule>
  </conditionalFormatting>
  <conditionalFormatting sqref="F9">
    <cfRule type="cellIs" dxfId="4" priority="1" operator="equal">
      <formula>"Необходимо внести наименование проекта на лист ФСД стройки или указать Код ИУС проекта"</formula>
    </cfRule>
  </conditionalFormatting>
  <dataValidations count="4">
    <dataValidation type="list" allowBlank="1" showInputMessage="1" showErrorMessage="1" sqref="L225:M234" xr:uid="{00000000-0002-0000-0000-000000000000}">
      <formula1>"ДКС,ГСС,Скважины,Энергообеспечение"</formula1>
      <formula2>0</formula2>
    </dataValidation>
    <dataValidation type="list" allowBlank="1" showInputMessage="1" showErrorMessage="1" sqref="L169:M224" xr:uid="{00000000-0002-0000-0000-000001000000}">
      <mc:AlternateContent xmlns:x12ac="http://schemas.microsoft.com/office/spreadsheetml/2011/1/ac" xmlns:mc="http://schemas.openxmlformats.org/markup-compatibility/2006">
        <mc:Choice Requires="x12ac">
          <x12ac:list>ДКС,ГСС,Скважины,Энергообеспечение,"Тепло-, водоснабжение и очистные сооружения"</x12ac:list>
        </mc:Choice>
        <mc:Fallback>
          <formula1>"ДКС,ГСС,Скважины,Энергообеспечение,Тепло-, водоснабжение и очистные сооружения"</formula1>
        </mc:Fallback>
      </mc:AlternateContent>
      <formula2>0</formula2>
    </dataValidation>
    <dataValidation type="list" allowBlank="1" showInputMessage="1" showErrorMessage="1" sqref="L13:M168" xr:uid="{00000000-0002-0000-0000-000002000000}">
      <mc:AlternateContent xmlns:x12ac="http://schemas.microsoft.com/office/spreadsheetml/2011/1/ac" xmlns:mc="http://schemas.openxmlformats.org/markup-compatibility/2006">
        <mc:Choice Requires="x12ac">
          <x12ac:list>ДКС,ГСС,Скважины,Энергообеспечение,"Тепло-, водоснабжение и очистные сооружения",Прочие объекты инженерного обеспечения</x12ac:list>
        </mc:Choice>
        <mc:Fallback>
          <formula1>"ДКС,ГСС,Скважины,Энергообеспечение,Тепло-, водоснабжение и очистные сооружения,Прочие объекты инженерного обеспечения"</formula1>
        </mc:Fallback>
      </mc:AlternateContent>
      <formula2>0</formula2>
    </dataValidation>
    <dataValidation type="list" allowBlank="1" showInputMessage="1" showErrorMessage="1" sqref="E11" xr:uid="{00000000-0002-0000-0000-000003000000}">
      <formula1>КодИУСпроекта</formula1>
    </dataValidation>
  </dataValidations>
  <pageMargins left="0.7" right="0.7" top="0.75" bottom="0.75" header="0.511811023622047" footer="0.511811023622047"/>
  <pageSetup paperSize="9" scale="27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4000000}">
          <x14:formula1>
            <xm:f>Справочники!#REF!</xm:f>
          </x14:formula1>
          <x14:formula2>
            <xm:f>0</xm:f>
          </x14:formula2>
          <xm:sqref>L3:M7 D3:D4</xm:sqref>
        </x14:dataValidation>
        <x14:dataValidation type="list" allowBlank="1" showInputMessage="1" showErrorMessage="1" xr:uid="{00000000-0002-0000-0000-000005000000}">
          <x14:formula1>
            <xm:f>Справочники!$F$3:$F$6</xm:f>
          </x14:formula1>
          <xm:sqref>K10:K11</xm:sqref>
        </x14:dataValidation>
        <x14:dataValidation type="list" allowBlank="1" showInputMessage="1" showErrorMessage="1" xr:uid="{00000000-0002-0000-0000-000006000000}">
          <x14:formula1>
            <xm:f>Справочники!$I$3:$I$5</xm:f>
          </x14:formula1>
          <xm:sqref>N10:N11</xm:sqref>
        </x14:dataValidation>
        <x14:dataValidation type="list" allowBlank="1" showInputMessage="1" showErrorMessage="1" xr:uid="{00000000-0002-0000-0000-000007000000}">
          <x14:formula1>
            <xm:f>Справочники!#REF!</xm:f>
          </x14:formula1>
          <xm:sqref>D5:D7 C7</xm:sqref>
        </x14:dataValidation>
        <x14:dataValidation type="list" allowBlank="1" showInputMessage="1" showErrorMessage="1" xr:uid="{00000000-0002-0000-0000-000008000000}">
          <x14:formula1>
            <xm:f>Справочники!$B$3:$B$90</xm:f>
          </x14:formula1>
          <xm:sqref>I10:I11 C6</xm:sqref>
        </x14:dataValidation>
        <x14:dataValidation type="list" allowBlank="1" showInputMessage="1" showErrorMessage="1" xr:uid="{00000000-0002-0000-0000-000009000000}">
          <x14:formula1>
            <xm:f>Справочники!$D$3:$D$26</xm:f>
          </x14:formula1>
          <xm:sqref>J10:J11</xm:sqref>
        </x14:dataValidation>
        <x14:dataValidation type="list" allowBlank="1" showInputMessage="1" showErrorMessage="1" xr:uid="{00000000-0002-0000-0000-00000A000000}">
          <x14:formula1>
            <xm:f>Справочники!$O$3:$O$7</xm:f>
          </x14:formula1>
          <xm:sqref>M10:M11</xm:sqref>
        </x14:dataValidation>
        <x14:dataValidation type="list" allowBlank="1" showInputMessage="1" showErrorMessage="1" xr:uid="{00000000-0002-0000-0000-00000B000000}">
          <x14:formula1>
            <xm:f>Справочники!$Q$3:$Q$110</xm:f>
          </x14:formula1>
          <xm:sqref>P10:P11</xm:sqref>
        </x14:dataValidation>
        <x14:dataValidation type="list" allowBlank="1" showInputMessage="1" showErrorMessage="1" xr:uid="{00000000-0002-0000-0000-00000C000000}">
          <x14:formula1>
            <xm:f>'Номер стройки'!$B$4:$B$143</xm:f>
          </x14:formula1>
          <xm:sqref>E10</xm:sqref>
        </x14:dataValidation>
        <x14:dataValidation type="list" allowBlank="1" showInputMessage="1" showErrorMessage="1" xr:uid="{00000000-0002-0000-0000-00000D000000}">
          <x14:formula1>
            <xm:f>Справочники!$M$3:$M$22</xm:f>
          </x14:formula1>
          <xm:sqref>C5</xm:sqref>
        </x14:dataValidation>
        <x14:dataValidation type="list" allowBlank="1" showInputMessage="1" showErrorMessage="1" xr:uid="{00000000-0002-0000-0000-00000E000000}">
          <x14:formula1>
            <xm:f>Справочники!$S$3:$S$11</xm:f>
          </x14:formula1>
          <xm:sqref>Q10:Q11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3"/>
  <sheetViews>
    <sheetView view="pageBreakPreview" zoomScaleNormal="100" workbookViewId="0">
      <pane ySplit="3" topLeftCell="A4" activePane="bottomLeft" state="frozen"/>
      <selection pane="bottomLeft" activeCell="C27" sqref="C27"/>
    </sheetView>
  </sheetViews>
  <sheetFormatPr defaultColWidth="9.140625" defaultRowHeight="15.75" x14ac:dyDescent="0.2"/>
  <cols>
    <col min="1" max="1" width="35.42578125" style="10" bestFit="1" customWidth="1"/>
    <col min="2" max="2" width="32.7109375" style="10" customWidth="1"/>
    <col min="3" max="3" width="100.28515625" style="10" customWidth="1"/>
    <col min="4" max="4" width="30.7109375" style="10" customWidth="1"/>
    <col min="5" max="16384" width="9.140625" style="10"/>
  </cols>
  <sheetData>
    <row r="1" spans="1:4" x14ac:dyDescent="0.25">
      <c r="A1" s="11" t="s">
        <v>19</v>
      </c>
      <c r="B1" s="11"/>
    </row>
    <row r="3" spans="1:4" x14ac:dyDescent="0.2">
      <c r="A3" s="12" t="s">
        <v>4</v>
      </c>
      <c r="B3" s="12" t="s">
        <v>20</v>
      </c>
      <c r="C3" s="12" t="s">
        <v>21</v>
      </c>
      <c r="D3" s="12" t="s">
        <v>22</v>
      </c>
    </row>
    <row r="4" spans="1:4" ht="31.5" x14ac:dyDescent="0.2">
      <c r="A4" s="13" t="s">
        <v>366</v>
      </c>
      <c r="B4" s="14" t="s">
        <v>296</v>
      </c>
      <c r="C4" s="14" t="s">
        <v>297</v>
      </c>
      <c r="D4" s="13" t="s">
        <v>298</v>
      </c>
    </row>
    <row r="5" spans="1:4" x14ac:dyDescent="0.2">
      <c r="A5" s="13"/>
      <c r="B5" s="14" t="s">
        <v>299</v>
      </c>
      <c r="C5" s="14" t="s">
        <v>300</v>
      </c>
      <c r="D5" s="13" t="s">
        <v>298</v>
      </c>
    </row>
    <row r="6" spans="1:4" x14ac:dyDescent="0.2">
      <c r="A6" s="13"/>
      <c r="B6" s="14" t="s">
        <v>160</v>
      </c>
      <c r="C6" s="14" t="s">
        <v>161</v>
      </c>
      <c r="D6" s="13" t="s">
        <v>162</v>
      </c>
    </row>
    <row r="7" spans="1:4" x14ac:dyDescent="0.2">
      <c r="A7" s="13"/>
      <c r="B7" s="14" t="s">
        <v>301</v>
      </c>
      <c r="C7" s="14" t="s">
        <v>302</v>
      </c>
      <c r="D7" s="13" t="s">
        <v>162</v>
      </c>
    </row>
    <row r="8" spans="1:4" x14ac:dyDescent="0.2">
      <c r="A8" s="13"/>
      <c r="B8" s="14" t="s">
        <v>303</v>
      </c>
      <c r="C8" s="14" t="s">
        <v>304</v>
      </c>
      <c r="D8" s="13" t="s">
        <v>162</v>
      </c>
    </row>
    <row r="9" spans="1:4" x14ac:dyDescent="0.2">
      <c r="A9" s="13"/>
      <c r="B9" s="14" t="s">
        <v>163</v>
      </c>
      <c r="C9" s="14" t="s">
        <v>164</v>
      </c>
      <c r="D9" s="13" t="s">
        <v>165</v>
      </c>
    </row>
    <row r="10" spans="1:4" ht="31.5" x14ac:dyDescent="0.2">
      <c r="A10" s="13"/>
      <c r="B10" s="14" t="s">
        <v>305</v>
      </c>
      <c r="C10" s="14" t="s">
        <v>306</v>
      </c>
      <c r="D10" s="13" t="s">
        <v>298</v>
      </c>
    </row>
    <row r="11" spans="1:4" x14ac:dyDescent="0.2">
      <c r="A11" s="13"/>
      <c r="B11" s="14" t="s">
        <v>307</v>
      </c>
      <c r="C11" s="14" t="s">
        <v>308</v>
      </c>
      <c r="D11" s="13" t="s">
        <v>298</v>
      </c>
    </row>
    <row r="12" spans="1:4" x14ac:dyDescent="0.2">
      <c r="A12" s="13"/>
      <c r="B12" s="14" t="s">
        <v>309</v>
      </c>
      <c r="C12" s="14" t="s">
        <v>310</v>
      </c>
      <c r="D12" s="13" t="s">
        <v>165</v>
      </c>
    </row>
    <row r="13" spans="1:4" x14ac:dyDescent="0.2">
      <c r="A13" s="13"/>
      <c r="B13" s="14" t="s">
        <v>275</v>
      </c>
      <c r="C13" s="14" t="s">
        <v>276</v>
      </c>
      <c r="D13" s="13"/>
    </row>
    <row r="14" spans="1:4" ht="31.5" x14ac:dyDescent="0.2">
      <c r="A14" s="13"/>
      <c r="B14" s="14" t="s">
        <v>113</v>
      </c>
      <c r="C14" s="14" t="s">
        <v>114</v>
      </c>
      <c r="D14" s="13"/>
    </row>
    <row r="15" spans="1:4" x14ac:dyDescent="0.2">
      <c r="A15" s="13"/>
      <c r="B15" s="14" t="s">
        <v>125</v>
      </c>
      <c r="C15" s="14" t="s">
        <v>126</v>
      </c>
      <c r="D15" s="13"/>
    </row>
    <row r="16" spans="1:4" x14ac:dyDescent="0.2">
      <c r="A16" s="13"/>
      <c r="B16" s="14" t="s">
        <v>118</v>
      </c>
      <c r="C16" s="14" t="s">
        <v>119</v>
      </c>
      <c r="D16" s="13"/>
    </row>
    <row r="17" spans="1:4" x14ac:dyDescent="0.2">
      <c r="A17" s="13"/>
      <c r="B17" s="14" t="s">
        <v>123</v>
      </c>
      <c r="C17" s="14" t="s">
        <v>124</v>
      </c>
      <c r="D17" s="13"/>
    </row>
    <row r="18" spans="1:4" x14ac:dyDescent="0.2">
      <c r="A18" s="13"/>
      <c r="B18" s="14" t="s">
        <v>269</v>
      </c>
      <c r="C18" s="14" t="s">
        <v>270</v>
      </c>
      <c r="D18" s="13"/>
    </row>
    <row r="19" spans="1:4" x14ac:dyDescent="0.2">
      <c r="A19" s="13"/>
      <c r="B19" s="14" t="s">
        <v>271</v>
      </c>
      <c r="C19" s="14" t="s">
        <v>272</v>
      </c>
      <c r="D19" s="13"/>
    </row>
    <row r="20" spans="1:4" x14ac:dyDescent="0.2">
      <c r="A20" s="13"/>
      <c r="B20" s="14" t="s">
        <v>273</v>
      </c>
      <c r="C20" s="14" t="s">
        <v>274</v>
      </c>
      <c r="D20" s="13"/>
    </row>
    <row r="21" spans="1:4" ht="31.5" x14ac:dyDescent="0.2">
      <c r="A21" s="13"/>
      <c r="B21" s="14" t="s">
        <v>11</v>
      </c>
      <c r="C21" s="14" t="s">
        <v>12</v>
      </c>
      <c r="D21" s="13"/>
    </row>
    <row r="22" spans="1:4" ht="31.5" x14ac:dyDescent="0.2">
      <c r="A22" s="13"/>
      <c r="B22" s="14" t="s">
        <v>9</v>
      </c>
      <c r="C22" s="14" t="s">
        <v>130</v>
      </c>
      <c r="D22" s="13"/>
    </row>
    <row r="23" spans="1:4" x14ac:dyDescent="0.2">
      <c r="A23" s="13"/>
      <c r="B23" s="14" t="s">
        <v>134</v>
      </c>
      <c r="C23" s="14" t="s">
        <v>135</v>
      </c>
      <c r="D23" s="13"/>
    </row>
    <row r="24" spans="1:4" ht="31.5" x14ac:dyDescent="0.2">
      <c r="A24" s="13"/>
      <c r="B24" s="14" t="s">
        <v>15</v>
      </c>
      <c r="C24" s="14" t="s">
        <v>16</v>
      </c>
      <c r="D24" s="13"/>
    </row>
    <row r="25" spans="1:4" ht="31.5" x14ac:dyDescent="0.2">
      <c r="A25" s="13"/>
      <c r="B25" s="14" t="s">
        <v>17</v>
      </c>
      <c r="C25" s="14" t="s">
        <v>18</v>
      </c>
      <c r="D25" s="13"/>
    </row>
    <row r="26" spans="1:4" ht="31.5" x14ac:dyDescent="0.2">
      <c r="A26" s="13"/>
      <c r="B26" s="14" t="s">
        <v>68</v>
      </c>
      <c r="C26" s="14" t="s">
        <v>69</v>
      </c>
      <c r="D26" s="13"/>
    </row>
    <row r="27" spans="1:4" ht="31.5" x14ac:dyDescent="0.2">
      <c r="A27" s="13"/>
      <c r="B27" s="14" t="s">
        <v>76</v>
      </c>
      <c r="C27" s="14" t="s">
        <v>77</v>
      </c>
      <c r="D27" s="13"/>
    </row>
    <row r="28" spans="1:4" ht="31.5" x14ac:dyDescent="0.2">
      <c r="A28" s="13"/>
      <c r="B28" s="14" t="s">
        <v>87</v>
      </c>
      <c r="C28" s="14" t="s">
        <v>88</v>
      </c>
      <c r="D28" s="13"/>
    </row>
    <row r="29" spans="1:4" ht="31.5" x14ac:dyDescent="0.2">
      <c r="A29" s="13"/>
      <c r="B29" s="14" t="s">
        <v>166</v>
      </c>
      <c r="C29" s="14" t="s">
        <v>167</v>
      </c>
      <c r="D29" s="13"/>
    </row>
    <row r="30" spans="1:4" ht="31.5" x14ac:dyDescent="0.2">
      <c r="A30" s="13"/>
      <c r="B30" s="14" t="s">
        <v>168</v>
      </c>
      <c r="C30" s="14" t="s">
        <v>169</v>
      </c>
      <c r="D30" s="13"/>
    </row>
    <row r="31" spans="1:4" ht="31.5" x14ac:dyDescent="0.2">
      <c r="A31" s="13"/>
      <c r="B31" s="14" t="s">
        <v>170</v>
      </c>
      <c r="C31" s="14" t="s">
        <v>171</v>
      </c>
      <c r="D31" s="13"/>
    </row>
    <row r="32" spans="1:4" x14ac:dyDescent="0.2">
      <c r="A32" s="13"/>
      <c r="B32" s="14" t="s">
        <v>172</v>
      </c>
      <c r="C32" s="14" t="s">
        <v>173</v>
      </c>
      <c r="D32" s="13"/>
    </row>
    <row r="33" spans="1:4" ht="31.5" x14ac:dyDescent="0.2">
      <c r="A33" s="13"/>
      <c r="B33" s="14" t="s">
        <v>174</v>
      </c>
      <c r="C33" s="14" t="s">
        <v>175</v>
      </c>
      <c r="D33" s="13"/>
    </row>
    <row r="34" spans="1:4" ht="31.5" x14ac:dyDescent="0.2">
      <c r="A34" s="13"/>
      <c r="B34" s="14" t="s">
        <v>176</v>
      </c>
      <c r="C34" s="14" t="s">
        <v>177</v>
      </c>
      <c r="D34" s="13"/>
    </row>
    <row r="35" spans="1:4" ht="31.5" x14ac:dyDescent="0.2">
      <c r="A35" s="13"/>
      <c r="B35" s="14" t="s">
        <v>178</v>
      </c>
      <c r="C35" s="14" t="s">
        <v>179</v>
      </c>
      <c r="D35" s="13"/>
    </row>
    <row r="36" spans="1:4" ht="31.5" x14ac:dyDescent="0.2">
      <c r="A36" s="13"/>
      <c r="B36" s="14" t="s">
        <v>180</v>
      </c>
      <c r="C36" s="14" t="s">
        <v>181</v>
      </c>
      <c r="D36" s="13"/>
    </row>
    <row r="37" spans="1:4" ht="31.5" x14ac:dyDescent="0.2">
      <c r="A37" s="13"/>
      <c r="B37" s="14" t="s">
        <v>182</v>
      </c>
      <c r="C37" s="14" t="s">
        <v>183</v>
      </c>
      <c r="D37" s="13"/>
    </row>
    <row r="38" spans="1:4" ht="31.5" x14ac:dyDescent="0.2">
      <c r="A38" s="13"/>
      <c r="B38" s="14" t="s">
        <v>182</v>
      </c>
      <c r="C38" s="14" t="s">
        <v>184</v>
      </c>
      <c r="D38" s="13"/>
    </row>
    <row r="39" spans="1:4" x14ac:dyDescent="0.2">
      <c r="A39" s="13"/>
      <c r="B39" s="14" t="s">
        <v>78</v>
      </c>
      <c r="C39" s="14" t="s">
        <v>79</v>
      </c>
      <c r="D39" s="13"/>
    </row>
    <row r="40" spans="1:4" ht="31.5" x14ac:dyDescent="0.2">
      <c r="A40" s="13"/>
      <c r="B40" s="14" t="s">
        <v>81</v>
      </c>
      <c r="C40" s="14" t="s">
        <v>82</v>
      </c>
      <c r="D40" s="13"/>
    </row>
    <row r="41" spans="1:4" x14ac:dyDescent="0.2">
      <c r="A41" s="13"/>
      <c r="B41" s="14" t="s">
        <v>83</v>
      </c>
      <c r="C41" s="14" t="s">
        <v>84</v>
      </c>
      <c r="D41" s="13"/>
    </row>
    <row r="42" spans="1:4" ht="31.5" x14ac:dyDescent="0.2">
      <c r="A42" s="13"/>
      <c r="B42" s="14" t="s">
        <v>230</v>
      </c>
      <c r="C42" s="14" t="s">
        <v>231</v>
      </c>
      <c r="D42" s="13"/>
    </row>
    <row r="43" spans="1:4" ht="31.5" x14ac:dyDescent="0.2">
      <c r="A43" s="13"/>
      <c r="B43" s="14" t="s">
        <v>232</v>
      </c>
      <c r="C43" s="14" t="s">
        <v>233</v>
      </c>
      <c r="D43" s="13"/>
    </row>
    <row r="44" spans="1:4" ht="31.5" x14ac:dyDescent="0.2">
      <c r="A44" s="13"/>
      <c r="B44" s="14" t="s">
        <v>234</v>
      </c>
      <c r="C44" s="14" t="s">
        <v>235</v>
      </c>
      <c r="D44" s="13"/>
    </row>
    <row r="45" spans="1:4" x14ac:dyDescent="0.2">
      <c r="A45" s="13"/>
      <c r="B45" s="14" t="s">
        <v>236</v>
      </c>
      <c r="C45" s="14" t="s">
        <v>237</v>
      </c>
      <c r="D45" s="13"/>
    </row>
    <row r="46" spans="1:4" ht="31.5" x14ac:dyDescent="0.2">
      <c r="A46" s="13"/>
      <c r="B46" s="14" t="s">
        <v>250</v>
      </c>
      <c r="C46" s="14" t="s">
        <v>251</v>
      </c>
      <c r="D46" s="13"/>
    </row>
    <row r="47" spans="1:4" x14ac:dyDescent="0.2">
      <c r="A47" s="13"/>
      <c r="B47" s="14" t="s">
        <v>65</v>
      </c>
      <c r="C47" s="14" t="s">
        <v>66</v>
      </c>
      <c r="D47" s="13"/>
    </row>
    <row r="48" spans="1:4" x14ac:dyDescent="0.2">
      <c r="A48" s="13"/>
      <c r="B48" s="14" t="s">
        <v>74</v>
      </c>
      <c r="C48" s="14" t="s">
        <v>75</v>
      </c>
      <c r="D48" s="13"/>
    </row>
    <row r="49" spans="1:4" x14ac:dyDescent="0.2">
      <c r="A49" s="13"/>
      <c r="B49" s="14" t="s">
        <v>238</v>
      </c>
      <c r="C49" s="14" t="s">
        <v>239</v>
      </c>
      <c r="D49" s="13"/>
    </row>
    <row r="50" spans="1:4" ht="31.5" x14ac:dyDescent="0.2">
      <c r="A50" s="13"/>
      <c r="B50" s="14" t="s">
        <v>240</v>
      </c>
      <c r="C50" s="14" t="s">
        <v>241</v>
      </c>
      <c r="D50" s="13"/>
    </row>
    <row r="51" spans="1:4" x14ac:dyDescent="0.2">
      <c r="A51" s="13"/>
      <c r="B51" s="14" t="s">
        <v>242</v>
      </c>
      <c r="C51" s="14" t="s">
        <v>243</v>
      </c>
      <c r="D51" s="13"/>
    </row>
    <row r="52" spans="1:4" x14ac:dyDescent="0.2">
      <c r="A52" s="13"/>
      <c r="B52" s="14" t="s">
        <v>71</v>
      </c>
      <c r="C52" s="14" t="s">
        <v>72</v>
      </c>
      <c r="D52" s="13"/>
    </row>
    <row r="53" spans="1:4" x14ac:dyDescent="0.2">
      <c r="A53" s="13"/>
      <c r="B53" s="14" t="s">
        <v>85</v>
      </c>
      <c r="C53" s="14" t="s">
        <v>86</v>
      </c>
      <c r="D53" s="13"/>
    </row>
    <row r="54" spans="1:4" x14ac:dyDescent="0.2">
      <c r="A54" s="13"/>
      <c r="B54" s="14" t="s">
        <v>244</v>
      </c>
      <c r="C54" s="14" t="s">
        <v>245</v>
      </c>
      <c r="D54" s="13"/>
    </row>
    <row r="55" spans="1:4" ht="31.5" x14ac:dyDescent="0.2">
      <c r="A55" s="13"/>
      <c r="B55" s="14" t="s">
        <v>246</v>
      </c>
      <c r="C55" s="14" t="s">
        <v>247</v>
      </c>
      <c r="D55" s="13"/>
    </row>
    <row r="56" spans="1:4" x14ac:dyDescent="0.2">
      <c r="A56" s="13"/>
      <c r="B56" s="14" t="s">
        <v>248</v>
      </c>
      <c r="C56" s="14" t="s">
        <v>249</v>
      </c>
      <c r="D56" s="13"/>
    </row>
    <row r="57" spans="1:4" ht="31.5" x14ac:dyDescent="0.2">
      <c r="A57" s="13"/>
      <c r="B57" s="14" t="s">
        <v>107</v>
      </c>
      <c r="C57" s="14" t="s">
        <v>108</v>
      </c>
      <c r="D57" s="13"/>
    </row>
    <row r="58" spans="1:4" x14ac:dyDescent="0.2">
      <c r="A58" s="13"/>
      <c r="B58" s="14" t="s">
        <v>265</v>
      </c>
      <c r="C58" s="14" t="s">
        <v>266</v>
      </c>
      <c r="D58" s="13"/>
    </row>
    <row r="59" spans="1:4" ht="31.5" x14ac:dyDescent="0.2">
      <c r="A59" s="13"/>
      <c r="B59" s="14" t="s">
        <v>110</v>
      </c>
      <c r="C59" s="14" t="s">
        <v>111</v>
      </c>
      <c r="D59" s="13"/>
    </row>
    <row r="60" spans="1:4" x14ac:dyDescent="0.2">
      <c r="A60" s="13"/>
      <c r="B60" s="14" t="s">
        <v>121</v>
      </c>
      <c r="C60" s="14" t="s">
        <v>122</v>
      </c>
      <c r="D60" s="13"/>
    </row>
    <row r="61" spans="1:4" x14ac:dyDescent="0.2">
      <c r="A61" s="13"/>
      <c r="B61" s="14" t="s">
        <v>267</v>
      </c>
      <c r="C61" s="14" t="s">
        <v>268</v>
      </c>
      <c r="D61" s="13"/>
    </row>
    <row r="62" spans="1:4" x14ac:dyDescent="0.2">
      <c r="A62" s="13"/>
      <c r="B62" s="14" t="s">
        <v>89</v>
      </c>
      <c r="C62" s="14" t="s">
        <v>90</v>
      </c>
      <c r="D62" s="13"/>
    </row>
    <row r="63" spans="1:4" x14ac:dyDescent="0.2">
      <c r="A63" s="13"/>
      <c r="B63" s="14" t="s">
        <v>95</v>
      </c>
      <c r="C63" s="14" t="s">
        <v>96</v>
      </c>
      <c r="D63" s="13"/>
    </row>
    <row r="64" spans="1:4" ht="31.5" x14ac:dyDescent="0.2">
      <c r="A64" s="13"/>
      <c r="B64" s="14" t="s">
        <v>103</v>
      </c>
      <c r="C64" s="14" t="s">
        <v>104</v>
      </c>
      <c r="D64" s="13"/>
    </row>
    <row r="65" spans="1:4" x14ac:dyDescent="0.2">
      <c r="A65" s="13"/>
      <c r="B65" s="14" t="s">
        <v>105</v>
      </c>
      <c r="C65" s="14" t="s">
        <v>106</v>
      </c>
      <c r="D65" s="13"/>
    </row>
    <row r="66" spans="1:4" x14ac:dyDescent="0.2">
      <c r="A66" s="13"/>
      <c r="B66" s="14" t="s">
        <v>127</v>
      </c>
      <c r="C66" s="14" t="s">
        <v>128</v>
      </c>
      <c r="D66" s="13"/>
    </row>
    <row r="67" spans="1:4" x14ac:dyDescent="0.2">
      <c r="A67" s="13"/>
      <c r="B67" s="14" t="s">
        <v>259</v>
      </c>
      <c r="C67" s="14" t="s">
        <v>260</v>
      </c>
      <c r="D67" s="13"/>
    </row>
    <row r="68" spans="1:4" x14ac:dyDescent="0.2">
      <c r="A68" s="13"/>
      <c r="B68" s="14" t="s">
        <v>261</v>
      </c>
      <c r="C68" s="14" t="s">
        <v>262</v>
      </c>
      <c r="D68" s="13"/>
    </row>
    <row r="69" spans="1:4" x14ac:dyDescent="0.2">
      <c r="A69" s="13"/>
      <c r="B69" s="14" t="s">
        <v>263</v>
      </c>
      <c r="C69" s="14" t="s">
        <v>264</v>
      </c>
      <c r="D69" s="13"/>
    </row>
    <row r="70" spans="1:4" x14ac:dyDescent="0.2">
      <c r="A70" s="13"/>
      <c r="B70" s="14" t="s">
        <v>92</v>
      </c>
      <c r="C70" s="14" t="s">
        <v>93</v>
      </c>
      <c r="D70" s="13"/>
    </row>
    <row r="71" spans="1:4" ht="31.5" x14ac:dyDescent="0.2">
      <c r="A71" s="13"/>
      <c r="B71" s="14" t="s">
        <v>97</v>
      </c>
      <c r="C71" s="14" t="s">
        <v>98</v>
      </c>
      <c r="D71" s="13"/>
    </row>
    <row r="72" spans="1:4" x14ac:dyDescent="0.2">
      <c r="A72" s="13"/>
      <c r="B72" s="14" t="s">
        <v>99</v>
      </c>
      <c r="C72" s="14" t="s">
        <v>100</v>
      </c>
      <c r="D72" s="13"/>
    </row>
    <row r="73" spans="1:4" ht="31.5" x14ac:dyDescent="0.2">
      <c r="A73" s="13"/>
      <c r="B73" s="14" t="s">
        <v>101</v>
      </c>
      <c r="C73" s="14" t="s">
        <v>102</v>
      </c>
      <c r="D73" s="13"/>
    </row>
    <row r="74" spans="1:4" x14ac:dyDescent="0.2">
      <c r="A74" s="13"/>
      <c r="B74" s="14" t="s">
        <v>116</v>
      </c>
      <c r="C74" s="14" t="s">
        <v>117</v>
      </c>
      <c r="D74" s="13"/>
    </row>
    <row r="75" spans="1:4" x14ac:dyDescent="0.2">
      <c r="A75" s="13"/>
      <c r="B75" s="14" t="s">
        <v>253</v>
      </c>
      <c r="C75" s="14" t="s">
        <v>254</v>
      </c>
      <c r="D75" s="13"/>
    </row>
    <row r="76" spans="1:4" x14ac:dyDescent="0.2">
      <c r="A76" s="13"/>
      <c r="B76" s="14" t="s">
        <v>255</v>
      </c>
      <c r="C76" s="14" t="s">
        <v>256</v>
      </c>
      <c r="D76" s="13"/>
    </row>
    <row r="77" spans="1:4" x14ac:dyDescent="0.2">
      <c r="A77" s="13"/>
      <c r="B77" s="14" t="s">
        <v>257</v>
      </c>
      <c r="C77" s="14" t="s">
        <v>258</v>
      </c>
      <c r="D77" s="13"/>
    </row>
    <row r="78" spans="1:4" x14ac:dyDescent="0.2">
      <c r="A78" s="13"/>
      <c r="B78" s="14" t="s">
        <v>131</v>
      </c>
      <c r="C78" s="14" t="s">
        <v>132</v>
      </c>
      <c r="D78" s="13"/>
    </row>
    <row r="79" spans="1:4" x14ac:dyDescent="0.2">
      <c r="A79" s="13"/>
      <c r="B79" s="14" t="s">
        <v>136</v>
      </c>
      <c r="C79" s="14" t="s">
        <v>137</v>
      </c>
      <c r="D79" s="13"/>
    </row>
    <row r="80" spans="1:4" x14ac:dyDescent="0.2">
      <c r="A80" s="13"/>
      <c r="B80" s="14" t="s">
        <v>138</v>
      </c>
      <c r="C80" s="14" t="s">
        <v>139</v>
      </c>
      <c r="D80" s="13"/>
    </row>
    <row r="81" spans="1:4" x14ac:dyDescent="0.2">
      <c r="A81" s="13"/>
      <c r="B81" s="14" t="s">
        <v>140</v>
      </c>
      <c r="C81" s="14" t="s">
        <v>141</v>
      </c>
      <c r="D81" s="13"/>
    </row>
    <row r="82" spans="1:4" ht="31.5" x14ac:dyDescent="0.2">
      <c r="A82" s="13"/>
      <c r="B82" s="14" t="s">
        <v>142</v>
      </c>
      <c r="C82" s="14" t="s">
        <v>143</v>
      </c>
      <c r="D82" s="13"/>
    </row>
    <row r="83" spans="1:4" ht="31.5" x14ac:dyDescent="0.2">
      <c r="A83" s="13"/>
      <c r="B83" s="14" t="s">
        <v>144</v>
      </c>
      <c r="C83" s="14" t="s">
        <v>145</v>
      </c>
      <c r="D83" s="13"/>
    </row>
    <row r="84" spans="1:4" x14ac:dyDescent="0.2">
      <c r="A84" s="13"/>
      <c r="B84" s="14" t="s">
        <v>146</v>
      </c>
      <c r="C84" s="14" t="s">
        <v>147</v>
      </c>
      <c r="D84" s="13"/>
    </row>
    <row r="85" spans="1:4" x14ac:dyDescent="0.2">
      <c r="A85" s="13"/>
      <c r="B85" s="14" t="s">
        <v>148</v>
      </c>
      <c r="C85" s="14" t="s">
        <v>149</v>
      </c>
      <c r="D85" s="13"/>
    </row>
    <row r="86" spans="1:4" x14ac:dyDescent="0.2">
      <c r="A86" s="13"/>
      <c r="B86" s="14" t="s">
        <v>150</v>
      </c>
      <c r="C86" s="14" t="s">
        <v>151</v>
      </c>
      <c r="D86" s="13"/>
    </row>
    <row r="87" spans="1:4" x14ac:dyDescent="0.2">
      <c r="A87" s="13"/>
      <c r="B87" s="14" t="s">
        <v>152</v>
      </c>
      <c r="C87" s="14" t="s">
        <v>153</v>
      </c>
      <c r="D87" s="13"/>
    </row>
    <row r="88" spans="1:4" x14ac:dyDescent="0.2">
      <c r="A88" s="13"/>
      <c r="B88" s="14" t="s">
        <v>154</v>
      </c>
      <c r="C88" s="14" t="s">
        <v>155</v>
      </c>
      <c r="D88" s="13"/>
    </row>
    <row r="89" spans="1:4" x14ac:dyDescent="0.2">
      <c r="A89" s="13"/>
      <c r="B89" s="14" t="s">
        <v>156</v>
      </c>
      <c r="C89" s="14" t="s">
        <v>157</v>
      </c>
      <c r="D89" s="13"/>
    </row>
    <row r="90" spans="1:4" x14ac:dyDescent="0.2">
      <c r="A90" s="13"/>
      <c r="B90" s="14" t="s">
        <v>158</v>
      </c>
      <c r="C90" s="14" t="s">
        <v>159</v>
      </c>
      <c r="D90" s="13"/>
    </row>
    <row r="91" spans="1:4" ht="31.5" x14ac:dyDescent="0.2">
      <c r="A91" s="13"/>
      <c r="B91" s="14" t="s">
        <v>278</v>
      </c>
      <c r="C91" s="14" t="s">
        <v>279</v>
      </c>
      <c r="D91" s="13"/>
    </row>
    <row r="92" spans="1:4" ht="31.5" x14ac:dyDescent="0.2">
      <c r="A92" s="13"/>
      <c r="B92" s="14" t="s">
        <v>280</v>
      </c>
      <c r="C92" s="14" t="s">
        <v>281</v>
      </c>
      <c r="D92" s="13"/>
    </row>
    <row r="93" spans="1:4" x14ac:dyDescent="0.2">
      <c r="A93" s="13"/>
      <c r="B93" s="14" t="s">
        <v>282</v>
      </c>
      <c r="C93" s="14" t="s">
        <v>283</v>
      </c>
      <c r="D93" s="13"/>
    </row>
    <row r="94" spans="1:4" x14ac:dyDescent="0.2">
      <c r="A94" s="13"/>
      <c r="B94" s="14" t="s">
        <v>284</v>
      </c>
      <c r="C94" s="14" t="s">
        <v>285</v>
      </c>
      <c r="D94" s="13"/>
    </row>
    <row r="95" spans="1:4" x14ac:dyDescent="0.2">
      <c r="A95" s="13"/>
      <c r="B95" s="14" t="s">
        <v>286</v>
      </c>
      <c r="C95" s="14" t="s">
        <v>287</v>
      </c>
      <c r="D95" s="13"/>
    </row>
    <row r="96" spans="1:4" x14ac:dyDescent="0.2">
      <c r="A96" s="13"/>
      <c r="B96" s="14" t="s">
        <v>288</v>
      </c>
      <c r="C96" s="14" t="s">
        <v>289</v>
      </c>
      <c r="D96" s="13"/>
    </row>
    <row r="97" spans="1:4" x14ac:dyDescent="0.2">
      <c r="A97" s="13"/>
      <c r="B97" s="14" t="s">
        <v>290</v>
      </c>
      <c r="C97" s="14" t="s">
        <v>291</v>
      </c>
      <c r="D97" s="13"/>
    </row>
    <row r="98" spans="1:4" x14ac:dyDescent="0.2">
      <c r="A98" s="13"/>
      <c r="B98" s="14" t="s">
        <v>292</v>
      </c>
      <c r="C98" s="14" t="s">
        <v>293</v>
      </c>
      <c r="D98" s="13"/>
    </row>
    <row r="99" spans="1:4" x14ac:dyDescent="0.2">
      <c r="A99" s="13"/>
      <c r="B99" s="14" t="s">
        <v>294</v>
      </c>
      <c r="C99" s="14" t="s">
        <v>295</v>
      </c>
      <c r="D99" s="13"/>
    </row>
    <row r="100" spans="1:4" x14ac:dyDescent="0.2">
      <c r="A100" s="13"/>
      <c r="B100" s="14" t="s">
        <v>54</v>
      </c>
      <c r="C100" s="14" t="s">
        <v>55</v>
      </c>
      <c r="D100" s="13"/>
    </row>
    <row r="101" spans="1:4" ht="31.5" x14ac:dyDescent="0.2">
      <c r="A101" s="13"/>
      <c r="B101" s="14" t="s">
        <v>47</v>
      </c>
      <c r="C101" s="14" t="s">
        <v>48</v>
      </c>
      <c r="D101" s="13"/>
    </row>
    <row r="102" spans="1:4" ht="31.5" x14ac:dyDescent="0.2">
      <c r="A102" s="13"/>
      <c r="B102" s="14" t="s">
        <v>50</v>
      </c>
      <c r="C102" s="14" t="s">
        <v>51</v>
      </c>
      <c r="D102" s="13"/>
    </row>
    <row r="103" spans="1:4" ht="31.5" x14ac:dyDescent="0.2">
      <c r="A103" s="13"/>
      <c r="B103" s="14" t="s">
        <v>52</v>
      </c>
      <c r="C103" s="14" t="s">
        <v>53</v>
      </c>
      <c r="D103" s="13"/>
    </row>
    <row r="104" spans="1:4" x14ac:dyDescent="0.2">
      <c r="A104" s="13"/>
      <c r="B104" s="14" t="s">
        <v>54</v>
      </c>
      <c r="C104" s="14" t="s">
        <v>55</v>
      </c>
      <c r="D104" s="13"/>
    </row>
    <row r="105" spans="1:4" ht="31.5" x14ac:dyDescent="0.2">
      <c r="A105" s="13"/>
      <c r="B105" s="14" t="s">
        <v>57</v>
      </c>
      <c r="C105" s="14" t="s">
        <v>58</v>
      </c>
      <c r="D105" s="13"/>
    </row>
    <row r="106" spans="1:4" ht="31.5" x14ac:dyDescent="0.2">
      <c r="A106" s="13"/>
      <c r="B106" s="14" t="s">
        <v>59</v>
      </c>
      <c r="C106" s="14" t="s">
        <v>60</v>
      </c>
      <c r="D106" s="13"/>
    </row>
    <row r="107" spans="1:4" ht="31.5" x14ac:dyDescent="0.2">
      <c r="A107" s="13"/>
      <c r="B107" s="14" t="s">
        <v>61</v>
      </c>
      <c r="C107" s="14" t="s">
        <v>62</v>
      </c>
      <c r="D107" s="13"/>
    </row>
    <row r="108" spans="1:4" ht="31.5" x14ac:dyDescent="0.2">
      <c r="A108" s="13"/>
      <c r="B108" s="14" t="s">
        <v>63</v>
      </c>
      <c r="C108" s="14" t="s">
        <v>64</v>
      </c>
      <c r="D108" s="13"/>
    </row>
    <row r="109" spans="1:4" ht="31.5" x14ac:dyDescent="0.2">
      <c r="A109" s="13"/>
      <c r="B109" s="14" t="s">
        <v>199</v>
      </c>
      <c r="C109" s="14" t="s">
        <v>200</v>
      </c>
      <c r="D109" s="13"/>
    </row>
    <row r="110" spans="1:4" ht="31.5" x14ac:dyDescent="0.2">
      <c r="A110" s="13"/>
      <c r="B110" s="14" t="s">
        <v>201</v>
      </c>
      <c r="C110" s="14" t="s">
        <v>202</v>
      </c>
      <c r="D110" s="13"/>
    </row>
    <row r="111" spans="1:4" ht="31.5" x14ac:dyDescent="0.2">
      <c r="A111" s="13"/>
      <c r="B111" s="14" t="s">
        <v>203</v>
      </c>
      <c r="C111" s="14" t="s">
        <v>204</v>
      </c>
      <c r="D111" s="13"/>
    </row>
    <row r="112" spans="1:4" ht="31.5" x14ac:dyDescent="0.2">
      <c r="A112" s="13"/>
      <c r="B112" s="14" t="s">
        <v>47</v>
      </c>
      <c r="C112" s="14" t="s">
        <v>205</v>
      </c>
      <c r="D112" s="13"/>
    </row>
    <row r="113" spans="1:4" ht="31.5" x14ac:dyDescent="0.2">
      <c r="A113" s="13"/>
      <c r="B113" s="14" t="s">
        <v>206</v>
      </c>
      <c r="C113" s="14" t="s">
        <v>207</v>
      </c>
      <c r="D113" s="13"/>
    </row>
    <row r="114" spans="1:4" x14ac:dyDescent="0.2">
      <c r="A114" s="13"/>
      <c r="B114" s="14" t="s">
        <v>208</v>
      </c>
      <c r="C114" s="14" t="s">
        <v>209</v>
      </c>
      <c r="D114" s="13"/>
    </row>
    <row r="115" spans="1:4" ht="31.5" x14ac:dyDescent="0.2">
      <c r="A115" s="13"/>
      <c r="B115" s="14" t="s">
        <v>210</v>
      </c>
      <c r="C115" s="14" t="s">
        <v>211</v>
      </c>
      <c r="D115" s="13"/>
    </row>
    <row r="116" spans="1:4" ht="31.5" x14ac:dyDescent="0.2">
      <c r="A116" s="13"/>
      <c r="B116" s="14" t="s">
        <v>212</v>
      </c>
      <c r="C116" s="14" t="s">
        <v>213</v>
      </c>
      <c r="D116" s="13"/>
    </row>
    <row r="117" spans="1:4" x14ac:dyDescent="0.2">
      <c r="A117" s="13"/>
      <c r="B117" s="14" t="s">
        <v>30</v>
      </c>
      <c r="C117" s="14" t="s">
        <v>31</v>
      </c>
      <c r="D117" s="13"/>
    </row>
    <row r="118" spans="1:4" ht="31.5" x14ac:dyDescent="0.2">
      <c r="A118" s="13"/>
      <c r="B118" s="14" t="s">
        <v>35</v>
      </c>
      <c r="C118" s="14" t="s">
        <v>36</v>
      </c>
      <c r="D118" s="13"/>
    </row>
    <row r="119" spans="1:4" ht="31.5" x14ac:dyDescent="0.2">
      <c r="A119" s="13"/>
      <c r="B119" s="14" t="s">
        <v>39</v>
      </c>
      <c r="C119" s="14" t="s">
        <v>40</v>
      </c>
      <c r="D119" s="13"/>
    </row>
    <row r="120" spans="1:4" ht="31.5" x14ac:dyDescent="0.2">
      <c r="A120" s="13"/>
      <c r="B120" s="14" t="s">
        <v>41</v>
      </c>
      <c r="C120" s="14" t="s">
        <v>42</v>
      </c>
      <c r="D120" s="13"/>
    </row>
    <row r="121" spans="1:4" ht="31.5" x14ac:dyDescent="0.2">
      <c r="A121" s="13"/>
      <c r="B121" s="14" t="s">
        <v>45</v>
      </c>
      <c r="C121" s="14" t="s">
        <v>46</v>
      </c>
      <c r="D121" s="13"/>
    </row>
    <row r="122" spans="1:4" ht="31.5" x14ac:dyDescent="0.2">
      <c r="A122" s="13"/>
      <c r="B122" s="14" t="s">
        <v>185</v>
      </c>
      <c r="C122" s="14" t="s">
        <v>186</v>
      </c>
      <c r="D122" s="13"/>
    </row>
    <row r="123" spans="1:4" ht="47.25" x14ac:dyDescent="0.2">
      <c r="A123" s="13"/>
      <c r="B123" s="14" t="s">
        <v>187</v>
      </c>
      <c r="C123" s="14" t="s">
        <v>188</v>
      </c>
      <c r="D123" s="13"/>
    </row>
    <row r="124" spans="1:4" ht="31.5" x14ac:dyDescent="0.2">
      <c r="A124" s="13"/>
      <c r="B124" s="14" t="s">
        <v>189</v>
      </c>
      <c r="C124" s="14" t="s">
        <v>190</v>
      </c>
      <c r="D124" s="13"/>
    </row>
    <row r="125" spans="1:4" ht="31.5" x14ac:dyDescent="0.2">
      <c r="A125" s="13"/>
      <c r="B125" s="14" t="s">
        <v>191</v>
      </c>
      <c r="C125" s="14" t="s">
        <v>192</v>
      </c>
      <c r="D125" s="13"/>
    </row>
    <row r="126" spans="1:4" ht="31.5" x14ac:dyDescent="0.2">
      <c r="A126" s="13"/>
      <c r="B126" s="14" t="s">
        <v>193</v>
      </c>
      <c r="C126" s="14" t="s">
        <v>194</v>
      </c>
      <c r="D126" s="13"/>
    </row>
    <row r="127" spans="1:4" x14ac:dyDescent="0.2">
      <c r="A127" s="13"/>
      <c r="B127" s="14" t="s">
        <v>195</v>
      </c>
      <c r="C127" s="14" t="s">
        <v>196</v>
      </c>
      <c r="D127" s="13"/>
    </row>
    <row r="128" spans="1:4" x14ac:dyDescent="0.2">
      <c r="A128" s="13"/>
      <c r="B128" s="14" t="s">
        <v>197</v>
      </c>
      <c r="C128" s="14" t="s">
        <v>198</v>
      </c>
      <c r="D128" s="13"/>
    </row>
    <row r="129" spans="1:4" x14ac:dyDescent="0.2">
      <c r="A129" s="13"/>
      <c r="B129" s="13" t="s">
        <v>23</v>
      </c>
      <c r="C129" s="13" t="s">
        <v>24</v>
      </c>
      <c r="D129" s="13"/>
    </row>
    <row r="130" spans="1:4" x14ac:dyDescent="0.2">
      <c r="A130" s="13"/>
      <c r="B130" s="14" t="s">
        <v>26</v>
      </c>
      <c r="C130" s="14" t="s">
        <v>27</v>
      </c>
      <c r="D130" s="13"/>
    </row>
    <row r="131" spans="1:4" x14ac:dyDescent="0.2">
      <c r="A131" s="13"/>
      <c r="B131" s="14" t="s">
        <v>28</v>
      </c>
      <c r="C131" s="14" t="s">
        <v>29</v>
      </c>
      <c r="D131" s="13"/>
    </row>
    <row r="132" spans="1:4" x14ac:dyDescent="0.2">
      <c r="A132" s="13"/>
      <c r="B132" s="14" t="s">
        <v>33</v>
      </c>
      <c r="C132" s="14" t="s">
        <v>34</v>
      </c>
      <c r="D132" s="13"/>
    </row>
    <row r="133" spans="1:4" x14ac:dyDescent="0.2">
      <c r="A133" s="13"/>
      <c r="B133" s="14" t="s">
        <v>37</v>
      </c>
      <c r="C133" s="14" t="s">
        <v>38</v>
      </c>
      <c r="D133" s="13"/>
    </row>
    <row r="134" spans="1:4" x14ac:dyDescent="0.2">
      <c r="A134" s="13"/>
      <c r="B134" s="14" t="s">
        <v>43</v>
      </c>
      <c r="C134" s="14" t="s">
        <v>44</v>
      </c>
      <c r="D134" s="13"/>
    </row>
    <row r="135" spans="1:4" x14ac:dyDescent="0.2">
      <c r="A135" s="13"/>
      <c r="B135" s="14" t="s">
        <v>214</v>
      </c>
      <c r="C135" s="14" t="s">
        <v>215</v>
      </c>
      <c r="D135" s="13"/>
    </row>
    <row r="136" spans="1:4" ht="31.5" x14ac:dyDescent="0.2">
      <c r="A136" s="13"/>
      <c r="B136" s="14" t="s">
        <v>216</v>
      </c>
      <c r="C136" s="14" t="s">
        <v>217</v>
      </c>
      <c r="D136" s="13"/>
    </row>
    <row r="137" spans="1:4" x14ac:dyDescent="0.2">
      <c r="A137" s="13"/>
      <c r="B137" s="14" t="s">
        <v>218</v>
      </c>
      <c r="C137" s="14" t="s">
        <v>219</v>
      </c>
      <c r="D137" s="13"/>
    </row>
    <row r="138" spans="1:4" x14ac:dyDescent="0.2">
      <c r="A138" s="13"/>
      <c r="B138" s="14" t="s">
        <v>220</v>
      </c>
      <c r="C138" s="14" t="s">
        <v>221</v>
      </c>
      <c r="D138" s="13"/>
    </row>
    <row r="139" spans="1:4" x14ac:dyDescent="0.2">
      <c r="A139" s="13"/>
      <c r="B139" s="14" t="s">
        <v>222</v>
      </c>
      <c r="C139" s="14" t="s">
        <v>223</v>
      </c>
      <c r="D139" s="13"/>
    </row>
    <row r="140" spans="1:4" ht="31.5" x14ac:dyDescent="0.2">
      <c r="A140" s="13"/>
      <c r="B140" s="14" t="s">
        <v>224</v>
      </c>
      <c r="C140" s="14" t="s">
        <v>225</v>
      </c>
      <c r="D140" s="13"/>
    </row>
    <row r="141" spans="1:4" x14ac:dyDescent="0.2">
      <c r="A141" s="13"/>
      <c r="B141" s="14" t="s">
        <v>226</v>
      </c>
      <c r="C141" s="14" t="s">
        <v>227</v>
      </c>
      <c r="D141" s="13"/>
    </row>
    <row r="142" spans="1:4" x14ac:dyDescent="0.2">
      <c r="A142" s="13"/>
      <c r="B142" s="14" t="s">
        <v>228</v>
      </c>
      <c r="C142" s="14" t="s">
        <v>229</v>
      </c>
      <c r="D142" s="13" t="s">
        <v>25</v>
      </c>
    </row>
    <row r="143" spans="1:4" x14ac:dyDescent="0.2">
      <c r="A143" s="13"/>
      <c r="B143"/>
      <c r="C143"/>
      <c r="D143"/>
    </row>
  </sheetData>
  <autoFilter ref="A3:D3" xr:uid="{00000000-0009-0000-0000-000001000000}">
    <sortState xmlns:xlrd2="http://schemas.microsoft.com/office/spreadsheetml/2017/richdata2" ref="A4:D142">
      <sortCondition ref="A3"/>
    </sortState>
  </autoFilter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Справочники!$M$3:$M$23</xm:f>
          </x14:formula1>
          <xm:sqref>A4:A143</xm:sqref>
        </x14:dataValidation>
        <x14:dataValidation type="list" allowBlank="1" showInputMessage="1" showErrorMessage="1" xr:uid="{00000000-0002-0000-0100-000001000000}">
          <x14:formula1>
            <xm:f>Справочники!$B$3:$B$90</xm:f>
          </x14:formula1>
          <xm:sqref>D4:D142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999"/>
  <sheetViews>
    <sheetView view="pageBreakPreview" topLeftCell="D22" zoomScale="60" zoomScaleNormal="70" workbookViewId="0">
      <selection activeCell="O7" sqref="O7"/>
    </sheetView>
  </sheetViews>
  <sheetFormatPr defaultColWidth="12.42578125" defaultRowHeight="12.75" x14ac:dyDescent="0.2"/>
  <cols>
    <col min="1" max="1" width="12.42578125" style="15"/>
    <col min="2" max="2" width="69.5703125" style="15" customWidth="1"/>
    <col min="3" max="3" width="9" style="15" customWidth="1"/>
    <col min="4" max="4" width="33.7109375" style="15" customWidth="1"/>
    <col min="5" max="5" width="12.42578125" style="15"/>
    <col min="6" max="6" width="20.85546875" style="15" bestFit="1" customWidth="1"/>
    <col min="7" max="7" width="32.42578125" style="15" customWidth="1"/>
    <col min="8" max="8" width="12.42578125" style="15"/>
    <col min="9" max="9" width="26.28515625" style="15" customWidth="1"/>
    <col min="10" max="10" width="30.7109375" style="15" customWidth="1"/>
    <col min="11" max="12" width="12.42578125" style="15"/>
    <col min="13" max="13" width="38" style="15" customWidth="1"/>
    <col min="14" max="14" width="17.28515625" style="15" customWidth="1"/>
    <col min="15" max="15" width="41.7109375" style="15" customWidth="1"/>
    <col min="16" max="16" width="12.42578125" style="15"/>
    <col min="17" max="17" width="108" style="15" bestFit="1" customWidth="1"/>
    <col min="18" max="18" width="12.42578125" style="15"/>
    <col min="19" max="19" width="24.28515625" style="15" customWidth="1"/>
    <col min="20" max="16384" width="12.42578125" style="15"/>
  </cols>
  <sheetData>
    <row r="1" spans="2:19" ht="39" customHeight="1" x14ac:dyDescent="0.2">
      <c r="C1" s="17"/>
    </row>
    <row r="2" spans="2:19" ht="30.75" customHeight="1" x14ac:dyDescent="0.25">
      <c r="B2" s="35" t="s">
        <v>22</v>
      </c>
      <c r="C2" s="18"/>
      <c r="D2" s="35" t="s">
        <v>311</v>
      </c>
      <c r="F2" s="36" t="s">
        <v>321</v>
      </c>
      <c r="G2" s="36" t="s">
        <v>327</v>
      </c>
      <c r="I2" s="36" t="s">
        <v>332</v>
      </c>
      <c r="J2" s="36" t="s">
        <v>333</v>
      </c>
      <c r="M2" s="36" t="s">
        <v>362</v>
      </c>
      <c r="O2" s="36" t="s">
        <v>359</v>
      </c>
      <c r="Q2" s="36" t="s">
        <v>343</v>
      </c>
      <c r="S2" s="36" t="s">
        <v>557</v>
      </c>
    </row>
    <row r="3" spans="2:19" ht="25.5" x14ac:dyDescent="0.2">
      <c r="B3" s="15" t="s">
        <v>129</v>
      </c>
      <c r="C3" s="18"/>
      <c r="D3" s="19" t="s">
        <v>376</v>
      </c>
      <c r="F3" s="15" t="s">
        <v>326</v>
      </c>
      <c r="G3" s="15" t="s">
        <v>322</v>
      </c>
      <c r="I3" s="15" t="s">
        <v>334</v>
      </c>
      <c r="J3" s="15" t="s">
        <v>337</v>
      </c>
      <c r="M3" s="15" t="s">
        <v>317</v>
      </c>
      <c r="O3" s="15" t="s">
        <v>350</v>
      </c>
      <c r="Q3" s="15" t="s">
        <v>13</v>
      </c>
      <c r="S3" s="38" t="s">
        <v>558</v>
      </c>
    </row>
    <row r="4" spans="2:19" ht="25.5" x14ac:dyDescent="0.2">
      <c r="B4" s="15" t="s">
        <v>399</v>
      </c>
      <c r="C4" s="18"/>
      <c r="D4" s="19" t="s">
        <v>377</v>
      </c>
      <c r="F4" s="15" t="s">
        <v>328</v>
      </c>
      <c r="G4" s="15" t="s">
        <v>323</v>
      </c>
      <c r="I4" s="15" t="s">
        <v>335</v>
      </c>
      <c r="J4" s="15" t="s">
        <v>338</v>
      </c>
      <c r="M4" s="15" t="s">
        <v>316</v>
      </c>
      <c r="O4" s="15" t="s">
        <v>358</v>
      </c>
      <c r="Q4" s="15" t="s">
        <v>464</v>
      </c>
      <c r="S4" s="38" t="s">
        <v>559</v>
      </c>
    </row>
    <row r="5" spans="2:19" ht="38.25" x14ac:dyDescent="0.2">
      <c r="B5" s="15" t="s">
        <v>400</v>
      </c>
      <c r="C5" s="18"/>
      <c r="D5" s="19" t="s">
        <v>378</v>
      </c>
      <c r="F5" s="15" t="s">
        <v>329</v>
      </c>
      <c r="G5" s="15" t="s">
        <v>324</v>
      </c>
      <c r="I5" s="15" t="s">
        <v>336</v>
      </c>
      <c r="J5" s="15" t="s">
        <v>322</v>
      </c>
      <c r="M5" s="15" t="s">
        <v>312</v>
      </c>
      <c r="O5" s="15" t="s">
        <v>352</v>
      </c>
      <c r="Q5" s="15" t="s">
        <v>344</v>
      </c>
      <c r="S5" s="38" t="s">
        <v>560</v>
      </c>
    </row>
    <row r="6" spans="2:19" ht="15.75" x14ac:dyDescent="0.2">
      <c r="B6" s="15" t="s">
        <v>401</v>
      </c>
      <c r="C6" s="18"/>
      <c r="D6" s="19" t="s">
        <v>379</v>
      </c>
      <c r="F6" s="15" t="s">
        <v>330</v>
      </c>
      <c r="G6" s="15" t="s">
        <v>325</v>
      </c>
      <c r="M6" s="15" t="s">
        <v>313</v>
      </c>
      <c r="O6" s="15" t="s">
        <v>10</v>
      </c>
      <c r="Q6" s="15" t="s">
        <v>465</v>
      </c>
      <c r="S6" s="38" t="s">
        <v>561</v>
      </c>
    </row>
    <row r="7" spans="2:19" ht="15.75" x14ac:dyDescent="0.2">
      <c r="B7" s="15" t="s">
        <v>402</v>
      </c>
      <c r="C7" s="18"/>
      <c r="D7" s="20" t="s">
        <v>380</v>
      </c>
      <c r="M7" s="15" t="s">
        <v>315</v>
      </c>
      <c r="O7" s="34" t="s">
        <v>568</v>
      </c>
      <c r="Q7" s="15" t="s">
        <v>314</v>
      </c>
      <c r="S7" s="38" t="s">
        <v>562</v>
      </c>
    </row>
    <row r="8" spans="2:19" ht="15.75" x14ac:dyDescent="0.2">
      <c r="B8" s="15" t="s">
        <v>70</v>
      </c>
      <c r="C8" s="18"/>
      <c r="D8" s="19" t="s">
        <v>381</v>
      </c>
      <c r="M8" s="15" t="s">
        <v>366</v>
      </c>
      <c r="Q8" s="15" t="s">
        <v>466</v>
      </c>
      <c r="S8" s="38" t="s">
        <v>563</v>
      </c>
    </row>
    <row r="9" spans="2:19" ht="15.75" x14ac:dyDescent="0.2">
      <c r="B9" s="15" t="s">
        <v>403</v>
      </c>
      <c r="C9" s="18"/>
      <c r="D9" s="19" t="s">
        <v>382</v>
      </c>
      <c r="M9" s="15" t="s">
        <v>5</v>
      </c>
      <c r="Q9" s="15" t="s">
        <v>467</v>
      </c>
      <c r="S9" s="38" t="s">
        <v>564</v>
      </c>
    </row>
    <row r="10" spans="2:19" ht="15.75" x14ac:dyDescent="0.2">
      <c r="B10" s="15" t="s">
        <v>404</v>
      </c>
      <c r="C10" s="18"/>
      <c r="D10" s="19" t="s">
        <v>383</v>
      </c>
      <c r="M10" s="15" t="s">
        <v>364</v>
      </c>
      <c r="Q10" s="15" t="s">
        <v>468</v>
      </c>
      <c r="S10" s="38" t="s">
        <v>565</v>
      </c>
    </row>
    <row r="11" spans="2:19" ht="25.5" x14ac:dyDescent="0.2">
      <c r="B11" s="15" t="s">
        <v>405</v>
      </c>
      <c r="C11" s="18"/>
      <c r="D11" s="18" t="s">
        <v>342</v>
      </c>
      <c r="M11" s="15" t="s">
        <v>341</v>
      </c>
      <c r="Q11" s="15" t="s">
        <v>469</v>
      </c>
      <c r="S11" s="38" t="s">
        <v>566</v>
      </c>
    </row>
    <row r="12" spans="2:19" x14ac:dyDescent="0.2">
      <c r="B12" s="15" t="s">
        <v>298</v>
      </c>
      <c r="C12" s="18"/>
      <c r="D12" s="18" t="s">
        <v>384</v>
      </c>
      <c r="M12" s="15" t="s">
        <v>363</v>
      </c>
      <c r="Q12" s="15" t="s">
        <v>470</v>
      </c>
      <c r="S12" s="37"/>
    </row>
    <row r="13" spans="2:19" x14ac:dyDescent="0.2">
      <c r="B13" s="15" t="s">
        <v>406</v>
      </c>
      <c r="C13" s="18"/>
      <c r="D13" s="18" t="s">
        <v>385</v>
      </c>
      <c r="M13" s="15" t="s">
        <v>368</v>
      </c>
      <c r="Q13" s="15" t="s">
        <v>471</v>
      </c>
      <c r="S13" s="37"/>
    </row>
    <row r="14" spans="2:19" x14ac:dyDescent="0.2">
      <c r="B14" s="15" t="s">
        <v>109</v>
      </c>
      <c r="C14" s="18"/>
      <c r="D14" s="18" t="s">
        <v>386</v>
      </c>
      <c r="M14" s="15" t="s">
        <v>372</v>
      </c>
      <c r="Q14" s="15" t="s">
        <v>472</v>
      </c>
      <c r="S14" s="37"/>
    </row>
    <row r="15" spans="2:19" x14ac:dyDescent="0.2">
      <c r="B15" s="15" t="s">
        <v>407</v>
      </c>
      <c r="C15" s="18"/>
      <c r="D15" s="18" t="s">
        <v>387</v>
      </c>
      <c r="M15" s="15" t="s">
        <v>371</v>
      </c>
      <c r="Q15" s="15" t="s">
        <v>473</v>
      </c>
      <c r="S15" s="37"/>
    </row>
    <row r="16" spans="2:19" x14ac:dyDescent="0.2">
      <c r="B16" s="15" t="s">
        <v>408</v>
      </c>
      <c r="C16" s="18"/>
      <c r="D16" s="18" t="s">
        <v>388</v>
      </c>
      <c r="M16" s="15" t="s">
        <v>365</v>
      </c>
      <c r="Q16" s="15" t="s">
        <v>474</v>
      </c>
    </row>
    <row r="17" spans="2:17" x14ac:dyDescent="0.2">
      <c r="B17" s="15" t="s">
        <v>319</v>
      </c>
      <c r="C17" s="18"/>
      <c r="D17" s="18" t="s">
        <v>389</v>
      </c>
      <c r="M17" s="15" t="s">
        <v>370</v>
      </c>
      <c r="Q17" s="15" t="s">
        <v>353</v>
      </c>
    </row>
    <row r="18" spans="2:17" ht="25.5" x14ac:dyDescent="0.2">
      <c r="B18" s="15" t="s">
        <v>409</v>
      </c>
      <c r="C18" s="18"/>
      <c r="D18" s="18" t="s">
        <v>390</v>
      </c>
      <c r="M18" s="15" t="s">
        <v>369</v>
      </c>
      <c r="Q18" s="15" t="s">
        <v>356</v>
      </c>
    </row>
    <row r="19" spans="2:17" x14ac:dyDescent="0.2">
      <c r="B19" s="15" t="s">
        <v>56</v>
      </c>
      <c r="C19" s="18"/>
      <c r="D19" s="18" t="s">
        <v>391</v>
      </c>
      <c r="M19" s="15" t="s">
        <v>367</v>
      </c>
      <c r="Q19" s="15" t="s">
        <v>475</v>
      </c>
    </row>
    <row r="20" spans="2:17" x14ac:dyDescent="0.2">
      <c r="B20" s="15" t="s">
        <v>112</v>
      </c>
      <c r="C20" s="18"/>
      <c r="D20" s="18" t="s">
        <v>392</v>
      </c>
      <c r="M20" s="15" t="s">
        <v>373</v>
      </c>
      <c r="Q20" s="15" t="s">
        <v>476</v>
      </c>
    </row>
    <row r="21" spans="2:17" x14ac:dyDescent="0.2">
      <c r="B21" s="15" t="s">
        <v>410</v>
      </c>
      <c r="C21" s="18"/>
      <c r="D21" s="18" t="s">
        <v>393</v>
      </c>
      <c r="M21" s="15" t="s">
        <v>374</v>
      </c>
      <c r="Q21" s="15" t="s">
        <v>477</v>
      </c>
    </row>
    <row r="22" spans="2:17" x14ac:dyDescent="0.2">
      <c r="B22" s="15" t="s">
        <v>411</v>
      </c>
      <c r="C22" s="18"/>
      <c r="D22" s="18" t="s">
        <v>394</v>
      </c>
      <c r="M22" s="15" t="s">
        <v>375</v>
      </c>
      <c r="Q22" s="15" t="s">
        <v>478</v>
      </c>
    </row>
    <row r="23" spans="2:17" x14ac:dyDescent="0.2">
      <c r="B23" s="15" t="s">
        <v>412</v>
      </c>
      <c r="C23" s="18"/>
      <c r="D23" s="18" t="s">
        <v>395</v>
      </c>
      <c r="Q23" s="15" t="s">
        <v>479</v>
      </c>
    </row>
    <row r="24" spans="2:17" x14ac:dyDescent="0.2">
      <c r="B24" s="15" t="s">
        <v>91</v>
      </c>
      <c r="C24" s="18"/>
      <c r="D24" s="18" t="s">
        <v>396</v>
      </c>
      <c r="Q24" s="15" t="s">
        <v>480</v>
      </c>
    </row>
    <row r="25" spans="2:17" x14ac:dyDescent="0.2">
      <c r="B25" s="15" t="s">
        <v>32</v>
      </c>
      <c r="C25" s="18"/>
      <c r="D25" s="18" t="s">
        <v>397</v>
      </c>
      <c r="Q25" s="15" t="s">
        <v>481</v>
      </c>
    </row>
    <row r="26" spans="2:17" x14ac:dyDescent="0.2">
      <c r="B26" s="15" t="s">
        <v>413</v>
      </c>
      <c r="C26" s="18"/>
      <c r="D26" s="18" t="s">
        <v>398</v>
      </c>
      <c r="Q26" s="15" t="s">
        <v>350</v>
      </c>
    </row>
    <row r="27" spans="2:17" x14ac:dyDescent="0.2">
      <c r="B27" s="15" t="s">
        <v>414</v>
      </c>
      <c r="C27" s="18"/>
      <c r="D27" s="18"/>
      <c r="Q27" s="15" t="s">
        <v>482</v>
      </c>
    </row>
    <row r="28" spans="2:17" x14ac:dyDescent="0.2">
      <c r="B28" s="15" t="s">
        <v>415</v>
      </c>
      <c r="C28" s="18"/>
      <c r="D28" s="18"/>
      <c r="Q28" s="15" t="s">
        <v>483</v>
      </c>
    </row>
    <row r="29" spans="2:17" x14ac:dyDescent="0.2">
      <c r="B29" s="15" t="s">
        <v>416</v>
      </c>
      <c r="C29" s="18"/>
      <c r="Q29" s="15" t="s">
        <v>484</v>
      </c>
    </row>
    <row r="30" spans="2:17" x14ac:dyDescent="0.2">
      <c r="B30" s="15" t="s">
        <v>417</v>
      </c>
      <c r="C30" s="17"/>
      <c r="Q30" s="15" t="s">
        <v>485</v>
      </c>
    </row>
    <row r="31" spans="2:17" x14ac:dyDescent="0.2">
      <c r="B31" s="15" t="s">
        <v>418</v>
      </c>
      <c r="C31" s="17"/>
      <c r="Q31" s="15" t="s">
        <v>486</v>
      </c>
    </row>
    <row r="32" spans="2:17" x14ac:dyDescent="0.2">
      <c r="B32" s="15" t="s">
        <v>162</v>
      </c>
      <c r="C32" s="17"/>
      <c r="Q32" s="15" t="s">
        <v>351</v>
      </c>
    </row>
    <row r="33" spans="2:17" x14ac:dyDescent="0.2">
      <c r="B33" s="15" t="s">
        <v>165</v>
      </c>
      <c r="C33" s="17"/>
      <c r="Q33" s="15" t="s">
        <v>487</v>
      </c>
    </row>
    <row r="34" spans="2:17" x14ac:dyDescent="0.2">
      <c r="B34" s="15" t="s">
        <v>94</v>
      </c>
      <c r="C34" s="17"/>
      <c r="Q34" s="15" t="s">
        <v>488</v>
      </c>
    </row>
    <row r="35" spans="2:17" x14ac:dyDescent="0.2">
      <c r="B35" s="15" t="s">
        <v>419</v>
      </c>
      <c r="C35" s="17"/>
      <c r="Q35" s="15" t="s">
        <v>489</v>
      </c>
    </row>
    <row r="36" spans="2:17" x14ac:dyDescent="0.2">
      <c r="B36" s="15" t="s">
        <v>420</v>
      </c>
      <c r="C36" s="17"/>
      <c r="M36"/>
      <c r="N36"/>
      <c r="Q36" s="15" t="s">
        <v>490</v>
      </c>
    </row>
    <row r="37" spans="2:17" x14ac:dyDescent="0.2">
      <c r="B37" s="15" t="s">
        <v>277</v>
      </c>
      <c r="C37" s="17"/>
      <c r="M37"/>
      <c r="N37"/>
      <c r="Q37" s="15" t="s">
        <v>318</v>
      </c>
    </row>
    <row r="38" spans="2:17" x14ac:dyDescent="0.2">
      <c r="B38" s="15" t="s">
        <v>421</v>
      </c>
      <c r="C38" s="17"/>
      <c r="M38"/>
      <c r="N38"/>
      <c r="Q38" s="15" t="s">
        <v>491</v>
      </c>
    </row>
    <row r="39" spans="2:17" x14ac:dyDescent="0.2">
      <c r="B39" s="15" t="s">
        <v>422</v>
      </c>
      <c r="C39" s="17"/>
      <c r="M39"/>
      <c r="N39"/>
      <c r="Q39" s="15" t="s">
        <v>492</v>
      </c>
    </row>
    <row r="40" spans="2:17" x14ac:dyDescent="0.2">
      <c r="B40" s="15" t="s">
        <v>80</v>
      </c>
      <c r="C40" s="17"/>
      <c r="M40"/>
      <c r="N40"/>
      <c r="Q40" s="15" t="s">
        <v>493</v>
      </c>
    </row>
    <row r="41" spans="2:17" x14ac:dyDescent="0.2">
      <c r="B41" s="15" t="s">
        <v>423</v>
      </c>
      <c r="C41" s="17"/>
      <c r="M41"/>
      <c r="N41"/>
      <c r="Q41" s="15" t="s">
        <v>494</v>
      </c>
    </row>
    <row r="42" spans="2:17" x14ac:dyDescent="0.2">
      <c r="B42" s="15" t="s">
        <v>424</v>
      </c>
      <c r="C42" s="17"/>
      <c r="M42"/>
      <c r="N42"/>
      <c r="Q42" s="15" t="s">
        <v>495</v>
      </c>
    </row>
    <row r="43" spans="2:17" x14ac:dyDescent="0.2">
      <c r="B43" s="15" t="s">
        <v>425</v>
      </c>
      <c r="C43" s="17"/>
      <c r="M43"/>
      <c r="N43"/>
      <c r="Q43" s="15" t="s">
        <v>496</v>
      </c>
    </row>
    <row r="44" spans="2:17" x14ac:dyDescent="0.2">
      <c r="B44" s="15" t="s">
        <v>426</v>
      </c>
      <c r="C44" s="17"/>
      <c r="M44"/>
      <c r="N44"/>
      <c r="Q44" s="15" t="s">
        <v>497</v>
      </c>
    </row>
    <row r="45" spans="2:17" x14ac:dyDescent="0.2">
      <c r="B45" s="15" t="s">
        <v>427</v>
      </c>
      <c r="C45" s="17"/>
      <c r="M45"/>
      <c r="N45"/>
      <c r="Q45" s="15" t="s">
        <v>345</v>
      </c>
    </row>
    <row r="46" spans="2:17" x14ac:dyDescent="0.2">
      <c r="B46" s="15" t="s">
        <v>428</v>
      </c>
      <c r="C46" s="17"/>
      <c r="M46"/>
      <c r="N46"/>
      <c r="Q46" s="15" t="s">
        <v>498</v>
      </c>
    </row>
    <row r="47" spans="2:17" x14ac:dyDescent="0.2">
      <c r="B47" s="15" t="s">
        <v>429</v>
      </c>
      <c r="C47" s="17"/>
      <c r="M47"/>
      <c r="N47"/>
      <c r="Q47" s="15" t="s">
        <v>499</v>
      </c>
    </row>
    <row r="48" spans="2:17" x14ac:dyDescent="0.2">
      <c r="B48" s="15" t="s">
        <v>115</v>
      </c>
      <c r="C48" s="17"/>
      <c r="M48"/>
      <c r="N48"/>
      <c r="Q48" s="15" t="s">
        <v>500</v>
      </c>
    </row>
    <row r="49" spans="2:17" x14ac:dyDescent="0.2">
      <c r="B49" s="15" t="s">
        <v>430</v>
      </c>
      <c r="C49" s="17"/>
      <c r="M49"/>
      <c r="N49"/>
      <c r="Q49" s="15" t="s">
        <v>501</v>
      </c>
    </row>
    <row r="50" spans="2:17" x14ac:dyDescent="0.2">
      <c r="B50" s="15" t="s">
        <v>133</v>
      </c>
      <c r="C50" s="17"/>
      <c r="M50"/>
      <c r="N50"/>
      <c r="Q50" s="15" t="s">
        <v>502</v>
      </c>
    </row>
    <row r="51" spans="2:17" x14ac:dyDescent="0.2">
      <c r="B51" s="15" t="s">
        <v>431</v>
      </c>
      <c r="C51" s="17"/>
      <c r="M51"/>
      <c r="N51"/>
      <c r="Q51" s="15" t="s">
        <v>503</v>
      </c>
    </row>
    <row r="52" spans="2:17" x14ac:dyDescent="0.2">
      <c r="B52" s="15" t="s">
        <v>432</v>
      </c>
      <c r="C52" s="17"/>
      <c r="M52"/>
      <c r="N52"/>
      <c r="Q52" s="15" t="s">
        <v>504</v>
      </c>
    </row>
    <row r="53" spans="2:17" x14ac:dyDescent="0.2">
      <c r="B53" s="15" t="s">
        <v>433</v>
      </c>
      <c r="C53" s="17"/>
      <c r="M53"/>
      <c r="N53"/>
      <c r="Q53" s="15" t="s">
        <v>505</v>
      </c>
    </row>
    <row r="54" spans="2:17" x14ac:dyDescent="0.2">
      <c r="B54" s="15" t="s">
        <v>434</v>
      </c>
      <c r="C54" s="17"/>
      <c r="M54"/>
      <c r="N54"/>
      <c r="Q54" s="15" t="s">
        <v>506</v>
      </c>
    </row>
    <row r="55" spans="2:17" x14ac:dyDescent="0.2">
      <c r="B55" s="15" t="s">
        <v>435</v>
      </c>
      <c r="C55" s="17"/>
      <c r="M55"/>
      <c r="N55"/>
      <c r="Q55" s="15" t="s">
        <v>507</v>
      </c>
    </row>
    <row r="56" spans="2:17" x14ac:dyDescent="0.2">
      <c r="B56" s="15" t="s">
        <v>436</v>
      </c>
      <c r="C56" s="17"/>
      <c r="M56"/>
      <c r="N56"/>
      <c r="Q56" s="15" t="s">
        <v>508</v>
      </c>
    </row>
    <row r="57" spans="2:17" x14ac:dyDescent="0.2">
      <c r="B57" s="15" t="s">
        <v>437</v>
      </c>
      <c r="C57" s="17"/>
      <c r="M57"/>
      <c r="N57"/>
      <c r="Q57" s="15" t="s">
        <v>509</v>
      </c>
    </row>
    <row r="58" spans="2:17" x14ac:dyDescent="0.2">
      <c r="B58" s="15" t="s">
        <v>438</v>
      </c>
      <c r="C58" s="17"/>
      <c r="M58"/>
      <c r="N58"/>
      <c r="Q58" s="15" t="s">
        <v>510</v>
      </c>
    </row>
    <row r="59" spans="2:17" x14ac:dyDescent="0.2">
      <c r="B59" s="15" t="s">
        <v>439</v>
      </c>
      <c r="C59" s="17"/>
      <c r="M59"/>
      <c r="N59"/>
      <c r="Q59" s="15" t="s">
        <v>347</v>
      </c>
    </row>
    <row r="60" spans="2:17" x14ac:dyDescent="0.2">
      <c r="B60" s="15" t="s">
        <v>440</v>
      </c>
      <c r="C60" s="17"/>
      <c r="M60"/>
      <c r="N60"/>
      <c r="Q60" s="15" t="s">
        <v>511</v>
      </c>
    </row>
    <row r="61" spans="2:17" x14ac:dyDescent="0.2">
      <c r="B61" s="15" t="s">
        <v>441</v>
      </c>
      <c r="C61" s="17"/>
      <c r="M61"/>
      <c r="N61"/>
      <c r="Q61" s="15" t="s">
        <v>512</v>
      </c>
    </row>
    <row r="62" spans="2:17" x14ac:dyDescent="0.2">
      <c r="B62" s="15" t="s">
        <v>442</v>
      </c>
      <c r="C62" s="17"/>
      <c r="M62"/>
      <c r="N62"/>
      <c r="Q62" s="15" t="s">
        <v>513</v>
      </c>
    </row>
    <row r="63" spans="2:17" x14ac:dyDescent="0.2">
      <c r="B63" s="15" t="s">
        <v>443</v>
      </c>
      <c r="C63" s="17"/>
      <c r="M63"/>
      <c r="N63"/>
      <c r="Q63" s="15" t="s">
        <v>514</v>
      </c>
    </row>
    <row r="64" spans="2:17" x14ac:dyDescent="0.2">
      <c r="B64" s="15" t="s">
        <v>444</v>
      </c>
      <c r="C64" s="17"/>
      <c r="M64"/>
      <c r="N64"/>
      <c r="Q64" s="15" t="s">
        <v>515</v>
      </c>
    </row>
    <row r="65" spans="2:17" x14ac:dyDescent="0.2">
      <c r="B65" s="15" t="s">
        <v>445</v>
      </c>
      <c r="C65" s="17"/>
      <c r="M65"/>
      <c r="N65"/>
      <c r="Q65" s="15" t="s">
        <v>516</v>
      </c>
    </row>
    <row r="66" spans="2:17" x14ac:dyDescent="0.2">
      <c r="B66" s="15" t="s">
        <v>446</v>
      </c>
      <c r="C66" s="17"/>
      <c r="M66"/>
      <c r="N66"/>
      <c r="Q66" s="15" t="s">
        <v>517</v>
      </c>
    </row>
    <row r="67" spans="2:17" x14ac:dyDescent="0.2">
      <c r="B67" s="15" t="s">
        <v>447</v>
      </c>
      <c r="C67" s="17"/>
      <c r="M67"/>
      <c r="N67"/>
      <c r="Q67" s="15" t="s">
        <v>518</v>
      </c>
    </row>
    <row r="68" spans="2:17" x14ac:dyDescent="0.2">
      <c r="B68" s="15" t="s">
        <v>448</v>
      </c>
      <c r="C68" s="17"/>
      <c r="M68"/>
      <c r="N68"/>
      <c r="Q68" s="15" t="s">
        <v>519</v>
      </c>
    </row>
    <row r="69" spans="2:17" x14ac:dyDescent="0.2">
      <c r="B69" s="15" t="s">
        <v>449</v>
      </c>
      <c r="C69" s="17"/>
      <c r="M69"/>
      <c r="N69"/>
      <c r="Q69" s="15" t="s">
        <v>520</v>
      </c>
    </row>
    <row r="70" spans="2:17" x14ac:dyDescent="0.2">
      <c r="B70" s="15" t="s">
        <v>450</v>
      </c>
      <c r="C70" s="17"/>
      <c r="M70"/>
      <c r="N70"/>
      <c r="Q70" s="15" t="s">
        <v>521</v>
      </c>
    </row>
    <row r="71" spans="2:17" x14ac:dyDescent="0.2">
      <c r="B71" s="15" t="s">
        <v>451</v>
      </c>
      <c r="C71" s="17"/>
      <c r="M71"/>
      <c r="N71"/>
      <c r="Q71" s="15" t="s">
        <v>522</v>
      </c>
    </row>
    <row r="72" spans="2:17" x14ac:dyDescent="0.2">
      <c r="B72" s="15" t="s">
        <v>452</v>
      </c>
      <c r="C72" s="17"/>
      <c r="M72"/>
      <c r="N72"/>
      <c r="Q72" s="15" t="s">
        <v>523</v>
      </c>
    </row>
    <row r="73" spans="2:17" x14ac:dyDescent="0.2">
      <c r="B73" s="15" t="s">
        <v>453</v>
      </c>
      <c r="C73" s="17"/>
      <c r="M73"/>
      <c r="N73"/>
      <c r="Q73" s="15" t="s">
        <v>346</v>
      </c>
    </row>
    <row r="74" spans="2:17" x14ac:dyDescent="0.2">
      <c r="B74" s="15" t="s">
        <v>454</v>
      </c>
      <c r="C74" s="17"/>
      <c r="M74"/>
      <c r="N74"/>
      <c r="Q74" s="15" t="s">
        <v>524</v>
      </c>
    </row>
    <row r="75" spans="2:17" x14ac:dyDescent="0.2">
      <c r="B75" s="15" t="s">
        <v>455</v>
      </c>
      <c r="C75" s="17"/>
      <c r="M75"/>
      <c r="N75"/>
      <c r="Q75" s="15" t="s">
        <v>354</v>
      </c>
    </row>
    <row r="76" spans="2:17" x14ac:dyDescent="0.2">
      <c r="B76" s="15" t="s">
        <v>456</v>
      </c>
      <c r="C76" s="17"/>
      <c r="M76"/>
      <c r="N76"/>
      <c r="Q76" s="15" t="s">
        <v>525</v>
      </c>
    </row>
    <row r="77" spans="2:17" x14ac:dyDescent="0.2">
      <c r="B77" s="15" t="s">
        <v>457</v>
      </c>
      <c r="C77" s="17"/>
      <c r="M77"/>
      <c r="N77"/>
      <c r="Q77" s="15" t="s">
        <v>526</v>
      </c>
    </row>
    <row r="78" spans="2:17" x14ac:dyDescent="0.2">
      <c r="B78" s="15" t="s">
        <v>458</v>
      </c>
      <c r="C78" s="17"/>
      <c r="M78"/>
      <c r="N78"/>
      <c r="Q78" s="15" t="s">
        <v>527</v>
      </c>
    </row>
    <row r="79" spans="2:17" x14ac:dyDescent="0.2">
      <c r="B79" s="15" t="s">
        <v>49</v>
      </c>
      <c r="C79" s="17"/>
      <c r="M79"/>
      <c r="N79"/>
      <c r="Q79" s="15" t="s">
        <v>528</v>
      </c>
    </row>
    <row r="80" spans="2:17" x14ac:dyDescent="0.2">
      <c r="B80" s="15" t="s">
        <v>252</v>
      </c>
      <c r="C80" s="17"/>
      <c r="M80"/>
      <c r="N80"/>
      <c r="Q80" s="15" t="s">
        <v>529</v>
      </c>
    </row>
    <row r="81" spans="2:17" x14ac:dyDescent="0.2">
      <c r="B81" s="15" t="s">
        <v>120</v>
      </c>
      <c r="C81" s="17"/>
      <c r="M81"/>
      <c r="N81"/>
      <c r="Q81" s="15" t="s">
        <v>530</v>
      </c>
    </row>
    <row r="82" spans="2:17" x14ac:dyDescent="0.2">
      <c r="B82" s="15" t="s">
        <v>459</v>
      </c>
      <c r="C82" s="17"/>
      <c r="M82"/>
      <c r="N82"/>
      <c r="Q82" s="15" t="s">
        <v>531</v>
      </c>
    </row>
    <row r="83" spans="2:17" x14ac:dyDescent="0.2">
      <c r="B83" s="15" t="s">
        <v>460</v>
      </c>
      <c r="C83" s="17"/>
      <c r="M83"/>
      <c r="N83"/>
      <c r="Q83" s="15" t="s">
        <v>532</v>
      </c>
    </row>
    <row r="84" spans="2:17" x14ac:dyDescent="0.2">
      <c r="B84" s="15" t="s">
        <v>67</v>
      </c>
      <c r="C84" s="17"/>
      <c r="M84"/>
      <c r="N84"/>
      <c r="Q84" s="15" t="s">
        <v>533</v>
      </c>
    </row>
    <row r="85" spans="2:17" x14ac:dyDescent="0.2">
      <c r="B85" s="15" t="s">
        <v>461</v>
      </c>
      <c r="C85" s="17"/>
      <c r="M85"/>
      <c r="N85"/>
      <c r="Q85" s="15" t="s">
        <v>348</v>
      </c>
    </row>
    <row r="86" spans="2:17" x14ac:dyDescent="0.2">
      <c r="B86" s="15" t="s">
        <v>462</v>
      </c>
      <c r="C86" s="17"/>
      <c r="M86"/>
      <c r="N86"/>
      <c r="Q86" s="15" t="s">
        <v>534</v>
      </c>
    </row>
    <row r="87" spans="2:17" x14ac:dyDescent="0.2">
      <c r="B87" s="15" t="s">
        <v>463</v>
      </c>
      <c r="C87" s="17"/>
      <c r="M87"/>
      <c r="N87"/>
      <c r="Q87" s="15" t="s">
        <v>535</v>
      </c>
    </row>
    <row r="88" spans="2:17" x14ac:dyDescent="0.2">
      <c r="B88" s="15" t="s">
        <v>320</v>
      </c>
      <c r="C88" s="17"/>
      <c r="M88"/>
      <c r="N88"/>
      <c r="Q88" s="15" t="s">
        <v>536</v>
      </c>
    </row>
    <row r="89" spans="2:17" x14ac:dyDescent="0.2">
      <c r="B89" s="15" t="s">
        <v>25</v>
      </c>
      <c r="C89" s="17"/>
      <c r="M89"/>
      <c r="N89"/>
      <c r="Q89" s="15" t="s">
        <v>537</v>
      </c>
    </row>
    <row r="90" spans="2:17" x14ac:dyDescent="0.2">
      <c r="B90" s="15" t="s">
        <v>73</v>
      </c>
      <c r="C90" s="17"/>
      <c r="M90"/>
      <c r="N90"/>
      <c r="Q90" s="15" t="s">
        <v>538</v>
      </c>
    </row>
    <row r="91" spans="2:17" x14ac:dyDescent="0.2">
      <c r="C91" s="17"/>
      <c r="M91"/>
      <c r="N91"/>
      <c r="Q91" s="15" t="s">
        <v>14</v>
      </c>
    </row>
    <row r="92" spans="2:17" x14ac:dyDescent="0.2">
      <c r="C92" s="17"/>
      <c r="M92"/>
      <c r="N92"/>
      <c r="Q92" s="15" t="s">
        <v>539</v>
      </c>
    </row>
    <row r="93" spans="2:17" x14ac:dyDescent="0.2">
      <c r="C93" s="17"/>
      <c r="M93"/>
      <c r="N93"/>
      <c r="Q93" s="15" t="s">
        <v>540</v>
      </c>
    </row>
    <row r="94" spans="2:17" x14ac:dyDescent="0.2">
      <c r="C94" s="17"/>
      <c r="M94"/>
      <c r="N94"/>
      <c r="Q94" s="15" t="s">
        <v>541</v>
      </c>
    </row>
    <row r="95" spans="2:17" x14ac:dyDescent="0.2">
      <c r="C95" s="17"/>
      <c r="M95"/>
      <c r="N95"/>
      <c r="Q95" s="15" t="s">
        <v>542</v>
      </c>
    </row>
    <row r="96" spans="2:17" x14ac:dyDescent="0.2">
      <c r="C96" s="17"/>
      <c r="M96"/>
      <c r="N96"/>
      <c r="Q96" s="15" t="s">
        <v>543</v>
      </c>
    </row>
    <row r="97" spans="3:17" x14ac:dyDescent="0.2">
      <c r="C97" s="17"/>
      <c r="M97"/>
      <c r="N97"/>
      <c r="Q97" s="15" t="s">
        <v>544</v>
      </c>
    </row>
    <row r="98" spans="3:17" x14ac:dyDescent="0.2">
      <c r="C98" s="17"/>
      <c r="M98"/>
      <c r="N98"/>
      <c r="Q98" s="15" t="s">
        <v>545</v>
      </c>
    </row>
    <row r="99" spans="3:17" x14ac:dyDescent="0.2">
      <c r="C99" s="17"/>
      <c r="M99"/>
      <c r="N99"/>
      <c r="Q99" s="15" t="s">
        <v>546</v>
      </c>
    </row>
    <row r="100" spans="3:17" x14ac:dyDescent="0.2">
      <c r="C100" s="17"/>
      <c r="M100"/>
      <c r="N100"/>
      <c r="Q100" s="15" t="s">
        <v>547</v>
      </c>
    </row>
    <row r="101" spans="3:17" x14ac:dyDescent="0.2">
      <c r="C101" s="17"/>
      <c r="M101"/>
      <c r="N101"/>
      <c r="Q101" s="15" t="s">
        <v>548</v>
      </c>
    </row>
    <row r="102" spans="3:17" x14ac:dyDescent="0.2">
      <c r="C102" s="17"/>
      <c r="M102"/>
      <c r="N102"/>
      <c r="Q102" s="15" t="s">
        <v>549</v>
      </c>
    </row>
    <row r="103" spans="3:17" x14ac:dyDescent="0.2">
      <c r="C103" s="17"/>
      <c r="M103"/>
      <c r="N103"/>
      <c r="Q103" s="15" t="s">
        <v>550</v>
      </c>
    </row>
    <row r="104" spans="3:17" x14ac:dyDescent="0.2">
      <c r="C104" s="17"/>
      <c r="M104"/>
      <c r="N104"/>
      <c r="Q104" s="15" t="s">
        <v>349</v>
      </c>
    </row>
    <row r="105" spans="3:17" x14ac:dyDescent="0.2">
      <c r="C105" s="17"/>
      <c r="M105"/>
      <c r="N105"/>
      <c r="Q105" s="15" t="s">
        <v>551</v>
      </c>
    </row>
    <row r="106" spans="3:17" x14ac:dyDescent="0.2">
      <c r="C106" s="17"/>
      <c r="M106"/>
      <c r="N106"/>
      <c r="Q106" s="15" t="s">
        <v>552</v>
      </c>
    </row>
    <row r="107" spans="3:17" x14ac:dyDescent="0.2">
      <c r="C107" s="17"/>
      <c r="M107"/>
      <c r="N107"/>
      <c r="Q107" s="15" t="s">
        <v>349</v>
      </c>
    </row>
    <row r="108" spans="3:17" x14ac:dyDescent="0.2">
      <c r="C108" s="17"/>
      <c r="M108"/>
      <c r="N108"/>
      <c r="Q108" s="15" t="s">
        <v>553</v>
      </c>
    </row>
    <row r="109" spans="3:17" x14ac:dyDescent="0.2">
      <c r="C109" s="17"/>
      <c r="M109"/>
      <c r="N109"/>
      <c r="Q109" s="15" t="s">
        <v>554</v>
      </c>
    </row>
    <row r="110" spans="3:17" x14ac:dyDescent="0.2">
      <c r="C110" s="17"/>
      <c r="M110"/>
      <c r="N110"/>
      <c r="Q110" s="34" t="s">
        <v>355</v>
      </c>
    </row>
    <row r="111" spans="3:17" x14ac:dyDescent="0.2">
      <c r="C111" s="17"/>
      <c r="M111"/>
      <c r="N111"/>
    </row>
    <row r="112" spans="3:17" x14ac:dyDescent="0.2">
      <c r="C112" s="17"/>
      <c r="M112"/>
      <c r="N112"/>
    </row>
    <row r="113" spans="3:14" x14ac:dyDescent="0.2">
      <c r="C113" s="17"/>
      <c r="M113"/>
      <c r="N113"/>
    </row>
    <row r="114" spans="3:14" x14ac:dyDescent="0.2">
      <c r="C114" s="17"/>
      <c r="M114"/>
      <c r="N114"/>
    </row>
    <row r="115" spans="3:14" x14ac:dyDescent="0.2">
      <c r="C115" s="17"/>
      <c r="M115"/>
      <c r="N115"/>
    </row>
    <row r="116" spans="3:14" x14ac:dyDescent="0.2">
      <c r="C116" s="17"/>
      <c r="M116"/>
      <c r="N116"/>
    </row>
    <row r="117" spans="3:14" x14ac:dyDescent="0.2">
      <c r="C117" s="17"/>
      <c r="M117"/>
      <c r="N117"/>
    </row>
    <row r="118" spans="3:14" x14ac:dyDescent="0.2">
      <c r="C118" s="17"/>
      <c r="M118"/>
      <c r="N118"/>
    </row>
    <row r="119" spans="3:14" x14ac:dyDescent="0.2">
      <c r="C119" s="17"/>
      <c r="M119"/>
      <c r="N119"/>
    </row>
    <row r="120" spans="3:14" x14ac:dyDescent="0.2">
      <c r="C120" s="17"/>
      <c r="M120"/>
      <c r="N120"/>
    </row>
    <row r="121" spans="3:14" x14ac:dyDescent="0.2">
      <c r="C121" s="17"/>
      <c r="M121"/>
      <c r="N121"/>
    </row>
    <row r="122" spans="3:14" x14ac:dyDescent="0.2">
      <c r="C122" s="17"/>
      <c r="M122"/>
      <c r="N122"/>
    </row>
    <row r="123" spans="3:14" x14ac:dyDescent="0.2">
      <c r="C123" s="17"/>
      <c r="M123"/>
      <c r="N123"/>
    </row>
    <row r="124" spans="3:14" x14ac:dyDescent="0.2">
      <c r="C124" s="17"/>
      <c r="M124"/>
      <c r="N124"/>
    </row>
    <row r="125" spans="3:14" x14ac:dyDescent="0.2">
      <c r="C125" s="17"/>
      <c r="M125"/>
      <c r="N125"/>
    </row>
    <row r="126" spans="3:14" x14ac:dyDescent="0.2">
      <c r="C126" s="17"/>
      <c r="M126"/>
      <c r="N126"/>
    </row>
    <row r="127" spans="3:14" x14ac:dyDescent="0.2">
      <c r="C127" s="17"/>
      <c r="M127"/>
      <c r="N127"/>
    </row>
    <row r="128" spans="3:14" x14ac:dyDescent="0.2">
      <c r="C128" s="17"/>
      <c r="M128"/>
      <c r="N128"/>
    </row>
    <row r="129" spans="3:14" x14ac:dyDescent="0.2">
      <c r="C129" s="17"/>
      <c r="M129"/>
      <c r="N129"/>
    </row>
    <row r="130" spans="3:14" x14ac:dyDescent="0.2">
      <c r="C130" s="17"/>
      <c r="M130"/>
      <c r="N130"/>
    </row>
    <row r="131" spans="3:14" x14ac:dyDescent="0.2">
      <c r="C131" s="17"/>
      <c r="M131"/>
      <c r="N131"/>
    </row>
    <row r="132" spans="3:14" x14ac:dyDescent="0.2">
      <c r="C132" s="17"/>
      <c r="M132"/>
      <c r="N132"/>
    </row>
    <row r="133" spans="3:14" x14ac:dyDescent="0.2">
      <c r="C133" s="17"/>
      <c r="M133"/>
      <c r="N133"/>
    </row>
    <row r="134" spans="3:14" x14ac:dyDescent="0.2">
      <c r="C134" s="17"/>
      <c r="M134"/>
      <c r="N134"/>
    </row>
    <row r="135" spans="3:14" x14ac:dyDescent="0.2">
      <c r="C135" s="17"/>
      <c r="M135"/>
      <c r="N135"/>
    </row>
    <row r="136" spans="3:14" x14ac:dyDescent="0.2">
      <c r="C136" s="17"/>
      <c r="M136"/>
      <c r="N136"/>
    </row>
    <row r="137" spans="3:14" x14ac:dyDescent="0.2">
      <c r="C137" s="17"/>
      <c r="M137"/>
      <c r="N137"/>
    </row>
    <row r="138" spans="3:14" x14ac:dyDescent="0.2">
      <c r="C138" s="17"/>
      <c r="M138"/>
      <c r="N138"/>
    </row>
    <row r="139" spans="3:14" x14ac:dyDescent="0.2">
      <c r="C139" s="17"/>
      <c r="M139"/>
      <c r="N139"/>
    </row>
    <row r="140" spans="3:14" x14ac:dyDescent="0.2">
      <c r="C140" s="17"/>
      <c r="M140"/>
      <c r="N140"/>
    </row>
    <row r="141" spans="3:14" x14ac:dyDescent="0.2">
      <c r="C141" s="17"/>
      <c r="M141"/>
      <c r="N141"/>
    </row>
    <row r="142" spans="3:14" x14ac:dyDescent="0.2">
      <c r="C142" s="17"/>
      <c r="M142"/>
      <c r="N142"/>
    </row>
    <row r="143" spans="3:14" x14ac:dyDescent="0.2">
      <c r="C143" s="17"/>
      <c r="M143"/>
      <c r="N143"/>
    </row>
    <row r="144" spans="3:14" x14ac:dyDescent="0.2">
      <c r="C144" s="17"/>
      <c r="M144"/>
      <c r="N144"/>
    </row>
    <row r="145" spans="3:14" x14ac:dyDescent="0.2">
      <c r="C145" s="17"/>
      <c r="M145"/>
      <c r="N145"/>
    </row>
    <row r="146" spans="3:14" x14ac:dyDescent="0.2">
      <c r="C146" s="17"/>
      <c r="M146"/>
      <c r="N146"/>
    </row>
    <row r="147" spans="3:14" x14ac:dyDescent="0.2">
      <c r="C147" s="17"/>
      <c r="M147"/>
      <c r="N147"/>
    </row>
    <row r="148" spans="3:14" x14ac:dyDescent="0.2">
      <c r="C148" s="17"/>
      <c r="M148"/>
      <c r="N148"/>
    </row>
    <row r="149" spans="3:14" x14ac:dyDescent="0.2">
      <c r="C149" s="17"/>
      <c r="M149"/>
      <c r="N149"/>
    </row>
    <row r="150" spans="3:14" x14ac:dyDescent="0.2">
      <c r="C150" s="17"/>
      <c r="M150"/>
      <c r="N150"/>
    </row>
    <row r="151" spans="3:14" x14ac:dyDescent="0.2">
      <c r="C151" s="17"/>
      <c r="M151"/>
      <c r="N151"/>
    </row>
    <row r="152" spans="3:14" x14ac:dyDescent="0.2">
      <c r="C152" s="17"/>
      <c r="M152"/>
      <c r="N152"/>
    </row>
    <row r="153" spans="3:14" x14ac:dyDescent="0.2">
      <c r="C153" s="17"/>
      <c r="M153"/>
      <c r="N153"/>
    </row>
    <row r="154" spans="3:14" x14ac:dyDescent="0.2">
      <c r="C154" s="17"/>
      <c r="M154"/>
      <c r="N154"/>
    </row>
    <row r="155" spans="3:14" x14ac:dyDescent="0.2">
      <c r="C155" s="17"/>
      <c r="M155"/>
      <c r="N155"/>
    </row>
    <row r="156" spans="3:14" x14ac:dyDescent="0.2">
      <c r="C156" s="17"/>
      <c r="M156"/>
      <c r="N156"/>
    </row>
    <row r="157" spans="3:14" x14ac:dyDescent="0.2">
      <c r="C157" s="17"/>
      <c r="M157"/>
      <c r="N157"/>
    </row>
    <row r="158" spans="3:14" x14ac:dyDescent="0.2">
      <c r="C158" s="17"/>
      <c r="M158"/>
      <c r="N158"/>
    </row>
    <row r="159" spans="3:14" x14ac:dyDescent="0.2">
      <c r="C159" s="17"/>
      <c r="M159"/>
      <c r="N159"/>
    </row>
    <row r="160" spans="3:14" x14ac:dyDescent="0.2">
      <c r="C160" s="17"/>
      <c r="M160"/>
      <c r="N160"/>
    </row>
    <row r="161" spans="3:14" x14ac:dyDescent="0.2">
      <c r="C161" s="17"/>
      <c r="M161"/>
      <c r="N161"/>
    </row>
    <row r="162" spans="3:14" x14ac:dyDescent="0.2">
      <c r="C162" s="17"/>
      <c r="M162"/>
      <c r="N162"/>
    </row>
    <row r="163" spans="3:14" x14ac:dyDescent="0.2">
      <c r="C163" s="17"/>
      <c r="M163"/>
      <c r="N163"/>
    </row>
    <row r="164" spans="3:14" x14ac:dyDescent="0.2">
      <c r="C164" s="17"/>
      <c r="M164"/>
      <c r="N164"/>
    </row>
    <row r="165" spans="3:14" x14ac:dyDescent="0.2">
      <c r="C165" s="17"/>
      <c r="M165"/>
      <c r="N165"/>
    </row>
    <row r="166" spans="3:14" x14ac:dyDescent="0.2">
      <c r="C166" s="17"/>
      <c r="M166"/>
      <c r="N166"/>
    </row>
    <row r="167" spans="3:14" x14ac:dyDescent="0.2">
      <c r="C167" s="17"/>
      <c r="M167"/>
      <c r="N167"/>
    </row>
    <row r="168" spans="3:14" x14ac:dyDescent="0.2">
      <c r="C168" s="17"/>
      <c r="M168"/>
      <c r="N168"/>
    </row>
    <row r="169" spans="3:14" x14ac:dyDescent="0.2">
      <c r="C169" s="17"/>
      <c r="M169"/>
      <c r="N169"/>
    </row>
    <row r="170" spans="3:14" x14ac:dyDescent="0.2">
      <c r="C170" s="17"/>
      <c r="M170"/>
      <c r="N170"/>
    </row>
    <row r="171" spans="3:14" x14ac:dyDescent="0.2">
      <c r="C171" s="17"/>
      <c r="M171"/>
      <c r="N171"/>
    </row>
    <row r="172" spans="3:14" x14ac:dyDescent="0.2">
      <c r="C172" s="17"/>
      <c r="M172"/>
      <c r="N172"/>
    </row>
    <row r="173" spans="3:14" x14ac:dyDescent="0.2">
      <c r="C173" s="17"/>
      <c r="M173"/>
      <c r="N173"/>
    </row>
    <row r="174" spans="3:14" x14ac:dyDescent="0.2">
      <c r="C174" s="17"/>
      <c r="M174"/>
      <c r="N174"/>
    </row>
    <row r="175" spans="3:14" x14ac:dyDescent="0.2">
      <c r="C175" s="17"/>
      <c r="M175"/>
      <c r="N175"/>
    </row>
    <row r="176" spans="3:14" x14ac:dyDescent="0.2">
      <c r="C176" s="17"/>
      <c r="M176"/>
      <c r="N176"/>
    </row>
    <row r="177" spans="3:14" x14ac:dyDescent="0.2">
      <c r="C177" s="17"/>
      <c r="M177"/>
      <c r="N177"/>
    </row>
    <row r="178" spans="3:14" x14ac:dyDescent="0.2">
      <c r="C178" s="17"/>
      <c r="M178"/>
      <c r="N178"/>
    </row>
    <row r="179" spans="3:14" x14ac:dyDescent="0.2">
      <c r="C179" s="17"/>
      <c r="M179"/>
      <c r="N179"/>
    </row>
    <row r="180" spans="3:14" x14ac:dyDescent="0.2">
      <c r="C180" s="17"/>
      <c r="M180"/>
      <c r="N180"/>
    </row>
    <row r="181" spans="3:14" x14ac:dyDescent="0.2">
      <c r="C181" s="17"/>
      <c r="M181"/>
      <c r="N181"/>
    </row>
    <row r="182" spans="3:14" x14ac:dyDescent="0.2">
      <c r="C182" s="17"/>
      <c r="M182"/>
      <c r="N182"/>
    </row>
    <row r="183" spans="3:14" x14ac:dyDescent="0.2">
      <c r="C183" s="17"/>
      <c r="M183"/>
      <c r="N183"/>
    </row>
    <row r="184" spans="3:14" x14ac:dyDescent="0.2">
      <c r="C184" s="17"/>
      <c r="M184"/>
      <c r="N184"/>
    </row>
    <row r="185" spans="3:14" x14ac:dyDescent="0.2">
      <c r="C185" s="17"/>
      <c r="M185"/>
      <c r="N185"/>
    </row>
    <row r="186" spans="3:14" x14ac:dyDescent="0.2">
      <c r="C186" s="17"/>
      <c r="M186"/>
      <c r="N186"/>
    </row>
    <row r="187" spans="3:14" x14ac:dyDescent="0.2">
      <c r="C187" s="17"/>
      <c r="M187"/>
      <c r="N187"/>
    </row>
    <row r="188" spans="3:14" x14ac:dyDescent="0.2">
      <c r="C188" s="17"/>
      <c r="M188"/>
      <c r="N188"/>
    </row>
    <row r="189" spans="3:14" x14ac:dyDescent="0.2">
      <c r="C189" s="17"/>
      <c r="M189"/>
      <c r="N189"/>
    </row>
    <row r="190" spans="3:14" x14ac:dyDescent="0.2">
      <c r="C190" s="17"/>
      <c r="M190"/>
      <c r="N190"/>
    </row>
    <row r="191" spans="3:14" x14ac:dyDescent="0.2">
      <c r="C191" s="17"/>
      <c r="M191"/>
      <c r="N191"/>
    </row>
    <row r="192" spans="3:14" x14ac:dyDescent="0.2">
      <c r="C192" s="17"/>
      <c r="M192"/>
      <c r="N192"/>
    </row>
    <row r="193" spans="3:14" x14ac:dyDescent="0.2">
      <c r="C193" s="17"/>
      <c r="M193"/>
      <c r="N193"/>
    </row>
    <row r="194" spans="3:14" x14ac:dyDescent="0.2">
      <c r="C194" s="17"/>
      <c r="M194"/>
      <c r="N194"/>
    </row>
    <row r="195" spans="3:14" x14ac:dyDescent="0.2">
      <c r="C195" s="17"/>
      <c r="M195"/>
      <c r="N195"/>
    </row>
    <row r="196" spans="3:14" x14ac:dyDescent="0.2">
      <c r="C196" s="17"/>
      <c r="M196"/>
      <c r="N196"/>
    </row>
    <row r="197" spans="3:14" x14ac:dyDescent="0.2">
      <c r="C197" s="17"/>
      <c r="M197"/>
      <c r="N197"/>
    </row>
    <row r="198" spans="3:14" x14ac:dyDescent="0.2">
      <c r="C198" s="17"/>
      <c r="M198"/>
      <c r="N198"/>
    </row>
    <row r="199" spans="3:14" x14ac:dyDescent="0.2">
      <c r="C199" s="17"/>
      <c r="M199"/>
      <c r="N199"/>
    </row>
    <row r="200" spans="3:14" x14ac:dyDescent="0.2">
      <c r="C200" s="17"/>
      <c r="M200"/>
      <c r="N200"/>
    </row>
    <row r="201" spans="3:14" x14ac:dyDescent="0.2">
      <c r="C201" s="17"/>
      <c r="M201"/>
      <c r="N201"/>
    </row>
    <row r="202" spans="3:14" x14ac:dyDescent="0.2">
      <c r="C202" s="17"/>
      <c r="M202"/>
      <c r="N202"/>
    </row>
    <row r="203" spans="3:14" x14ac:dyDescent="0.2">
      <c r="C203" s="17"/>
      <c r="M203"/>
      <c r="N203"/>
    </row>
    <row r="204" spans="3:14" x14ac:dyDescent="0.2">
      <c r="C204" s="17"/>
      <c r="M204"/>
      <c r="N204"/>
    </row>
    <row r="205" spans="3:14" x14ac:dyDescent="0.2">
      <c r="C205" s="17"/>
      <c r="M205"/>
      <c r="N205"/>
    </row>
    <row r="206" spans="3:14" x14ac:dyDescent="0.2">
      <c r="C206" s="17"/>
      <c r="M206"/>
      <c r="N206"/>
    </row>
    <row r="207" spans="3:14" x14ac:dyDescent="0.2">
      <c r="C207" s="17"/>
      <c r="M207"/>
      <c r="N207"/>
    </row>
    <row r="208" spans="3:14" x14ac:dyDescent="0.2">
      <c r="C208" s="17"/>
      <c r="M208"/>
      <c r="N208"/>
    </row>
    <row r="209" spans="3:14" x14ac:dyDescent="0.2">
      <c r="C209" s="17"/>
      <c r="M209"/>
      <c r="N209"/>
    </row>
    <row r="210" spans="3:14" x14ac:dyDescent="0.2">
      <c r="C210" s="17"/>
      <c r="M210"/>
      <c r="N210"/>
    </row>
    <row r="211" spans="3:14" x14ac:dyDescent="0.2">
      <c r="C211" s="17"/>
      <c r="M211"/>
      <c r="N211"/>
    </row>
    <row r="212" spans="3:14" x14ac:dyDescent="0.2">
      <c r="C212" s="17"/>
      <c r="M212"/>
      <c r="N212"/>
    </row>
    <row r="213" spans="3:14" x14ac:dyDescent="0.2">
      <c r="C213" s="17"/>
      <c r="M213"/>
      <c r="N213"/>
    </row>
    <row r="214" spans="3:14" x14ac:dyDescent="0.2">
      <c r="C214" s="17"/>
      <c r="M214"/>
      <c r="N214"/>
    </row>
    <row r="215" spans="3:14" x14ac:dyDescent="0.2">
      <c r="C215" s="17"/>
      <c r="M215"/>
      <c r="N215"/>
    </row>
    <row r="216" spans="3:14" x14ac:dyDescent="0.2">
      <c r="C216" s="17"/>
      <c r="M216"/>
      <c r="N216"/>
    </row>
    <row r="217" spans="3:14" x14ac:dyDescent="0.2">
      <c r="C217" s="17"/>
      <c r="M217"/>
      <c r="N217"/>
    </row>
    <row r="218" spans="3:14" x14ac:dyDescent="0.2">
      <c r="C218" s="17"/>
      <c r="M218"/>
      <c r="N218"/>
    </row>
    <row r="219" spans="3:14" x14ac:dyDescent="0.2">
      <c r="C219" s="17"/>
      <c r="M219"/>
      <c r="N219"/>
    </row>
    <row r="220" spans="3:14" x14ac:dyDescent="0.2">
      <c r="C220" s="17"/>
      <c r="M220"/>
      <c r="N220"/>
    </row>
    <row r="221" spans="3:14" x14ac:dyDescent="0.2">
      <c r="C221" s="17"/>
      <c r="M221"/>
      <c r="N221"/>
    </row>
    <row r="222" spans="3:14" x14ac:dyDescent="0.2">
      <c r="C222" s="17"/>
      <c r="M222"/>
      <c r="N222"/>
    </row>
    <row r="223" spans="3:14" x14ac:dyDescent="0.2">
      <c r="C223" s="17"/>
      <c r="M223"/>
      <c r="N223"/>
    </row>
    <row r="224" spans="3:14" x14ac:dyDescent="0.2">
      <c r="C224" s="17"/>
      <c r="M224"/>
      <c r="N224"/>
    </row>
    <row r="225" spans="3:14" x14ac:dyDescent="0.2">
      <c r="C225" s="17"/>
      <c r="M225"/>
      <c r="N225"/>
    </row>
    <row r="226" spans="3:14" x14ac:dyDescent="0.2">
      <c r="C226" s="17"/>
      <c r="M226"/>
      <c r="N226"/>
    </row>
    <row r="227" spans="3:14" x14ac:dyDescent="0.2">
      <c r="C227" s="17"/>
      <c r="M227"/>
      <c r="N227"/>
    </row>
    <row r="228" spans="3:14" x14ac:dyDescent="0.2">
      <c r="C228" s="17"/>
    </row>
    <row r="229" spans="3:14" x14ac:dyDescent="0.2">
      <c r="C229" s="17"/>
    </row>
    <row r="230" spans="3:14" x14ac:dyDescent="0.2">
      <c r="C230" s="17"/>
    </row>
    <row r="231" spans="3:14" x14ac:dyDescent="0.2">
      <c r="C231" s="17"/>
    </row>
    <row r="232" spans="3:14" x14ac:dyDescent="0.2">
      <c r="C232" s="17"/>
    </row>
    <row r="233" spans="3:14" x14ac:dyDescent="0.2">
      <c r="C233" s="17"/>
    </row>
    <row r="234" spans="3:14" x14ac:dyDescent="0.2">
      <c r="C234" s="17"/>
    </row>
    <row r="235" spans="3:14" x14ac:dyDescent="0.2">
      <c r="C235" s="17"/>
    </row>
    <row r="236" spans="3:14" x14ac:dyDescent="0.2">
      <c r="C236" s="17"/>
    </row>
    <row r="237" spans="3:14" x14ac:dyDescent="0.2">
      <c r="C237" s="17"/>
    </row>
    <row r="238" spans="3:14" x14ac:dyDescent="0.2">
      <c r="C238" s="17"/>
    </row>
    <row r="239" spans="3:14" x14ac:dyDescent="0.2">
      <c r="C239" s="17"/>
    </row>
    <row r="240" spans="3:14" x14ac:dyDescent="0.2">
      <c r="C240" s="17"/>
    </row>
    <row r="241" spans="3:3" x14ac:dyDescent="0.2">
      <c r="C241" s="17"/>
    </row>
    <row r="242" spans="3:3" x14ac:dyDescent="0.2">
      <c r="C242" s="17"/>
    </row>
    <row r="243" spans="3:3" x14ac:dyDescent="0.2">
      <c r="C243" s="17"/>
    </row>
    <row r="244" spans="3:3" x14ac:dyDescent="0.2">
      <c r="C244" s="17"/>
    </row>
    <row r="245" spans="3:3" x14ac:dyDescent="0.2">
      <c r="C245" s="17"/>
    </row>
    <row r="246" spans="3:3" x14ac:dyDescent="0.2">
      <c r="C246" s="17"/>
    </row>
    <row r="247" spans="3:3" x14ac:dyDescent="0.2">
      <c r="C247" s="17"/>
    </row>
    <row r="248" spans="3:3" x14ac:dyDescent="0.2">
      <c r="C248" s="17"/>
    </row>
    <row r="249" spans="3:3" x14ac:dyDescent="0.2">
      <c r="C249" s="17"/>
    </row>
    <row r="250" spans="3:3" x14ac:dyDescent="0.2">
      <c r="C250" s="17"/>
    </row>
    <row r="251" spans="3:3" x14ac:dyDescent="0.2">
      <c r="C251" s="17"/>
    </row>
    <row r="252" spans="3:3" x14ac:dyDescent="0.2">
      <c r="C252" s="17"/>
    </row>
    <row r="253" spans="3:3" x14ac:dyDescent="0.2">
      <c r="C253" s="17"/>
    </row>
    <row r="254" spans="3:3" x14ac:dyDescent="0.2">
      <c r="C254" s="17"/>
    </row>
    <row r="255" spans="3:3" x14ac:dyDescent="0.2">
      <c r="C255" s="17"/>
    </row>
    <row r="256" spans="3:3" x14ac:dyDescent="0.2">
      <c r="C256" s="17"/>
    </row>
    <row r="257" spans="3:3" x14ac:dyDescent="0.2">
      <c r="C257" s="17"/>
    </row>
    <row r="258" spans="3:3" x14ac:dyDescent="0.2">
      <c r="C258" s="17"/>
    </row>
    <row r="259" spans="3:3" x14ac:dyDescent="0.2">
      <c r="C259" s="17"/>
    </row>
    <row r="260" spans="3:3" x14ac:dyDescent="0.2">
      <c r="C260" s="17"/>
    </row>
    <row r="261" spans="3:3" x14ac:dyDescent="0.2">
      <c r="C261" s="17"/>
    </row>
    <row r="262" spans="3:3" x14ac:dyDescent="0.2">
      <c r="C262" s="17"/>
    </row>
    <row r="263" spans="3:3" x14ac:dyDescent="0.2">
      <c r="C263" s="17"/>
    </row>
    <row r="264" spans="3:3" x14ac:dyDescent="0.2">
      <c r="C264" s="17"/>
    </row>
    <row r="265" spans="3:3" x14ac:dyDescent="0.2">
      <c r="C265" s="17"/>
    </row>
    <row r="266" spans="3:3" x14ac:dyDescent="0.2">
      <c r="C266" s="17"/>
    </row>
    <row r="267" spans="3:3" x14ac:dyDescent="0.2">
      <c r="C267" s="17"/>
    </row>
    <row r="268" spans="3:3" x14ac:dyDescent="0.2">
      <c r="C268" s="17"/>
    </row>
    <row r="269" spans="3:3" x14ac:dyDescent="0.2">
      <c r="C269" s="17"/>
    </row>
    <row r="270" spans="3:3" x14ac:dyDescent="0.2">
      <c r="C270" s="17"/>
    </row>
    <row r="271" spans="3:3" x14ac:dyDescent="0.2">
      <c r="C271" s="17"/>
    </row>
    <row r="272" spans="3:3" x14ac:dyDescent="0.2">
      <c r="C272" s="17"/>
    </row>
    <row r="273" spans="3:3" x14ac:dyDescent="0.2">
      <c r="C273" s="17"/>
    </row>
    <row r="274" spans="3:3" x14ac:dyDescent="0.2">
      <c r="C274" s="17"/>
    </row>
    <row r="275" spans="3:3" x14ac:dyDescent="0.2">
      <c r="C275" s="17"/>
    </row>
    <row r="276" spans="3:3" x14ac:dyDescent="0.2">
      <c r="C276" s="17"/>
    </row>
    <row r="277" spans="3:3" x14ac:dyDescent="0.2">
      <c r="C277" s="17"/>
    </row>
    <row r="278" spans="3:3" x14ac:dyDescent="0.2">
      <c r="C278" s="17"/>
    </row>
    <row r="279" spans="3:3" x14ac:dyDescent="0.2">
      <c r="C279" s="17"/>
    </row>
    <row r="280" spans="3:3" x14ac:dyDescent="0.2">
      <c r="C280" s="17"/>
    </row>
    <row r="281" spans="3:3" x14ac:dyDescent="0.2">
      <c r="C281" s="17"/>
    </row>
    <row r="282" spans="3:3" x14ac:dyDescent="0.2">
      <c r="C282" s="17"/>
    </row>
    <row r="283" spans="3:3" x14ac:dyDescent="0.2">
      <c r="C283" s="17"/>
    </row>
    <row r="284" spans="3:3" x14ac:dyDescent="0.2">
      <c r="C284" s="17"/>
    </row>
    <row r="285" spans="3:3" x14ac:dyDescent="0.2">
      <c r="C285" s="17"/>
    </row>
    <row r="286" spans="3:3" x14ac:dyDescent="0.2">
      <c r="C286" s="17"/>
    </row>
    <row r="287" spans="3:3" x14ac:dyDescent="0.2">
      <c r="C287" s="17"/>
    </row>
    <row r="288" spans="3:3" x14ac:dyDescent="0.2">
      <c r="C288" s="17"/>
    </row>
    <row r="289" spans="3:3" x14ac:dyDescent="0.2">
      <c r="C289" s="17"/>
    </row>
    <row r="290" spans="3:3" x14ac:dyDescent="0.2">
      <c r="C290" s="17"/>
    </row>
    <row r="291" spans="3:3" x14ac:dyDescent="0.2">
      <c r="C291" s="17"/>
    </row>
    <row r="292" spans="3:3" x14ac:dyDescent="0.2">
      <c r="C292" s="17"/>
    </row>
    <row r="293" spans="3:3" x14ac:dyDescent="0.2">
      <c r="C293" s="17"/>
    </row>
    <row r="294" spans="3:3" x14ac:dyDescent="0.2">
      <c r="C294" s="17"/>
    </row>
    <row r="295" spans="3:3" x14ac:dyDescent="0.2">
      <c r="C295" s="17"/>
    </row>
    <row r="296" spans="3:3" x14ac:dyDescent="0.2">
      <c r="C296" s="17"/>
    </row>
    <row r="297" spans="3:3" x14ac:dyDescent="0.2">
      <c r="C297" s="17"/>
    </row>
    <row r="298" spans="3:3" x14ac:dyDescent="0.2">
      <c r="C298" s="17"/>
    </row>
    <row r="299" spans="3:3" x14ac:dyDescent="0.2">
      <c r="C299" s="17"/>
    </row>
    <row r="300" spans="3:3" x14ac:dyDescent="0.2">
      <c r="C300" s="17"/>
    </row>
    <row r="301" spans="3:3" x14ac:dyDescent="0.2">
      <c r="C301" s="17"/>
    </row>
    <row r="302" spans="3:3" x14ac:dyDescent="0.2">
      <c r="C302" s="17"/>
    </row>
    <row r="303" spans="3:3" x14ac:dyDescent="0.2">
      <c r="C303" s="17"/>
    </row>
    <row r="304" spans="3:3" x14ac:dyDescent="0.2">
      <c r="C304" s="17"/>
    </row>
    <row r="305" spans="3:3" x14ac:dyDescent="0.2">
      <c r="C305" s="17"/>
    </row>
    <row r="306" spans="3:3" x14ac:dyDescent="0.2">
      <c r="C306" s="17"/>
    </row>
    <row r="307" spans="3:3" x14ac:dyDescent="0.2">
      <c r="C307" s="17"/>
    </row>
    <row r="308" spans="3:3" x14ac:dyDescent="0.2">
      <c r="C308" s="17"/>
    </row>
    <row r="309" spans="3:3" x14ac:dyDescent="0.2">
      <c r="C309" s="17"/>
    </row>
    <row r="310" spans="3:3" x14ac:dyDescent="0.2">
      <c r="C310" s="17"/>
    </row>
    <row r="311" spans="3:3" x14ac:dyDescent="0.2">
      <c r="C311" s="17"/>
    </row>
    <row r="312" spans="3:3" x14ac:dyDescent="0.2">
      <c r="C312" s="17"/>
    </row>
    <row r="313" spans="3:3" x14ac:dyDescent="0.2">
      <c r="C313" s="17"/>
    </row>
    <row r="314" spans="3:3" x14ac:dyDescent="0.2">
      <c r="C314" s="17"/>
    </row>
    <row r="315" spans="3:3" x14ac:dyDescent="0.2">
      <c r="C315" s="17"/>
    </row>
    <row r="316" spans="3:3" x14ac:dyDescent="0.2">
      <c r="C316" s="17"/>
    </row>
    <row r="317" spans="3:3" x14ac:dyDescent="0.2">
      <c r="C317" s="17"/>
    </row>
    <row r="318" spans="3:3" x14ac:dyDescent="0.2">
      <c r="C318" s="17"/>
    </row>
    <row r="319" spans="3:3" x14ac:dyDescent="0.2">
      <c r="C319" s="17"/>
    </row>
    <row r="320" spans="3:3" x14ac:dyDescent="0.2">
      <c r="C320" s="17"/>
    </row>
    <row r="321" spans="3:3" x14ac:dyDescent="0.2">
      <c r="C321" s="17"/>
    </row>
    <row r="322" spans="3:3" x14ac:dyDescent="0.2">
      <c r="C322" s="17"/>
    </row>
    <row r="323" spans="3:3" x14ac:dyDescent="0.2">
      <c r="C323" s="17"/>
    </row>
    <row r="324" spans="3:3" x14ac:dyDescent="0.2">
      <c r="C324" s="17"/>
    </row>
    <row r="325" spans="3:3" x14ac:dyDescent="0.2">
      <c r="C325" s="17"/>
    </row>
    <row r="326" spans="3:3" x14ac:dyDescent="0.2">
      <c r="C326" s="17"/>
    </row>
    <row r="327" spans="3:3" x14ac:dyDescent="0.2">
      <c r="C327" s="17"/>
    </row>
    <row r="328" spans="3:3" x14ac:dyDescent="0.2">
      <c r="C328" s="17"/>
    </row>
    <row r="329" spans="3:3" x14ac:dyDescent="0.2">
      <c r="C329" s="17"/>
    </row>
    <row r="330" spans="3:3" x14ac:dyDescent="0.2">
      <c r="C330" s="17"/>
    </row>
    <row r="331" spans="3:3" x14ac:dyDescent="0.2">
      <c r="C331" s="17"/>
    </row>
    <row r="332" spans="3:3" x14ac:dyDescent="0.2">
      <c r="C332" s="17"/>
    </row>
    <row r="333" spans="3:3" x14ac:dyDescent="0.2">
      <c r="C333" s="17"/>
    </row>
    <row r="334" spans="3:3" x14ac:dyDescent="0.2">
      <c r="C334" s="17"/>
    </row>
    <row r="335" spans="3:3" x14ac:dyDescent="0.2">
      <c r="C335" s="17"/>
    </row>
    <row r="336" spans="3:3" x14ac:dyDescent="0.2">
      <c r="C336" s="17"/>
    </row>
    <row r="337" spans="3:3" x14ac:dyDescent="0.2">
      <c r="C337" s="17"/>
    </row>
    <row r="338" spans="3:3" x14ac:dyDescent="0.2">
      <c r="C338" s="17"/>
    </row>
    <row r="339" spans="3:3" x14ac:dyDescent="0.2">
      <c r="C339" s="17"/>
    </row>
    <row r="340" spans="3:3" x14ac:dyDescent="0.2">
      <c r="C340" s="17"/>
    </row>
    <row r="341" spans="3:3" x14ac:dyDescent="0.2">
      <c r="C341" s="17"/>
    </row>
    <row r="342" spans="3:3" x14ac:dyDescent="0.2">
      <c r="C342" s="17"/>
    </row>
    <row r="343" spans="3:3" x14ac:dyDescent="0.2">
      <c r="C343" s="17"/>
    </row>
    <row r="344" spans="3:3" x14ac:dyDescent="0.2">
      <c r="C344" s="17"/>
    </row>
    <row r="345" spans="3:3" x14ac:dyDescent="0.2">
      <c r="C345" s="17"/>
    </row>
    <row r="346" spans="3:3" x14ac:dyDescent="0.2">
      <c r="C346" s="17"/>
    </row>
    <row r="347" spans="3:3" x14ac:dyDescent="0.2">
      <c r="C347" s="17"/>
    </row>
    <row r="348" spans="3:3" x14ac:dyDescent="0.2">
      <c r="C348" s="17"/>
    </row>
    <row r="349" spans="3:3" x14ac:dyDescent="0.2">
      <c r="C349" s="17"/>
    </row>
    <row r="350" spans="3:3" x14ac:dyDescent="0.2">
      <c r="C350" s="17"/>
    </row>
    <row r="351" spans="3:3" x14ac:dyDescent="0.2">
      <c r="C351" s="17"/>
    </row>
    <row r="352" spans="3:3" x14ac:dyDescent="0.2">
      <c r="C352" s="17"/>
    </row>
    <row r="353" spans="3:3" x14ac:dyDescent="0.2">
      <c r="C353" s="17"/>
    </row>
    <row r="354" spans="3:3" x14ac:dyDescent="0.2">
      <c r="C354" s="17"/>
    </row>
    <row r="355" spans="3:3" x14ac:dyDescent="0.2">
      <c r="C355" s="17"/>
    </row>
    <row r="356" spans="3:3" x14ac:dyDescent="0.2">
      <c r="C356" s="17"/>
    </row>
    <row r="357" spans="3:3" x14ac:dyDescent="0.2">
      <c r="C357" s="17"/>
    </row>
    <row r="358" spans="3:3" x14ac:dyDescent="0.2">
      <c r="C358" s="17"/>
    </row>
    <row r="359" spans="3:3" x14ac:dyDescent="0.2">
      <c r="C359" s="17"/>
    </row>
    <row r="360" spans="3:3" x14ac:dyDescent="0.2">
      <c r="C360" s="17"/>
    </row>
    <row r="361" spans="3:3" x14ac:dyDescent="0.2">
      <c r="C361" s="17"/>
    </row>
    <row r="362" spans="3:3" x14ac:dyDescent="0.2">
      <c r="C362" s="17"/>
    </row>
    <row r="363" spans="3:3" x14ac:dyDescent="0.2">
      <c r="C363" s="17"/>
    </row>
    <row r="364" spans="3:3" x14ac:dyDescent="0.2">
      <c r="C364" s="17"/>
    </row>
    <row r="365" spans="3:3" x14ac:dyDescent="0.2">
      <c r="C365" s="17"/>
    </row>
    <row r="366" spans="3:3" x14ac:dyDescent="0.2">
      <c r="C366" s="17"/>
    </row>
    <row r="367" spans="3:3" x14ac:dyDescent="0.2">
      <c r="C367" s="17"/>
    </row>
    <row r="368" spans="3:3" x14ac:dyDescent="0.2">
      <c r="C368" s="17"/>
    </row>
    <row r="369" spans="3:3" x14ac:dyDescent="0.2">
      <c r="C369" s="17"/>
    </row>
    <row r="370" spans="3:3" x14ac:dyDescent="0.2">
      <c r="C370" s="17"/>
    </row>
    <row r="371" spans="3:3" x14ac:dyDescent="0.2">
      <c r="C371" s="17"/>
    </row>
    <row r="372" spans="3:3" x14ac:dyDescent="0.2">
      <c r="C372" s="17"/>
    </row>
    <row r="373" spans="3:3" x14ac:dyDescent="0.2">
      <c r="C373" s="17"/>
    </row>
    <row r="374" spans="3:3" x14ac:dyDescent="0.2">
      <c r="C374" s="17"/>
    </row>
    <row r="375" spans="3:3" x14ac:dyDescent="0.2">
      <c r="C375" s="17"/>
    </row>
    <row r="376" spans="3:3" x14ac:dyDescent="0.2">
      <c r="C376" s="17"/>
    </row>
    <row r="377" spans="3:3" x14ac:dyDescent="0.2">
      <c r="C377" s="17"/>
    </row>
    <row r="378" spans="3:3" x14ac:dyDescent="0.2">
      <c r="C378" s="17"/>
    </row>
    <row r="379" spans="3:3" x14ac:dyDescent="0.2">
      <c r="C379" s="17"/>
    </row>
    <row r="380" spans="3:3" x14ac:dyDescent="0.2">
      <c r="C380" s="17"/>
    </row>
    <row r="381" spans="3:3" x14ac:dyDescent="0.2">
      <c r="C381" s="17"/>
    </row>
    <row r="382" spans="3:3" x14ac:dyDescent="0.2">
      <c r="C382" s="17"/>
    </row>
    <row r="383" spans="3:3" x14ac:dyDescent="0.2">
      <c r="C383" s="17"/>
    </row>
    <row r="384" spans="3:3" x14ac:dyDescent="0.2">
      <c r="C384" s="17"/>
    </row>
    <row r="385" spans="3:3" x14ac:dyDescent="0.2">
      <c r="C385" s="17"/>
    </row>
    <row r="386" spans="3:3" x14ac:dyDescent="0.2">
      <c r="C386" s="17"/>
    </row>
    <row r="387" spans="3:3" x14ac:dyDescent="0.2">
      <c r="C387" s="17"/>
    </row>
    <row r="388" spans="3:3" x14ac:dyDescent="0.2">
      <c r="C388" s="17"/>
    </row>
    <row r="389" spans="3:3" x14ac:dyDescent="0.2">
      <c r="C389" s="17"/>
    </row>
    <row r="390" spans="3:3" x14ac:dyDescent="0.2">
      <c r="C390" s="17"/>
    </row>
    <row r="391" spans="3:3" x14ac:dyDescent="0.2">
      <c r="C391" s="17"/>
    </row>
    <row r="392" spans="3:3" x14ac:dyDescent="0.2">
      <c r="C392" s="17"/>
    </row>
    <row r="393" spans="3:3" x14ac:dyDescent="0.2">
      <c r="C393" s="17"/>
    </row>
    <row r="394" spans="3:3" x14ac:dyDescent="0.2">
      <c r="C394" s="17"/>
    </row>
    <row r="395" spans="3:3" x14ac:dyDescent="0.2">
      <c r="C395" s="17"/>
    </row>
    <row r="396" spans="3:3" x14ac:dyDescent="0.2">
      <c r="C396" s="17"/>
    </row>
    <row r="397" spans="3:3" x14ac:dyDescent="0.2">
      <c r="C397" s="17"/>
    </row>
    <row r="398" spans="3:3" x14ac:dyDescent="0.2">
      <c r="C398" s="17"/>
    </row>
    <row r="399" spans="3:3" x14ac:dyDescent="0.2">
      <c r="C399" s="17"/>
    </row>
    <row r="400" spans="3:3" x14ac:dyDescent="0.2">
      <c r="C400" s="17"/>
    </row>
    <row r="401" spans="3:3" x14ac:dyDescent="0.2">
      <c r="C401" s="17"/>
    </row>
    <row r="402" spans="3:3" x14ac:dyDescent="0.2">
      <c r="C402" s="17"/>
    </row>
    <row r="403" spans="3:3" x14ac:dyDescent="0.2">
      <c r="C403" s="17"/>
    </row>
    <row r="404" spans="3:3" x14ac:dyDescent="0.2">
      <c r="C404" s="17"/>
    </row>
    <row r="405" spans="3:3" x14ac:dyDescent="0.2">
      <c r="C405" s="17"/>
    </row>
    <row r="406" spans="3:3" x14ac:dyDescent="0.2">
      <c r="C406" s="17"/>
    </row>
    <row r="407" spans="3:3" x14ac:dyDescent="0.2">
      <c r="C407" s="17"/>
    </row>
    <row r="408" spans="3:3" x14ac:dyDescent="0.2">
      <c r="C408" s="17"/>
    </row>
    <row r="409" spans="3:3" x14ac:dyDescent="0.2">
      <c r="C409" s="17"/>
    </row>
    <row r="410" spans="3:3" x14ac:dyDescent="0.2">
      <c r="C410" s="17"/>
    </row>
    <row r="411" spans="3:3" x14ac:dyDescent="0.2">
      <c r="C411" s="17"/>
    </row>
    <row r="412" spans="3:3" x14ac:dyDescent="0.2">
      <c r="C412" s="17"/>
    </row>
    <row r="413" spans="3:3" x14ac:dyDescent="0.2">
      <c r="C413" s="17"/>
    </row>
    <row r="414" spans="3:3" x14ac:dyDescent="0.2">
      <c r="C414" s="17"/>
    </row>
    <row r="415" spans="3:3" x14ac:dyDescent="0.2">
      <c r="C415" s="17"/>
    </row>
    <row r="416" spans="3:3" x14ac:dyDescent="0.2">
      <c r="C416" s="17"/>
    </row>
    <row r="417" spans="3:3" x14ac:dyDescent="0.2">
      <c r="C417" s="17"/>
    </row>
    <row r="418" spans="3:3" x14ac:dyDescent="0.2">
      <c r="C418" s="17"/>
    </row>
    <row r="419" spans="3:3" x14ac:dyDescent="0.2">
      <c r="C419" s="17"/>
    </row>
    <row r="420" spans="3:3" x14ac:dyDescent="0.2">
      <c r="C420" s="17"/>
    </row>
    <row r="421" spans="3:3" x14ac:dyDescent="0.2">
      <c r="C421" s="17"/>
    </row>
    <row r="422" spans="3:3" x14ac:dyDescent="0.2">
      <c r="C422" s="17"/>
    </row>
    <row r="423" spans="3:3" x14ac:dyDescent="0.2">
      <c r="C423" s="17"/>
    </row>
    <row r="424" spans="3:3" x14ac:dyDescent="0.2">
      <c r="C424" s="17"/>
    </row>
    <row r="425" spans="3:3" x14ac:dyDescent="0.2">
      <c r="C425" s="17"/>
    </row>
    <row r="426" spans="3:3" x14ac:dyDescent="0.2">
      <c r="C426" s="17"/>
    </row>
    <row r="427" spans="3:3" x14ac:dyDescent="0.2">
      <c r="C427" s="17"/>
    </row>
    <row r="428" spans="3:3" x14ac:dyDescent="0.2">
      <c r="C428" s="17"/>
    </row>
    <row r="429" spans="3:3" x14ac:dyDescent="0.2">
      <c r="C429" s="17"/>
    </row>
    <row r="430" spans="3:3" x14ac:dyDescent="0.2">
      <c r="C430" s="17"/>
    </row>
    <row r="431" spans="3:3" x14ac:dyDescent="0.2">
      <c r="C431" s="17"/>
    </row>
    <row r="432" spans="3:3" x14ac:dyDescent="0.2">
      <c r="C432" s="17"/>
    </row>
    <row r="433" spans="3:3" x14ac:dyDescent="0.2">
      <c r="C433" s="17"/>
    </row>
    <row r="434" spans="3:3" x14ac:dyDescent="0.2">
      <c r="C434" s="17"/>
    </row>
    <row r="435" spans="3:3" x14ac:dyDescent="0.2">
      <c r="C435" s="17"/>
    </row>
    <row r="436" spans="3:3" x14ac:dyDescent="0.2">
      <c r="C436" s="17"/>
    </row>
    <row r="437" spans="3:3" x14ac:dyDescent="0.2">
      <c r="C437" s="17"/>
    </row>
    <row r="438" spans="3:3" x14ac:dyDescent="0.2">
      <c r="C438" s="17"/>
    </row>
    <row r="439" spans="3:3" x14ac:dyDescent="0.2">
      <c r="C439" s="17"/>
    </row>
    <row r="440" spans="3:3" x14ac:dyDescent="0.2">
      <c r="C440" s="17"/>
    </row>
    <row r="441" spans="3:3" x14ac:dyDescent="0.2">
      <c r="C441" s="17"/>
    </row>
    <row r="442" spans="3:3" x14ac:dyDescent="0.2">
      <c r="C442" s="17"/>
    </row>
    <row r="443" spans="3:3" x14ac:dyDescent="0.2">
      <c r="C443" s="17"/>
    </row>
    <row r="444" spans="3:3" x14ac:dyDescent="0.2">
      <c r="C444" s="17"/>
    </row>
    <row r="445" spans="3:3" x14ac:dyDescent="0.2">
      <c r="C445" s="17"/>
    </row>
    <row r="446" spans="3:3" x14ac:dyDescent="0.2">
      <c r="C446" s="17"/>
    </row>
    <row r="447" spans="3:3" x14ac:dyDescent="0.2">
      <c r="C447" s="17"/>
    </row>
    <row r="448" spans="3:3" x14ac:dyDescent="0.2">
      <c r="C448" s="17"/>
    </row>
    <row r="449" spans="3:3" x14ac:dyDescent="0.2">
      <c r="C449" s="17"/>
    </row>
    <row r="450" spans="3:3" x14ac:dyDescent="0.2">
      <c r="C450" s="17"/>
    </row>
    <row r="451" spans="3:3" x14ac:dyDescent="0.2">
      <c r="C451" s="17"/>
    </row>
    <row r="452" spans="3:3" x14ac:dyDescent="0.2">
      <c r="C452" s="17"/>
    </row>
    <row r="453" spans="3:3" x14ac:dyDescent="0.2">
      <c r="C453" s="17"/>
    </row>
    <row r="454" spans="3:3" x14ac:dyDescent="0.2">
      <c r="C454" s="17"/>
    </row>
    <row r="455" spans="3:3" x14ac:dyDescent="0.2">
      <c r="C455" s="17"/>
    </row>
    <row r="456" spans="3:3" x14ac:dyDescent="0.2">
      <c r="C456" s="17"/>
    </row>
    <row r="457" spans="3:3" x14ac:dyDescent="0.2">
      <c r="C457" s="17"/>
    </row>
    <row r="458" spans="3:3" x14ac:dyDescent="0.2">
      <c r="C458" s="17"/>
    </row>
    <row r="459" spans="3:3" x14ac:dyDescent="0.2">
      <c r="C459" s="17"/>
    </row>
    <row r="460" spans="3:3" x14ac:dyDescent="0.2">
      <c r="C460" s="17"/>
    </row>
    <row r="461" spans="3:3" x14ac:dyDescent="0.2">
      <c r="C461" s="17"/>
    </row>
    <row r="462" spans="3:3" x14ac:dyDescent="0.2">
      <c r="C462" s="17"/>
    </row>
    <row r="463" spans="3:3" x14ac:dyDescent="0.2">
      <c r="C463" s="17"/>
    </row>
    <row r="464" spans="3:3" x14ac:dyDescent="0.2">
      <c r="C464" s="17"/>
    </row>
    <row r="465" spans="3:3" x14ac:dyDescent="0.2">
      <c r="C465" s="17"/>
    </row>
    <row r="466" spans="3:3" x14ac:dyDescent="0.2">
      <c r="C466" s="17"/>
    </row>
    <row r="467" spans="3:3" x14ac:dyDescent="0.2">
      <c r="C467" s="17"/>
    </row>
    <row r="468" spans="3:3" x14ac:dyDescent="0.2">
      <c r="C468" s="17"/>
    </row>
    <row r="469" spans="3:3" x14ac:dyDescent="0.2">
      <c r="C469" s="17"/>
    </row>
    <row r="470" spans="3:3" x14ac:dyDescent="0.2">
      <c r="C470" s="17"/>
    </row>
    <row r="471" spans="3:3" x14ac:dyDescent="0.2">
      <c r="C471" s="17"/>
    </row>
    <row r="472" spans="3:3" x14ac:dyDescent="0.2">
      <c r="C472" s="17"/>
    </row>
    <row r="473" spans="3:3" x14ac:dyDescent="0.2">
      <c r="C473" s="17"/>
    </row>
    <row r="474" spans="3:3" x14ac:dyDescent="0.2">
      <c r="C474" s="17"/>
    </row>
    <row r="475" spans="3:3" x14ac:dyDescent="0.2">
      <c r="C475" s="17"/>
    </row>
    <row r="476" spans="3:3" x14ac:dyDescent="0.2">
      <c r="C476" s="17"/>
    </row>
    <row r="477" spans="3:3" x14ac:dyDescent="0.2">
      <c r="C477" s="17"/>
    </row>
    <row r="478" spans="3:3" x14ac:dyDescent="0.2">
      <c r="C478" s="17"/>
    </row>
    <row r="479" spans="3:3" x14ac:dyDescent="0.2">
      <c r="C479" s="17"/>
    </row>
    <row r="480" spans="3:3" x14ac:dyDescent="0.2">
      <c r="C480" s="17"/>
    </row>
    <row r="481" spans="3:3" x14ac:dyDescent="0.2">
      <c r="C481" s="17"/>
    </row>
    <row r="482" spans="3:3" x14ac:dyDescent="0.2">
      <c r="C482" s="17"/>
    </row>
    <row r="483" spans="3:3" x14ac:dyDescent="0.2">
      <c r="C483" s="17"/>
    </row>
    <row r="484" spans="3:3" x14ac:dyDescent="0.2">
      <c r="C484" s="17"/>
    </row>
    <row r="485" spans="3:3" x14ac:dyDescent="0.2">
      <c r="C485" s="17"/>
    </row>
    <row r="486" spans="3:3" x14ac:dyDescent="0.2">
      <c r="C486" s="17"/>
    </row>
    <row r="487" spans="3:3" x14ac:dyDescent="0.2">
      <c r="C487" s="17"/>
    </row>
    <row r="488" spans="3:3" x14ac:dyDescent="0.2">
      <c r="C488" s="17"/>
    </row>
    <row r="489" spans="3:3" x14ac:dyDescent="0.2">
      <c r="C489" s="17"/>
    </row>
    <row r="490" spans="3:3" x14ac:dyDescent="0.2">
      <c r="C490" s="17"/>
    </row>
    <row r="491" spans="3:3" x14ac:dyDescent="0.2">
      <c r="C491" s="17"/>
    </row>
    <row r="492" spans="3:3" x14ac:dyDescent="0.2">
      <c r="C492" s="17"/>
    </row>
    <row r="493" spans="3:3" x14ac:dyDescent="0.2">
      <c r="C493" s="17"/>
    </row>
    <row r="494" spans="3:3" x14ac:dyDescent="0.2">
      <c r="C494" s="17"/>
    </row>
    <row r="495" spans="3:3" x14ac:dyDescent="0.2">
      <c r="C495" s="17"/>
    </row>
    <row r="496" spans="3:3" x14ac:dyDescent="0.2">
      <c r="C496" s="17"/>
    </row>
    <row r="497" spans="3:3" x14ac:dyDescent="0.2">
      <c r="C497" s="17"/>
    </row>
    <row r="498" spans="3:3" x14ac:dyDescent="0.2">
      <c r="C498" s="17"/>
    </row>
    <row r="499" spans="3:3" x14ac:dyDescent="0.2">
      <c r="C499" s="17"/>
    </row>
    <row r="500" spans="3:3" x14ac:dyDescent="0.2">
      <c r="C500" s="17"/>
    </row>
    <row r="501" spans="3:3" x14ac:dyDescent="0.2">
      <c r="C501" s="17"/>
    </row>
    <row r="502" spans="3:3" x14ac:dyDescent="0.2">
      <c r="C502" s="17"/>
    </row>
    <row r="503" spans="3:3" x14ac:dyDescent="0.2">
      <c r="C503" s="17"/>
    </row>
    <row r="504" spans="3:3" x14ac:dyDescent="0.2">
      <c r="C504" s="17"/>
    </row>
    <row r="505" spans="3:3" x14ac:dyDescent="0.2">
      <c r="C505" s="17"/>
    </row>
    <row r="506" spans="3:3" x14ac:dyDescent="0.2">
      <c r="C506" s="17"/>
    </row>
    <row r="507" spans="3:3" x14ac:dyDescent="0.2">
      <c r="C507" s="17"/>
    </row>
    <row r="508" spans="3:3" x14ac:dyDescent="0.2">
      <c r="C508" s="17"/>
    </row>
    <row r="509" spans="3:3" x14ac:dyDescent="0.2">
      <c r="C509" s="17"/>
    </row>
    <row r="510" spans="3:3" x14ac:dyDescent="0.2">
      <c r="C510" s="17"/>
    </row>
    <row r="511" spans="3:3" x14ac:dyDescent="0.2">
      <c r="C511" s="17"/>
    </row>
    <row r="512" spans="3:3" x14ac:dyDescent="0.2">
      <c r="C512" s="17"/>
    </row>
    <row r="513" spans="3:3" x14ac:dyDescent="0.2">
      <c r="C513" s="17"/>
    </row>
    <row r="514" spans="3:3" x14ac:dyDescent="0.2">
      <c r="C514" s="17"/>
    </row>
    <row r="515" spans="3:3" x14ac:dyDescent="0.2">
      <c r="C515" s="17"/>
    </row>
    <row r="516" spans="3:3" x14ac:dyDescent="0.2">
      <c r="C516" s="17"/>
    </row>
    <row r="517" spans="3:3" x14ac:dyDescent="0.2">
      <c r="C517" s="17"/>
    </row>
    <row r="518" spans="3:3" x14ac:dyDescent="0.2">
      <c r="C518" s="17"/>
    </row>
    <row r="519" spans="3:3" x14ac:dyDescent="0.2">
      <c r="C519" s="17"/>
    </row>
    <row r="520" spans="3:3" x14ac:dyDescent="0.2">
      <c r="C520" s="17"/>
    </row>
    <row r="521" spans="3:3" x14ac:dyDescent="0.2">
      <c r="C521" s="17"/>
    </row>
    <row r="522" spans="3:3" x14ac:dyDescent="0.2">
      <c r="C522" s="17"/>
    </row>
    <row r="523" spans="3:3" x14ac:dyDescent="0.2">
      <c r="C523" s="17"/>
    </row>
    <row r="524" spans="3:3" x14ac:dyDescent="0.2">
      <c r="C524" s="17"/>
    </row>
    <row r="525" spans="3:3" x14ac:dyDescent="0.2">
      <c r="C525" s="17"/>
    </row>
    <row r="526" spans="3:3" x14ac:dyDescent="0.2">
      <c r="C526" s="17"/>
    </row>
    <row r="527" spans="3:3" x14ac:dyDescent="0.2">
      <c r="C527" s="17"/>
    </row>
    <row r="528" spans="3:3" x14ac:dyDescent="0.2">
      <c r="C528" s="17"/>
    </row>
    <row r="529" spans="3:3" x14ac:dyDescent="0.2">
      <c r="C529" s="17"/>
    </row>
    <row r="530" spans="3:3" x14ac:dyDescent="0.2">
      <c r="C530" s="17"/>
    </row>
    <row r="531" spans="3:3" x14ac:dyDescent="0.2">
      <c r="C531" s="17"/>
    </row>
    <row r="532" spans="3:3" x14ac:dyDescent="0.2">
      <c r="C532" s="17"/>
    </row>
    <row r="533" spans="3:3" x14ac:dyDescent="0.2">
      <c r="C533" s="17"/>
    </row>
    <row r="534" spans="3:3" x14ac:dyDescent="0.2">
      <c r="C534" s="17"/>
    </row>
    <row r="535" spans="3:3" x14ac:dyDescent="0.2">
      <c r="C535" s="17"/>
    </row>
    <row r="536" spans="3:3" x14ac:dyDescent="0.2">
      <c r="C536" s="17"/>
    </row>
    <row r="537" spans="3:3" x14ac:dyDescent="0.2">
      <c r="C537" s="17"/>
    </row>
    <row r="538" spans="3:3" x14ac:dyDescent="0.2">
      <c r="C538" s="17"/>
    </row>
    <row r="539" spans="3:3" x14ac:dyDescent="0.2">
      <c r="C539" s="17"/>
    </row>
    <row r="540" spans="3:3" x14ac:dyDescent="0.2">
      <c r="C540" s="17"/>
    </row>
    <row r="541" spans="3:3" x14ac:dyDescent="0.2">
      <c r="C541" s="17"/>
    </row>
    <row r="542" spans="3:3" x14ac:dyDescent="0.2">
      <c r="C542" s="17"/>
    </row>
    <row r="543" spans="3:3" x14ac:dyDescent="0.2">
      <c r="C543" s="17"/>
    </row>
    <row r="544" spans="3:3" x14ac:dyDescent="0.2">
      <c r="C544" s="17"/>
    </row>
    <row r="545" spans="3:3" x14ac:dyDescent="0.2">
      <c r="C545" s="17"/>
    </row>
    <row r="546" spans="3:3" x14ac:dyDescent="0.2">
      <c r="C546" s="17"/>
    </row>
    <row r="547" spans="3:3" x14ac:dyDescent="0.2">
      <c r="C547" s="17"/>
    </row>
    <row r="548" spans="3:3" x14ac:dyDescent="0.2">
      <c r="C548" s="17"/>
    </row>
    <row r="549" spans="3:3" x14ac:dyDescent="0.2">
      <c r="C549" s="17"/>
    </row>
    <row r="550" spans="3:3" x14ac:dyDescent="0.2">
      <c r="C550" s="17"/>
    </row>
    <row r="551" spans="3:3" x14ac:dyDescent="0.2">
      <c r="C551" s="17"/>
    </row>
    <row r="552" spans="3:3" x14ac:dyDescent="0.2">
      <c r="C552" s="17"/>
    </row>
    <row r="553" spans="3:3" x14ac:dyDescent="0.2">
      <c r="C553" s="17"/>
    </row>
    <row r="554" spans="3:3" x14ac:dyDescent="0.2">
      <c r="C554" s="17"/>
    </row>
    <row r="555" spans="3:3" x14ac:dyDescent="0.2">
      <c r="C555" s="17"/>
    </row>
    <row r="556" spans="3:3" x14ac:dyDescent="0.2">
      <c r="C556" s="17"/>
    </row>
    <row r="557" spans="3:3" x14ac:dyDescent="0.2">
      <c r="C557" s="17"/>
    </row>
    <row r="558" spans="3:3" x14ac:dyDescent="0.2">
      <c r="C558" s="17"/>
    </row>
    <row r="559" spans="3:3" x14ac:dyDescent="0.2">
      <c r="C559" s="17"/>
    </row>
    <row r="560" spans="3:3" x14ac:dyDescent="0.2">
      <c r="C560" s="17"/>
    </row>
    <row r="561" spans="3:3" x14ac:dyDescent="0.2">
      <c r="C561" s="17"/>
    </row>
    <row r="562" spans="3:3" x14ac:dyDescent="0.2">
      <c r="C562" s="17"/>
    </row>
    <row r="563" spans="3:3" x14ac:dyDescent="0.2">
      <c r="C563" s="17"/>
    </row>
    <row r="564" spans="3:3" x14ac:dyDescent="0.2">
      <c r="C564" s="17"/>
    </row>
    <row r="565" spans="3:3" x14ac:dyDescent="0.2">
      <c r="C565" s="17"/>
    </row>
    <row r="566" spans="3:3" x14ac:dyDescent="0.2">
      <c r="C566" s="17"/>
    </row>
    <row r="567" spans="3:3" x14ac:dyDescent="0.2">
      <c r="C567" s="17"/>
    </row>
    <row r="568" spans="3:3" x14ac:dyDescent="0.2">
      <c r="C568" s="17"/>
    </row>
    <row r="569" spans="3:3" x14ac:dyDescent="0.2">
      <c r="C569" s="17"/>
    </row>
    <row r="570" spans="3:3" x14ac:dyDescent="0.2">
      <c r="C570" s="17"/>
    </row>
    <row r="571" spans="3:3" x14ac:dyDescent="0.2">
      <c r="C571" s="17"/>
    </row>
    <row r="572" spans="3:3" x14ac:dyDescent="0.2">
      <c r="C572" s="17"/>
    </row>
    <row r="573" spans="3:3" x14ac:dyDescent="0.2">
      <c r="C573" s="17"/>
    </row>
    <row r="574" spans="3:3" x14ac:dyDescent="0.2">
      <c r="C574" s="17"/>
    </row>
    <row r="575" spans="3:3" x14ac:dyDescent="0.2">
      <c r="C575" s="17"/>
    </row>
    <row r="576" spans="3:3" x14ac:dyDescent="0.2">
      <c r="C576" s="17"/>
    </row>
    <row r="577" spans="3:3" x14ac:dyDescent="0.2">
      <c r="C577" s="17"/>
    </row>
    <row r="578" spans="3:3" x14ac:dyDescent="0.2">
      <c r="C578" s="17"/>
    </row>
    <row r="579" spans="3:3" x14ac:dyDescent="0.2">
      <c r="C579" s="17"/>
    </row>
    <row r="580" spans="3:3" x14ac:dyDescent="0.2">
      <c r="C580" s="17"/>
    </row>
    <row r="581" spans="3:3" x14ac:dyDescent="0.2">
      <c r="C581" s="17"/>
    </row>
    <row r="582" spans="3:3" x14ac:dyDescent="0.2">
      <c r="C582" s="17"/>
    </row>
    <row r="583" spans="3:3" x14ac:dyDescent="0.2">
      <c r="C583" s="17"/>
    </row>
    <row r="584" spans="3:3" x14ac:dyDescent="0.2">
      <c r="C584" s="17"/>
    </row>
    <row r="585" spans="3:3" x14ac:dyDescent="0.2">
      <c r="C585" s="17"/>
    </row>
    <row r="586" spans="3:3" x14ac:dyDescent="0.2">
      <c r="C586" s="17"/>
    </row>
    <row r="587" spans="3:3" x14ac:dyDescent="0.2">
      <c r="C587" s="17"/>
    </row>
    <row r="588" spans="3:3" x14ac:dyDescent="0.2">
      <c r="C588" s="17"/>
    </row>
    <row r="589" spans="3:3" x14ac:dyDescent="0.2">
      <c r="C589" s="17"/>
    </row>
    <row r="590" spans="3:3" x14ac:dyDescent="0.2">
      <c r="C590" s="17"/>
    </row>
    <row r="591" spans="3:3" x14ac:dyDescent="0.2">
      <c r="C591" s="17"/>
    </row>
    <row r="592" spans="3:3" x14ac:dyDescent="0.2">
      <c r="C592" s="17"/>
    </row>
    <row r="593" spans="3:3" x14ac:dyDescent="0.2">
      <c r="C593" s="17"/>
    </row>
    <row r="594" spans="3:3" x14ac:dyDescent="0.2">
      <c r="C594" s="17"/>
    </row>
    <row r="595" spans="3:3" x14ac:dyDescent="0.2">
      <c r="C595" s="17"/>
    </row>
    <row r="596" spans="3:3" x14ac:dyDescent="0.2">
      <c r="C596" s="17"/>
    </row>
    <row r="597" spans="3:3" x14ac:dyDescent="0.2">
      <c r="C597" s="17"/>
    </row>
    <row r="598" spans="3:3" x14ac:dyDescent="0.2">
      <c r="C598" s="17"/>
    </row>
    <row r="599" spans="3:3" x14ac:dyDescent="0.2">
      <c r="C599" s="17"/>
    </row>
    <row r="600" spans="3:3" x14ac:dyDescent="0.2">
      <c r="C600" s="17"/>
    </row>
    <row r="601" spans="3:3" x14ac:dyDescent="0.2">
      <c r="C601" s="17"/>
    </row>
    <row r="602" spans="3:3" x14ac:dyDescent="0.2">
      <c r="C602" s="17"/>
    </row>
    <row r="603" spans="3:3" x14ac:dyDescent="0.2">
      <c r="C603" s="17"/>
    </row>
    <row r="604" spans="3:3" x14ac:dyDescent="0.2">
      <c r="C604" s="17"/>
    </row>
    <row r="605" spans="3:3" x14ac:dyDescent="0.2">
      <c r="C605" s="17"/>
    </row>
    <row r="606" spans="3:3" x14ac:dyDescent="0.2">
      <c r="C606" s="17"/>
    </row>
    <row r="607" spans="3:3" x14ac:dyDescent="0.2">
      <c r="C607" s="17"/>
    </row>
    <row r="608" spans="3:3" x14ac:dyDescent="0.2">
      <c r="C608" s="17"/>
    </row>
    <row r="609" spans="3:3" x14ac:dyDescent="0.2">
      <c r="C609" s="17"/>
    </row>
    <row r="610" spans="3:3" x14ac:dyDescent="0.2">
      <c r="C610" s="17"/>
    </row>
    <row r="611" spans="3:3" x14ac:dyDescent="0.2">
      <c r="C611" s="17"/>
    </row>
    <row r="612" spans="3:3" x14ac:dyDescent="0.2">
      <c r="C612" s="17"/>
    </row>
    <row r="613" spans="3:3" x14ac:dyDescent="0.2">
      <c r="C613" s="17"/>
    </row>
    <row r="614" spans="3:3" x14ac:dyDescent="0.2">
      <c r="C614" s="17"/>
    </row>
    <row r="615" spans="3:3" x14ac:dyDescent="0.2">
      <c r="C615" s="17"/>
    </row>
    <row r="616" spans="3:3" x14ac:dyDescent="0.2">
      <c r="C616" s="17"/>
    </row>
    <row r="617" spans="3:3" x14ac:dyDescent="0.2">
      <c r="C617" s="17"/>
    </row>
    <row r="618" spans="3:3" x14ac:dyDescent="0.2">
      <c r="C618" s="17"/>
    </row>
    <row r="619" spans="3:3" x14ac:dyDescent="0.2">
      <c r="C619" s="17"/>
    </row>
    <row r="620" spans="3:3" x14ac:dyDescent="0.2">
      <c r="C620" s="17"/>
    </row>
    <row r="621" spans="3:3" x14ac:dyDescent="0.2">
      <c r="C621" s="17"/>
    </row>
    <row r="622" spans="3:3" x14ac:dyDescent="0.2">
      <c r="C622" s="17"/>
    </row>
    <row r="623" spans="3:3" x14ac:dyDescent="0.2">
      <c r="C623" s="17"/>
    </row>
    <row r="624" spans="3:3" x14ac:dyDescent="0.2">
      <c r="C624" s="17"/>
    </row>
    <row r="625" spans="3:3" x14ac:dyDescent="0.2">
      <c r="C625" s="17"/>
    </row>
    <row r="626" spans="3:3" x14ac:dyDescent="0.2">
      <c r="C626" s="17"/>
    </row>
    <row r="627" spans="3:3" x14ac:dyDescent="0.2">
      <c r="C627" s="17"/>
    </row>
    <row r="628" spans="3:3" x14ac:dyDescent="0.2">
      <c r="C628" s="17"/>
    </row>
    <row r="629" spans="3:3" x14ac:dyDescent="0.2">
      <c r="C629" s="17"/>
    </row>
    <row r="630" spans="3:3" x14ac:dyDescent="0.2">
      <c r="C630" s="17"/>
    </row>
    <row r="631" spans="3:3" x14ac:dyDescent="0.2">
      <c r="C631" s="17"/>
    </row>
    <row r="632" spans="3:3" x14ac:dyDescent="0.2">
      <c r="C632" s="17"/>
    </row>
    <row r="633" spans="3:3" x14ac:dyDescent="0.2">
      <c r="C633" s="17"/>
    </row>
    <row r="634" spans="3:3" x14ac:dyDescent="0.2">
      <c r="C634" s="17"/>
    </row>
    <row r="635" spans="3:3" x14ac:dyDescent="0.2">
      <c r="C635" s="17"/>
    </row>
    <row r="636" spans="3:3" x14ac:dyDescent="0.2">
      <c r="C636" s="17"/>
    </row>
    <row r="637" spans="3:3" x14ac:dyDescent="0.2">
      <c r="C637" s="17"/>
    </row>
    <row r="638" spans="3:3" x14ac:dyDescent="0.2">
      <c r="C638" s="17"/>
    </row>
    <row r="639" spans="3:3" x14ac:dyDescent="0.2">
      <c r="C639" s="17"/>
    </row>
    <row r="640" spans="3:3" x14ac:dyDescent="0.2">
      <c r="C640" s="17"/>
    </row>
    <row r="641" spans="3:3" x14ac:dyDescent="0.2">
      <c r="C641" s="17"/>
    </row>
    <row r="642" spans="3:3" x14ac:dyDescent="0.2">
      <c r="C642" s="17"/>
    </row>
    <row r="643" spans="3:3" x14ac:dyDescent="0.2">
      <c r="C643" s="17"/>
    </row>
    <row r="644" spans="3:3" x14ac:dyDescent="0.2">
      <c r="C644" s="17"/>
    </row>
    <row r="645" spans="3:3" x14ac:dyDescent="0.2">
      <c r="C645" s="17"/>
    </row>
    <row r="646" spans="3:3" x14ac:dyDescent="0.2">
      <c r="C646" s="17"/>
    </row>
    <row r="647" spans="3:3" x14ac:dyDescent="0.2">
      <c r="C647" s="17"/>
    </row>
    <row r="648" spans="3:3" x14ac:dyDescent="0.2">
      <c r="C648" s="17"/>
    </row>
    <row r="649" spans="3:3" x14ac:dyDescent="0.2">
      <c r="C649" s="17"/>
    </row>
    <row r="650" spans="3:3" x14ac:dyDescent="0.2">
      <c r="C650" s="17"/>
    </row>
    <row r="651" spans="3:3" x14ac:dyDescent="0.2">
      <c r="C651" s="17"/>
    </row>
    <row r="652" spans="3:3" x14ac:dyDescent="0.2">
      <c r="C652" s="17"/>
    </row>
    <row r="653" spans="3:3" x14ac:dyDescent="0.2">
      <c r="C653" s="17"/>
    </row>
    <row r="654" spans="3:3" x14ac:dyDescent="0.2">
      <c r="C654" s="17"/>
    </row>
    <row r="655" spans="3:3" x14ac:dyDescent="0.2">
      <c r="C655" s="17"/>
    </row>
    <row r="656" spans="3:3" x14ac:dyDescent="0.2">
      <c r="C656" s="17"/>
    </row>
    <row r="657" spans="3:3" x14ac:dyDescent="0.2">
      <c r="C657" s="17"/>
    </row>
    <row r="658" spans="3:3" x14ac:dyDescent="0.2">
      <c r="C658" s="17"/>
    </row>
    <row r="659" spans="3:3" x14ac:dyDescent="0.2">
      <c r="C659" s="17"/>
    </row>
    <row r="660" spans="3:3" x14ac:dyDescent="0.2">
      <c r="C660" s="17"/>
    </row>
    <row r="661" spans="3:3" x14ac:dyDescent="0.2">
      <c r="C661" s="17"/>
    </row>
    <row r="662" spans="3:3" x14ac:dyDescent="0.2">
      <c r="C662" s="17"/>
    </row>
    <row r="663" spans="3:3" x14ac:dyDescent="0.2">
      <c r="C663" s="17"/>
    </row>
    <row r="664" spans="3:3" x14ac:dyDescent="0.2">
      <c r="C664" s="17"/>
    </row>
    <row r="665" spans="3:3" x14ac:dyDescent="0.2">
      <c r="C665" s="17"/>
    </row>
    <row r="666" spans="3:3" x14ac:dyDescent="0.2">
      <c r="C666" s="17"/>
    </row>
    <row r="667" spans="3:3" x14ac:dyDescent="0.2">
      <c r="C667" s="17"/>
    </row>
    <row r="668" spans="3:3" x14ac:dyDescent="0.2">
      <c r="C668" s="17"/>
    </row>
    <row r="669" spans="3:3" x14ac:dyDescent="0.2">
      <c r="C669" s="17"/>
    </row>
    <row r="670" spans="3:3" x14ac:dyDescent="0.2">
      <c r="C670" s="17"/>
    </row>
    <row r="671" spans="3:3" x14ac:dyDescent="0.2">
      <c r="C671" s="17"/>
    </row>
    <row r="672" spans="3:3" x14ac:dyDescent="0.2">
      <c r="C672" s="17"/>
    </row>
    <row r="673" spans="3:3" x14ac:dyDescent="0.2">
      <c r="C673" s="17"/>
    </row>
    <row r="674" spans="3:3" x14ac:dyDescent="0.2">
      <c r="C674" s="17"/>
    </row>
    <row r="675" spans="3:3" x14ac:dyDescent="0.2">
      <c r="C675" s="17"/>
    </row>
    <row r="676" spans="3:3" x14ac:dyDescent="0.2">
      <c r="C676" s="17"/>
    </row>
    <row r="677" spans="3:3" x14ac:dyDescent="0.2">
      <c r="C677" s="17"/>
    </row>
    <row r="678" spans="3:3" x14ac:dyDescent="0.2">
      <c r="C678" s="17"/>
    </row>
    <row r="679" spans="3:3" x14ac:dyDescent="0.2">
      <c r="C679" s="17"/>
    </row>
    <row r="680" spans="3:3" x14ac:dyDescent="0.2">
      <c r="C680" s="17"/>
    </row>
    <row r="681" spans="3:3" x14ac:dyDescent="0.2">
      <c r="C681" s="17"/>
    </row>
    <row r="682" spans="3:3" x14ac:dyDescent="0.2">
      <c r="C682" s="17"/>
    </row>
    <row r="683" spans="3:3" x14ac:dyDescent="0.2">
      <c r="C683" s="17"/>
    </row>
    <row r="684" spans="3:3" x14ac:dyDescent="0.2">
      <c r="C684" s="17"/>
    </row>
    <row r="685" spans="3:3" x14ac:dyDescent="0.2">
      <c r="C685" s="17"/>
    </row>
    <row r="686" spans="3:3" x14ac:dyDescent="0.2">
      <c r="C686" s="17"/>
    </row>
    <row r="687" spans="3:3" x14ac:dyDescent="0.2">
      <c r="C687" s="17"/>
    </row>
    <row r="688" spans="3:3" x14ac:dyDescent="0.2">
      <c r="C688" s="17"/>
    </row>
    <row r="689" spans="3:3" x14ac:dyDescent="0.2">
      <c r="C689" s="17"/>
    </row>
    <row r="690" spans="3:3" x14ac:dyDescent="0.2">
      <c r="C690" s="17"/>
    </row>
    <row r="691" spans="3:3" x14ac:dyDescent="0.2">
      <c r="C691" s="17"/>
    </row>
    <row r="692" spans="3:3" x14ac:dyDescent="0.2">
      <c r="C692" s="17"/>
    </row>
    <row r="693" spans="3:3" x14ac:dyDescent="0.2">
      <c r="C693" s="17"/>
    </row>
    <row r="694" spans="3:3" x14ac:dyDescent="0.2">
      <c r="C694" s="17"/>
    </row>
    <row r="695" spans="3:3" x14ac:dyDescent="0.2">
      <c r="C695" s="17"/>
    </row>
    <row r="696" spans="3:3" x14ac:dyDescent="0.2">
      <c r="C696" s="17"/>
    </row>
    <row r="697" spans="3:3" x14ac:dyDescent="0.2">
      <c r="C697" s="17"/>
    </row>
    <row r="698" spans="3:3" x14ac:dyDescent="0.2">
      <c r="C698" s="17"/>
    </row>
    <row r="699" spans="3:3" x14ac:dyDescent="0.2">
      <c r="C699" s="17"/>
    </row>
    <row r="700" spans="3:3" x14ac:dyDescent="0.2">
      <c r="C700" s="17"/>
    </row>
    <row r="701" spans="3:3" x14ac:dyDescent="0.2">
      <c r="C701" s="17"/>
    </row>
    <row r="702" spans="3:3" x14ac:dyDescent="0.2">
      <c r="C702" s="17"/>
    </row>
    <row r="703" spans="3:3" x14ac:dyDescent="0.2">
      <c r="C703" s="17"/>
    </row>
    <row r="704" spans="3:3" x14ac:dyDescent="0.2">
      <c r="C704" s="17"/>
    </row>
    <row r="705" spans="3:3" x14ac:dyDescent="0.2">
      <c r="C705" s="17"/>
    </row>
    <row r="706" spans="3:3" x14ac:dyDescent="0.2">
      <c r="C706" s="17"/>
    </row>
    <row r="707" spans="3:3" x14ac:dyDescent="0.2">
      <c r="C707" s="17"/>
    </row>
    <row r="708" spans="3:3" x14ac:dyDescent="0.2">
      <c r="C708" s="17"/>
    </row>
    <row r="709" spans="3:3" x14ac:dyDescent="0.2">
      <c r="C709" s="17"/>
    </row>
    <row r="710" spans="3:3" x14ac:dyDescent="0.2">
      <c r="C710" s="17"/>
    </row>
    <row r="711" spans="3:3" x14ac:dyDescent="0.2">
      <c r="C711" s="17"/>
    </row>
    <row r="712" spans="3:3" x14ac:dyDescent="0.2">
      <c r="C712" s="17"/>
    </row>
    <row r="713" spans="3:3" x14ac:dyDescent="0.2">
      <c r="C713" s="17"/>
    </row>
    <row r="714" spans="3:3" x14ac:dyDescent="0.2">
      <c r="C714" s="17"/>
    </row>
    <row r="715" spans="3:3" x14ac:dyDescent="0.2">
      <c r="C715" s="17"/>
    </row>
    <row r="716" spans="3:3" x14ac:dyDescent="0.2">
      <c r="C716" s="17"/>
    </row>
    <row r="717" spans="3:3" x14ac:dyDescent="0.2">
      <c r="C717" s="17"/>
    </row>
    <row r="718" spans="3:3" x14ac:dyDescent="0.2">
      <c r="C718" s="17"/>
    </row>
    <row r="719" spans="3:3" x14ac:dyDescent="0.2">
      <c r="C719" s="17"/>
    </row>
    <row r="720" spans="3:3" x14ac:dyDescent="0.2">
      <c r="C720" s="17"/>
    </row>
    <row r="721" spans="3:3" x14ac:dyDescent="0.2">
      <c r="C721" s="17"/>
    </row>
    <row r="722" spans="3:3" x14ac:dyDescent="0.2">
      <c r="C722" s="17"/>
    </row>
    <row r="723" spans="3:3" x14ac:dyDescent="0.2">
      <c r="C723" s="17"/>
    </row>
    <row r="724" spans="3:3" x14ac:dyDescent="0.2">
      <c r="C724" s="17"/>
    </row>
    <row r="725" spans="3:3" x14ac:dyDescent="0.2">
      <c r="C725" s="17"/>
    </row>
    <row r="726" spans="3:3" x14ac:dyDescent="0.2">
      <c r="C726" s="17"/>
    </row>
    <row r="727" spans="3:3" x14ac:dyDescent="0.2">
      <c r="C727" s="17"/>
    </row>
    <row r="728" spans="3:3" x14ac:dyDescent="0.2">
      <c r="C728" s="17"/>
    </row>
    <row r="729" spans="3:3" x14ac:dyDescent="0.2">
      <c r="C729" s="17"/>
    </row>
    <row r="730" spans="3:3" x14ac:dyDescent="0.2">
      <c r="C730" s="17"/>
    </row>
    <row r="731" spans="3:3" x14ac:dyDescent="0.2">
      <c r="C731" s="17"/>
    </row>
    <row r="732" spans="3:3" x14ac:dyDescent="0.2">
      <c r="C732" s="17"/>
    </row>
    <row r="733" spans="3:3" x14ac:dyDescent="0.2">
      <c r="C733" s="17"/>
    </row>
    <row r="734" spans="3:3" x14ac:dyDescent="0.2">
      <c r="C734" s="17"/>
    </row>
    <row r="735" spans="3:3" x14ac:dyDescent="0.2">
      <c r="C735" s="17"/>
    </row>
    <row r="736" spans="3:3" x14ac:dyDescent="0.2">
      <c r="C736" s="17"/>
    </row>
    <row r="737" spans="3:3" x14ac:dyDescent="0.2">
      <c r="C737" s="17"/>
    </row>
    <row r="738" spans="3:3" x14ac:dyDescent="0.2">
      <c r="C738" s="17"/>
    </row>
    <row r="739" spans="3:3" x14ac:dyDescent="0.2">
      <c r="C739" s="17"/>
    </row>
    <row r="740" spans="3:3" x14ac:dyDescent="0.2">
      <c r="C740" s="17"/>
    </row>
    <row r="741" spans="3:3" x14ac:dyDescent="0.2">
      <c r="C741" s="17"/>
    </row>
    <row r="742" spans="3:3" x14ac:dyDescent="0.2">
      <c r="C742" s="17"/>
    </row>
    <row r="743" spans="3:3" x14ac:dyDescent="0.2">
      <c r="C743" s="17"/>
    </row>
    <row r="744" spans="3:3" x14ac:dyDescent="0.2">
      <c r="C744" s="17"/>
    </row>
    <row r="745" spans="3:3" x14ac:dyDescent="0.2">
      <c r="C745" s="17"/>
    </row>
    <row r="746" spans="3:3" x14ac:dyDescent="0.2">
      <c r="C746" s="17"/>
    </row>
    <row r="747" spans="3:3" x14ac:dyDescent="0.2">
      <c r="C747" s="17"/>
    </row>
    <row r="748" spans="3:3" x14ac:dyDescent="0.2">
      <c r="C748" s="17"/>
    </row>
    <row r="749" spans="3:3" x14ac:dyDescent="0.2">
      <c r="C749" s="17"/>
    </row>
    <row r="750" spans="3:3" x14ac:dyDescent="0.2">
      <c r="C750" s="17"/>
    </row>
    <row r="751" spans="3:3" x14ac:dyDescent="0.2">
      <c r="C751" s="17"/>
    </row>
    <row r="752" spans="3:3" x14ac:dyDescent="0.2">
      <c r="C752" s="17"/>
    </row>
    <row r="753" spans="3:3" x14ac:dyDescent="0.2">
      <c r="C753" s="17"/>
    </row>
    <row r="754" spans="3:3" x14ac:dyDescent="0.2">
      <c r="C754" s="17"/>
    </row>
    <row r="755" spans="3:3" x14ac:dyDescent="0.2">
      <c r="C755" s="17"/>
    </row>
    <row r="756" spans="3:3" x14ac:dyDescent="0.2">
      <c r="C756" s="17"/>
    </row>
    <row r="757" spans="3:3" x14ac:dyDescent="0.2">
      <c r="C757" s="17"/>
    </row>
    <row r="758" spans="3:3" x14ac:dyDescent="0.2">
      <c r="C758" s="17"/>
    </row>
    <row r="759" spans="3:3" x14ac:dyDescent="0.2">
      <c r="C759" s="17"/>
    </row>
    <row r="760" spans="3:3" x14ac:dyDescent="0.2">
      <c r="C760" s="17"/>
    </row>
    <row r="761" spans="3:3" x14ac:dyDescent="0.2">
      <c r="C761" s="17"/>
    </row>
    <row r="762" spans="3:3" x14ac:dyDescent="0.2">
      <c r="C762" s="17"/>
    </row>
    <row r="763" spans="3:3" x14ac:dyDescent="0.2">
      <c r="C763" s="17"/>
    </row>
    <row r="764" spans="3:3" x14ac:dyDescent="0.2">
      <c r="C764" s="17"/>
    </row>
    <row r="765" spans="3:3" x14ac:dyDescent="0.2">
      <c r="C765" s="17"/>
    </row>
    <row r="766" spans="3:3" x14ac:dyDescent="0.2">
      <c r="C766" s="17"/>
    </row>
    <row r="767" spans="3:3" x14ac:dyDescent="0.2">
      <c r="C767" s="17"/>
    </row>
    <row r="768" spans="3:3" x14ac:dyDescent="0.2">
      <c r="C768" s="17"/>
    </row>
    <row r="769" spans="3:3" x14ac:dyDescent="0.2">
      <c r="C769" s="17"/>
    </row>
    <row r="770" spans="3:3" x14ac:dyDescent="0.2">
      <c r="C770" s="17"/>
    </row>
    <row r="771" spans="3:3" x14ac:dyDescent="0.2">
      <c r="C771" s="17"/>
    </row>
    <row r="772" spans="3:3" x14ac:dyDescent="0.2">
      <c r="C772" s="17"/>
    </row>
    <row r="773" spans="3:3" x14ac:dyDescent="0.2">
      <c r="C773" s="17"/>
    </row>
    <row r="774" spans="3:3" x14ac:dyDescent="0.2">
      <c r="C774" s="17"/>
    </row>
    <row r="775" spans="3:3" x14ac:dyDescent="0.2">
      <c r="C775" s="17"/>
    </row>
    <row r="776" spans="3:3" x14ac:dyDescent="0.2">
      <c r="C776" s="17"/>
    </row>
    <row r="777" spans="3:3" x14ac:dyDescent="0.2">
      <c r="C777" s="17"/>
    </row>
    <row r="778" spans="3:3" x14ac:dyDescent="0.2">
      <c r="C778" s="17"/>
    </row>
    <row r="779" spans="3:3" x14ac:dyDescent="0.2">
      <c r="C779" s="17"/>
    </row>
    <row r="780" spans="3:3" x14ac:dyDescent="0.2">
      <c r="C780" s="17"/>
    </row>
    <row r="781" spans="3:3" x14ac:dyDescent="0.2">
      <c r="C781" s="17"/>
    </row>
    <row r="782" spans="3:3" x14ac:dyDescent="0.2">
      <c r="C782" s="17"/>
    </row>
    <row r="783" spans="3:3" x14ac:dyDescent="0.2">
      <c r="C783" s="17"/>
    </row>
    <row r="784" spans="3:3" x14ac:dyDescent="0.2">
      <c r="C784" s="17"/>
    </row>
    <row r="785" spans="3:3" x14ac:dyDescent="0.2">
      <c r="C785" s="17"/>
    </row>
    <row r="786" spans="3:3" x14ac:dyDescent="0.2">
      <c r="C786" s="17"/>
    </row>
    <row r="787" spans="3:3" x14ac:dyDescent="0.2">
      <c r="C787" s="17"/>
    </row>
    <row r="788" spans="3:3" x14ac:dyDescent="0.2">
      <c r="C788" s="17"/>
    </row>
    <row r="789" spans="3:3" x14ac:dyDescent="0.2">
      <c r="C789" s="17"/>
    </row>
    <row r="790" spans="3:3" x14ac:dyDescent="0.2">
      <c r="C790" s="17"/>
    </row>
    <row r="791" spans="3:3" x14ac:dyDescent="0.2">
      <c r="C791" s="17"/>
    </row>
    <row r="792" spans="3:3" x14ac:dyDescent="0.2">
      <c r="C792" s="17"/>
    </row>
    <row r="793" spans="3:3" x14ac:dyDescent="0.2">
      <c r="C793" s="17"/>
    </row>
    <row r="794" spans="3:3" x14ac:dyDescent="0.2">
      <c r="C794" s="17"/>
    </row>
    <row r="795" spans="3:3" x14ac:dyDescent="0.2">
      <c r="C795" s="17"/>
    </row>
    <row r="796" spans="3:3" x14ac:dyDescent="0.2">
      <c r="C796" s="17"/>
    </row>
    <row r="797" spans="3:3" x14ac:dyDescent="0.2">
      <c r="C797" s="17"/>
    </row>
    <row r="798" spans="3:3" x14ac:dyDescent="0.2">
      <c r="C798" s="17"/>
    </row>
    <row r="799" spans="3:3" x14ac:dyDescent="0.2">
      <c r="C799" s="17"/>
    </row>
    <row r="800" spans="3:3" x14ac:dyDescent="0.2">
      <c r="C800" s="17"/>
    </row>
    <row r="801" spans="3:3" x14ac:dyDescent="0.2">
      <c r="C801" s="17"/>
    </row>
    <row r="802" spans="3:3" x14ac:dyDescent="0.2">
      <c r="C802" s="17"/>
    </row>
    <row r="803" spans="3:3" x14ac:dyDescent="0.2">
      <c r="C803" s="17"/>
    </row>
    <row r="804" spans="3:3" x14ac:dyDescent="0.2">
      <c r="C804" s="17"/>
    </row>
    <row r="805" spans="3:3" x14ac:dyDescent="0.2">
      <c r="C805" s="17"/>
    </row>
    <row r="806" spans="3:3" x14ac:dyDescent="0.2">
      <c r="C806" s="17"/>
    </row>
    <row r="807" spans="3:3" x14ac:dyDescent="0.2">
      <c r="C807" s="17"/>
    </row>
    <row r="808" spans="3:3" x14ac:dyDescent="0.2">
      <c r="C808" s="17"/>
    </row>
    <row r="809" spans="3:3" x14ac:dyDescent="0.2">
      <c r="C809" s="17"/>
    </row>
    <row r="810" spans="3:3" x14ac:dyDescent="0.2">
      <c r="C810" s="17"/>
    </row>
    <row r="811" spans="3:3" x14ac:dyDescent="0.2">
      <c r="C811" s="17"/>
    </row>
    <row r="812" spans="3:3" x14ac:dyDescent="0.2">
      <c r="C812" s="17"/>
    </row>
    <row r="813" spans="3:3" x14ac:dyDescent="0.2">
      <c r="C813" s="17"/>
    </row>
    <row r="814" spans="3:3" x14ac:dyDescent="0.2">
      <c r="C814" s="17"/>
    </row>
    <row r="815" spans="3:3" x14ac:dyDescent="0.2">
      <c r="C815" s="17"/>
    </row>
    <row r="816" spans="3:3" x14ac:dyDescent="0.2">
      <c r="C816" s="17"/>
    </row>
    <row r="817" spans="3:3" x14ac:dyDescent="0.2">
      <c r="C817" s="17"/>
    </row>
    <row r="818" spans="3:3" x14ac:dyDescent="0.2">
      <c r="C818" s="17"/>
    </row>
    <row r="819" spans="3:3" x14ac:dyDescent="0.2">
      <c r="C819" s="17"/>
    </row>
    <row r="820" spans="3:3" x14ac:dyDescent="0.2">
      <c r="C820" s="17"/>
    </row>
    <row r="821" spans="3:3" x14ac:dyDescent="0.2">
      <c r="C821" s="17"/>
    </row>
    <row r="822" spans="3:3" x14ac:dyDescent="0.2">
      <c r="C822" s="17"/>
    </row>
    <row r="823" spans="3:3" x14ac:dyDescent="0.2">
      <c r="C823" s="17"/>
    </row>
    <row r="824" spans="3:3" x14ac:dyDescent="0.2">
      <c r="C824" s="17"/>
    </row>
    <row r="825" spans="3:3" x14ac:dyDescent="0.2">
      <c r="C825" s="17"/>
    </row>
    <row r="826" spans="3:3" x14ac:dyDescent="0.2">
      <c r="C826" s="17"/>
    </row>
    <row r="827" spans="3:3" x14ac:dyDescent="0.2">
      <c r="C827" s="17"/>
    </row>
    <row r="828" spans="3:3" x14ac:dyDescent="0.2">
      <c r="C828" s="17"/>
    </row>
    <row r="829" spans="3:3" x14ac:dyDescent="0.2">
      <c r="C829" s="17"/>
    </row>
    <row r="830" spans="3:3" x14ac:dyDescent="0.2">
      <c r="C830" s="17"/>
    </row>
    <row r="831" spans="3:3" x14ac:dyDescent="0.2">
      <c r="C831" s="17"/>
    </row>
    <row r="832" spans="3:3" x14ac:dyDescent="0.2">
      <c r="C832" s="17"/>
    </row>
    <row r="833" spans="3:3" x14ac:dyDescent="0.2">
      <c r="C833" s="17"/>
    </row>
    <row r="834" spans="3:3" x14ac:dyDescent="0.2">
      <c r="C834" s="17"/>
    </row>
    <row r="835" spans="3:3" x14ac:dyDescent="0.2">
      <c r="C835" s="17"/>
    </row>
    <row r="836" spans="3:3" x14ac:dyDescent="0.2">
      <c r="C836" s="17"/>
    </row>
    <row r="837" spans="3:3" x14ac:dyDescent="0.2">
      <c r="C837" s="17"/>
    </row>
    <row r="838" spans="3:3" x14ac:dyDescent="0.2">
      <c r="C838" s="17"/>
    </row>
    <row r="839" spans="3:3" x14ac:dyDescent="0.2">
      <c r="C839" s="17"/>
    </row>
    <row r="840" spans="3:3" x14ac:dyDescent="0.2">
      <c r="C840" s="17"/>
    </row>
    <row r="841" spans="3:3" x14ac:dyDescent="0.2">
      <c r="C841" s="17"/>
    </row>
    <row r="842" spans="3:3" x14ac:dyDescent="0.2">
      <c r="C842" s="17"/>
    </row>
    <row r="843" spans="3:3" x14ac:dyDescent="0.2">
      <c r="C843" s="17"/>
    </row>
    <row r="844" spans="3:3" x14ac:dyDescent="0.2">
      <c r="C844" s="17"/>
    </row>
    <row r="845" spans="3:3" x14ac:dyDescent="0.2">
      <c r="C845" s="17"/>
    </row>
    <row r="846" spans="3:3" x14ac:dyDescent="0.2">
      <c r="C846" s="17"/>
    </row>
    <row r="847" spans="3:3" x14ac:dyDescent="0.2">
      <c r="C847" s="17"/>
    </row>
    <row r="848" spans="3:3" x14ac:dyDescent="0.2">
      <c r="C848" s="17"/>
    </row>
    <row r="849" spans="3:3" x14ac:dyDescent="0.2">
      <c r="C849" s="17"/>
    </row>
    <row r="850" spans="3:3" x14ac:dyDescent="0.2">
      <c r="C850" s="17"/>
    </row>
    <row r="851" spans="3:3" x14ac:dyDescent="0.2">
      <c r="C851" s="17"/>
    </row>
    <row r="852" spans="3:3" x14ac:dyDescent="0.2">
      <c r="C852" s="17"/>
    </row>
    <row r="853" spans="3:3" x14ac:dyDescent="0.2">
      <c r="C853" s="17"/>
    </row>
    <row r="854" spans="3:3" x14ac:dyDescent="0.2">
      <c r="C854" s="17"/>
    </row>
    <row r="855" spans="3:3" x14ac:dyDescent="0.2">
      <c r="C855" s="17"/>
    </row>
    <row r="856" spans="3:3" x14ac:dyDescent="0.2">
      <c r="C856" s="17"/>
    </row>
    <row r="857" spans="3:3" x14ac:dyDescent="0.2">
      <c r="C857" s="17"/>
    </row>
    <row r="858" spans="3:3" x14ac:dyDescent="0.2">
      <c r="C858" s="17"/>
    </row>
    <row r="859" spans="3:3" x14ac:dyDescent="0.2">
      <c r="C859" s="17"/>
    </row>
    <row r="860" spans="3:3" x14ac:dyDescent="0.2">
      <c r="C860" s="17"/>
    </row>
    <row r="861" spans="3:3" x14ac:dyDescent="0.2">
      <c r="C861" s="17"/>
    </row>
    <row r="862" spans="3:3" x14ac:dyDescent="0.2">
      <c r="C862" s="17"/>
    </row>
    <row r="863" spans="3:3" x14ac:dyDescent="0.2">
      <c r="C863" s="17"/>
    </row>
    <row r="864" spans="3:3" x14ac:dyDescent="0.2">
      <c r="C864" s="17"/>
    </row>
    <row r="865" spans="3:3" x14ac:dyDescent="0.2">
      <c r="C865" s="17"/>
    </row>
    <row r="866" spans="3:3" x14ac:dyDescent="0.2">
      <c r="C866" s="17"/>
    </row>
    <row r="867" spans="3:3" x14ac:dyDescent="0.2">
      <c r="C867" s="17"/>
    </row>
    <row r="868" spans="3:3" x14ac:dyDescent="0.2">
      <c r="C868" s="17"/>
    </row>
    <row r="869" spans="3:3" x14ac:dyDescent="0.2">
      <c r="C869" s="17"/>
    </row>
    <row r="870" spans="3:3" x14ac:dyDescent="0.2">
      <c r="C870" s="17"/>
    </row>
    <row r="871" spans="3:3" x14ac:dyDescent="0.2">
      <c r="C871" s="17"/>
    </row>
    <row r="872" spans="3:3" x14ac:dyDescent="0.2">
      <c r="C872" s="17"/>
    </row>
    <row r="873" spans="3:3" x14ac:dyDescent="0.2">
      <c r="C873" s="17"/>
    </row>
    <row r="874" spans="3:3" x14ac:dyDescent="0.2">
      <c r="C874" s="17"/>
    </row>
    <row r="875" spans="3:3" x14ac:dyDescent="0.2">
      <c r="C875" s="17"/>
    </row>
    <row r="876" spans="3:3" x14ac:dyDescent="0.2">
      <c r="C876" s="17"/>
    </row>
    <row r="877" spans="3:3" x14ac:dyDescent="0.2">
      <c r="C877" s="17"/>
    </row>
    <row r="878" spans="3:3" x14ac:dyDescent="0.2">
      <c r="C878" s="17"/>
    </row>
    <row r="879" spans="3:3" x14ac:dyDescent="0.2">
      <c r="C879" s="17"/>
    </row>
    <row r="880" spans="3:3" x14ac:dyDescent="0.2">
      <c r="C880" s="17"/>
    </row>
    <row r="881" spans="3:3" x14ac:dyDescent="0.2">
      <c r="C881" s="17"/>
    </row>
    <row r="882" spans="3:3" x14ac:dyDescent="0.2">
      <c r="C882" s="17"/>
    </row>
    <row r="883" spans="3:3" x14ac:dyDescent="0.2">
      <c r="C883" s="17"/>
    </row>
    <row r="884" spans="3:3" x14ac:dyDescent="0.2">
      <c r="C884" s="17"/>
    </row>
    <row r="885" spans="3:3" x14ac:dyDescent="0.2">
      <c r="C885" s="17"/>
    </row>
    <row r="886" spans="3:3" x14ac:dyDescent="0.2">
      <c r="C886" s="17"/>
    </row>
    <row r="887" spans="3:3" x14ac:dyDescent="0.2">
      <c r="C887" s="17"/>
    </row>
    <row r="888" spans="3:3" x14ac:dyDescent="0.2">
      <c r="C888" s="17"/>
    </row>
    <row r="889" spans="3:3" x14ac:dyDescent="0.2">
      <c r="C889" s="17"/>
    </row>
    <row r="890" spans="3:3" x14ac:dyDescent="0.2">
      <c r="C890" s="17"/>
    </row>
    <row r="891" spans="3:3" x14ac:dyDescent="0.2">
      <c r="C891" s="17"/>
    </row>
    <row r="892" spans="3:3" x14ac:dyDescent="0.2">
      <c r="C892" s="17"/>
    </row>
    <row r="893" spans="3:3" x14ac:dyDescent="0.2">
      <c r="C893" s="17"/>
    </row>
    <row r="894" spans="3:3" x14ac:dyDescent="0.2">
      <c r="C894" s="17"/>
    </row>
    <row r="895" spans="3:3" x14ac:dyDescent="0.2">
      <c r="C895" s="17"/>
    </row>
    <row r="896" spans="3:3" x14ac:dyDescent="0.2">
      <c r="C896" s="17"/>
    </row>
    <row r="897" spans="3:3" x14ac:dyDescent="0.2">
      <c r="C897" s="17"/>
    </row>
    <row r="898" spans="3:3" x14ac:dyDescent="0.2">
      <c r="C898" s="17"/>
    </row>
    <row r="899" spans="3:3" x14ac:dyDescent="0.2">
      <c r="C899" s="17"/>
    </row>
    <row r="900" spans="3:3" x14ac:dyDescent="0.2">
      <c r="C900" s="17"/>
    </row>
    <row r="901" spans="3:3" x14ac:dyDescent="0.2">
      <c r="C901" s="17"/>
    </row>
    <row r="902" spans="3:3" x14ac:dyDescent="0.2">
      <c r="C902" s="17"/>
    </row>
    <row r="903" spans="3:3" x14ac:dyDescent="0.2">
      <c r="C903" s="17"/>
    </row>
    <row r="904" spans="3:3" x14ac:dyDescent="0.2">
      <c r="C904" s="17"/>
    </row>
    <row r="905" spans="3:3" x14ac:dyDescent="0.2">
      <c r="C905" s="17"/>
    </row>
    <row r="906" spans="3:3" x14ac:dyDescent="0.2">
      <c r="C906" s="17"/>
    </row>
    <row r="907" spans="3:3" x14ac:dyDescent="0.2">
      <c r="C907" s="17"/>
    </row>
    <row r="908" spans="3:3" x14ac:dyDescent="0.2">
      <c r="C908" s="17"/>
    </row>
    <row r="909" spans="3:3" x14ac:dyDescent="0.2">
      <c r="C909" s="17"/>
    </row>
    <row r="910" spans="3:3" x14ac:dyDescent="0.2">
      <c r="C910" s="17"/>
    </row>
    <row r="911" spans="3:3" x14ac:dyDescent="0.2">
      <c r="C911" s="17"/>
    </row>
    <row r="912" spans="3:3" x14ac:dyDescent="0.2">
      <c r="C912" s="17"/>
    </row>
    <row r="913" spans="3:3" x14ac:dyDescent="0.2">
      <c r="C913" s="17"/>
    </row>
    <row r="914" spans="3:3" x14ac:dyDescent="0.2">
      <c r="C914" s="17"/>
    </row>
    <row r="915" spans="3:3" x14ac:dyDescent="0.2">
      <c r="C915" s="17"/>
    </row>
    <row r="916" spans="3:3" x14ac:dyDescent="0.2">
      <c r="C916" s="17"/>
    </row>
    <row r="917" spans="3:3" x14ac:dyDescent="0.2">
      <c r="C917" s="17"/>
    </row>
    <row r="918" spans="3:3" x14ac:dyDescent="0.2">
      <c r="C918" s="17"/>
    </row>
    <row r="919" spans="3:3" x14ac:dyDescent="0.2">
      <c r="C919" s="17"/>
    </row>
    <row r="920" spans="3:3" x14ac:dyDescent="0.2">
      <c r="C920" s="17"/>
    </row>
    <row r="921" spans="3:3" x14ac:dyDescent="0.2">
      <c r="C921" s="17"/>
    </row>
    <row r="922" spans="3:3" x14ac:dyDescent="0.2">
      <c r="C922" s="17"/>
    </row>
    <row r="923" spans="3:3" x14ac:dyDescent="0.2">
      <c r="C923" s="17"/>
    </row>
    <row r="924" spans="3:3" x14ac:dyDescent="0.2">
      <c r="C924" s="17"/>
    </row>
    <row r="925" spans="3:3" x14ac:dyDescent="0.2">
      <c r="C925" s="17"/>
    </row>
    <row r="926" spans="3:3" x14ac:dyDescent="0.2">
      <c r="C926" s="17"/>
    </row>
    <row r="927" spans="3:3" x14ac:dyDescent="0.2">
      <c r="C927" s="17"/>
    </row>
    <row r="928" spans="3:3" x14ac:dyDescent="0.2">
      <c r="C928" s="17"/>
    </row>
    <row r="929" spans="3:3" x14ac:dyDescent="0.2">
      <c r="C929" s="17"/>
    </row>
    <row r="930" spans="3:3" x14ac:dyDescent="0.2">
      <c r="C930" s="17"/>
    </row>
    <row r="931" spans="3:3" x14ac:dyDescent="0.2">
      <c r="C931" s="17"/>
    </row>
    <row r="932" spans="3:3" x14ac:dyDescent="0.2">
      <c r="C932" s="17"/>
    </row>
    <row r="933" spans="3:3" x14ac:dyDescent="0.2">
      <c r="C933" s="17"/>
    </row>
    <row r="934" spans="3:3" x14ac:dyDescent="0.2">
      <c r="C934" s="17"/>
    </row>
    <row r="935" spans="3:3" x14ac:dyDescent="0.2">
      <c r="C935" s="17"/>
    </row>
    <row r="936" spans="3:3" x14ac:dyDescent="0.2">
      <c r="C936" s="17"/>
    </row>
    <row r="937" spans="3:3" x14ac:dyDescent="0.2">
      <c r="C937" s="17"/>
    </row>
    <row r="938" spans="3:3" x14ac:dyDescent="0.2">
      <c r="C938" s="17"/>
    </row>
    <row r="939" spans="3:3" x14ac:dyDescent="0.2">
      <c r="C939" s="17"/>
    </row>
    <row r="940" spans="3:3" x14ac:dyDescent="0.2">
      <c r="C940" s="17"/>
    </row>
    <row r="941" spans="3:3" x14ac:dyDescent="0.2">
      <c r="C941" s="17"/>
    </row>
    <row r="942" spans="3:3" x14ac:dyDescent="0.2">
      <c r="C942" s="17"/>
    </row>
    <row r="943" spans="3:3" x14ac:dyDescent="0.2">
      <c r="C943" s="17"/>
    </row>
    <row r="944" spans="3:3" x14ac:dyDescent="0.2">
      <c r="C944" s="17"/>
    </row>
    <row r="945" spans="3:3" x14ac:dyDescent="0.2">
      <c r="C945" s="17"/>
    </row>
    <row r="946" spans="3:3" x14ac:dyDescent="0.2">
      <c r="C946" s="17"/>
    </row>
    <row r="947" spans="3:3" x14ac:dyDescent="0.2">
      <c r="C947" s="17"/>
    </row>
    <row r="948" spans="3:3" x14ac:dyDescent="0.2">
      <c r="C948" s="17"/>
    </row>
    <row r="949" spans="3:3" x14ac:dyDescent="0.2">
      <c r="C949" s="17"/>
    </row>
    <row r="950" spans="3:3" x14ac:dyDescent="0.2">
      <c r="C950" s="17"/>
    </row>
    <row r="951" spans="3:3" x14ac:dyDescent="0.2">
      <c r="C951" s="17"/>
    </row>
    <row r="952" spans="3:3" x14ac:dyDescent="0.2">
      <c r="C952" s="17"/>
    </row>
    <row r="953" spans="3:3" x14ac:dyDescent="0.2">
      <c r="C953" s="17"/>
    </row>
    <row r="954" spans="3:3" x14ac:dyDescent="0.2">
      <c r="C954" s="17"/>
    </row>
    <row r="955" spans="3:3" x14ac:dyDescent="0.2">
      <c r="C955" s="17"/>
    </row>
    <row r="956" spans="3:3" x14ac:dyDescent="0.2">
      <c r="C956" s="17"/>
    </row>
    <row r="957" spans="3:3" x14ac:dyDescent="0.2">
      <c r="C957" s="17"/>
    </row>
    <row r="958" spans="3:3" x14ac:dyDescent="0.2">
      <c r="C958" s="17"/>
    </row>
    <row r="959" spans="3:3" x14ac:dyDescent="0.2">
      <c r="C959" s="17"/>
    </row>
    <row r="960" spans="3:3" x14ac:dyDescent="0.2">
      <c r="C960" s="17"/>
    </row>
    <row r="961" spans="3:3" x14ac:dyDescent="0.2">
      <c r="C961" s="17"/>
    </row>
    <row r="962" spans="3:3" x14ac:dyDescent="0.2">
      <c r="C962" s="17"/>
    </row>
    <row r="963" spans="3:3" x14ac:dyDescent="0.2">
      <c r="C963" s="17"/>
    </row>
    <row r="964" spans="3:3" x14ac:dyDescent="0.2">
      <c r="C964" s="17"/>
    </row>
    <row r="965" spans="3:3" x14ac:dyDescent="0.2">
      <c r="C965" s="17"/>
    </row>
    <row r="966" spans="3:3" x14ac:dyDescent="0.2">
      <c r="C966" s="17"/>
    </row>
    <row r="967" spans="3:3" x14ac:dyDescent="0.2">
      <c r="C967" s="17"/>
    </row>
    <row r="968" spans="3:3" x14ac:dyDescent="0.2">
      <c r="C968" s="17"/>
    </row>
    <row r="969" spans="3:3" x14ac:dyDescent="0.2">
      <c r="C969" s="17"/>
    </row>
    <row r="970" spans="3:3" x14ac:dyDescent="0.2">
      <c r="C970" s="17"/>
    </row>
    <row r="971" spans="3:3" x14ac:dyDescent="0.2">
      <c r="C971" s="17"/>
    </row>
    <row r="972" spans="3:3" x14ac:dyDescent="0.2">
      <c r="C972" s="17"/>
    </row>
    <row r="973" spans="3:3" x14ac:dyDescent="0.2">
      <c r="C973" s="17"/>
    </row>
    <row r="974" spans="3:3" x14ac:dyDescent="0.2">
      <c r="C974" s="17"/>
    </row>
    <row r="975" spans="3:3" x14ac:dyDescent="0.2">
      <c r="C975" s="17"/>
    </row>
    <row r="976" spans="3:3" x14ac:dyDescent="0.2">
      <c r="C976" s="17"/>
    </row>
    <row r="977" spans="3:3" x14ac:dyDescent="0.2">
      <c r="C977" s="17"/>
    </row>
    <row r="978" spans="3:3" x14ac:dyDescent="0.2">
      <c r="C978" s="17"/>
    </row>
    <row r="979" spans="3:3" x14ac:dyDescent="0.2">
      <c r="C979" s="17"/>
    </row>
    <row r="980" spans="3:3" x14ac:dyDescent="0.2">
      <c r="C980" s="17"/>
    </row>
    <row r="981" spans="3:3" x14ac:dyDescent="0.2">
      <c r="C981" s="17"/>
    </row>
    <row r="982" spans="3:3" x14ac:dyDescent="0.2">
      <c r="C982" s="17"/>
    </row>
    <row r="983" spans="3:3" x14ac:dyDescent="0.2">
      <c r="C983" s="17"/>
    </row>
    <row r="984" spans="3:3" x14ac:dyDescent="0.2">
      <c r="C984" s="17"/>
    </row>
    <row r="985" spans="3:3" x14ac:dyDescent="0.2">
      <c r="C985" s="17"/>
    </row>
    <row r="986" spans="3:3" x14ac:dyDescent="0.2">
      <c r="C986" s="17"/>
    </row>
    <row r="987" spans="3:3" x14ac:dyDescent="0.2">
      <c r="C987" s="17"/>
    </row>
    <row r="988" spans="3:3" x14ac:dyDescent="0.2">
      <c r="C988" s="17"/>
    </row>
    <row r="989" spans="3:3" x14ac:dyDescent="0.2">
      <c r="C989" s="17"/>
    </row>
    <row r="990" spans="3:3" x14ac:dyDescent="0.2">
      <c r="C990" s="17"/>
    </row>
    <row r="991" spans="3:3" x14ac:dyDescent="0.2">
      <c r="C991" s="17"/>
    </row>
    <row r="992" spans="3:3" x14ac:dyDescent="0.2">
      <c r="C992" s="17"/>
    </row>
    <row r="993" spans="3:3" x14ac:dyDescent="0.2">
      <c r="C993" s="17"/>
    </row>
    <row r="994" spans="3:3" x14ac:dyDescent="0.2">
      <c r="C994" s="17"/>
    </row>
    <row r="995" spans="3:3" x14ac:dyDescent="0.2">
      <c r="C995" s="17"/>
    </row>
    <row r="996" spans="3:3" x14ac:dyDescent="0.2">
      <c r="C996" s="17"/>
    </row>
    <row r="997" spans="3:3" x14ac:dyDescent="0.2">
      <c r="C997" s="17"/>
    </row>
    <row r="998" spans="3:3" x14ac:dyDescent="0.2">
      <c r="C998" s="17"/>
    </row>
    <row r="999" spans="3:3" x14ac:dyDescent="0.2">
      <c r="C999" s="17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Z28:AG50"/>
  <sheetViews>
    <sheetView view="pageBreakPreview" zoomScaleNormal="100" workbookViewId="0">
      <selection activeCell="C12" sqref="C12"/>
    </sheetView>
  </sheetViews>
  <sheetFormatPr defaultColWidth="12.42578125" defaultRowHeight="12.75" x14ac:dyDescent="0.2"/>
  <cols>
    <col min="1" max="1" width="3" customWidth="1"/>
    <col min="2" max="2" width="29.42578125" customWidth="1"/>
    <col min="3" max="3" width="33.42578125" customWidth="1"/>
    <col min="4" max="4" width="13.7109375" customWidth="1"/>
    <col min="29" max="29" width="38.42578125" customWidth="1"/>
    <col min="33" max="33" width="36.28515625" customWidth="1"/>
  </cols>
  <sheetData>
    <row r="28" spans="26:33" ht="15.75" customHeight="1" x14ac:dyDescent="0.2">
      <c r="Z28" s="16"/>
      <c r="AC28" s="21"/>
      <c r="AE28" s="22"/>
      <c r="AG28" s="23"/>
    </row>
    <row r="29" spans="26:33" ht="15.75" customHeight="1" x14ac:dyDescent="0.2">
      <c r="Z29" s="18"/>
      <c r="AA29" s="16"/>
      <c r="AC29" s="24"/>
      <c r="AE29" s="25"/>
      <c r="AG29" s="23"/>
    </row>
    <row r="30" spans="26:33" ht="15.75" customHeight="1" x14ac:dyDescent="0.2">
      <c r="AA30" s="16"/>
      <c r="AC30" s="24"/>
      <c r="AE30" s="25"/>
      <c r="AG30" s="23"/>
    </row>
    <row r="31" spans="26:33" ht="15.75" customHeight="1" x14ac:dyDescent="0.2">
      <c r="AA31" s="16"/>
      <c r="AC31" s="24"/>
      <c r="AE31" s="25"/>
      <c r="AG31" s="23"/>
    </row>
    <row r="32" spans="26:33" ht="15.75" customHeight="1" x14ac:dyDescent="0.2">
      <c r="AA32" s="16"/>
      <c r="AC32" s="24"/>
      <c r="AE32" s="25"/>
      <c r="AG32" s="23"/>
    </row>
    <row r="33" spans="27:33" ht="15.75" customHeight="1" x14ac:dyDescent="0.2">
      <c r="AA33" s="16"/>
      <c r="AC33" s="24"/>
      <c r="AE33" s="25"/>
      <c r="AG33" s="23"/>
    </row>
    <row r="34" spans="27:33" ht="15.75" customHeight="1" x14ac:dyDescent="0.2">
      <c r="AC34" s="24"/>
      <c r="AE34" s="26"/>
      <c r="AG34" s="23"/>
    </row>
    <row r="35" spans="27:33" ht="15.75" customHeight="1" x14ac:dyDescent="0.2">
      <c r="AC35" s="24"/>
      <c r="AG35" s="23"/>
    </row>
    <row r="36" spans="27:33" ht="15.75" customHeight="1" x14ac:dyDescent="0.2">
      <c r="AC36" s="24"/>
      <c r="AG36" s="23"/>
    </row>
    <row r="37" spans="27:33" ht="15.75" customHeight="1" x14ac:dyDescent="0.2">
      <c r="AC37" s="24"/>
      <c r="AG37" s="23"/>
    </row>
    <row r="38" spans="27:33" ht="15.75" customHeight="1" x14ac:dyDescent="0.2">
      <c r="AC38" s="24"/>
      <c r="AG38" s="23"/>
    </row>
    <row r="39" spans="27:33" ht="15.75" customHeight="1" x14ac:dyDescent="0.2">
      <c r="AC39" s="24"/>
    </row>
    <row r="40" spans="27:33" ht="15.75" customHeight="1" x14ac:dyDescent="0.2">
      <c r="AC40" s="24"/>
    </row>
    <row r="41" spans="27:33" ht="15.75" customHeight="1" x14ac:dyDescent="0.2">
      <c r="AC41" s="24"/>
    </row>
    <row r="42" spans="27:33" ht="15.75" customHeight="1" x14ac:dyDescent="0.2">
      <c r="AC42" s="24"/>
    </row>
    <row r="43" spans="27:33" ht="15.75" customHeight="1" x14ac:dyDescent="0.2">
      <c r="AC43" s="24"/>
    </row>
    <row r="44" spans="27:33" ht="15.75" customHeight="1" x14ac:dyDescent="0.2">
      <c r="AC44" s="24"/>
    </row>
    <row r="45" spans="27:33" ht="15.75" customHeight="1" x14ac:dyDescent="0.2">
      <c r="AC45" s="24"/>
    </row>
    <row r="46" spans="27:33" ht="15.75" customHeight="1" x14ac:dyDescent="0.2">
      <c r="AC46" s="24"/>
    </row>
    <row r="47" spans="27:33" ht="15.75" customHeight="1" x14ac:dyDescent="0.2">
      <c r="AC47" s="24"/>
    </row>
    <row r="48" spans="27:33" ht="15.75" customHeight="1" x14ac:dyDescent="0.2">
      <c r="AC48" s="24"/>
    </row>
    <row r="49" spans="29:29" ht="15.75" customHeight="1" x14ac:dyDescent="0.2">
      <c r="AC49" s="24"/>
    </row>
    <row r="50" spans="29:29" ht="15.75" customHeight="1" x14ac:dyDescent="0.2">
      <c r="AC50" s="27"/>
    </row>
  </sheetData>
  <conditionalFormatting sqref="AE28:AE34">
    <cfRule type="duplicateValues" dxfId="3" priority="2"/>
    <cfRule type="duplicateValues" dxfId="2" priority="3"/>
  </conditionalFormatting>
  <conditionalFormatting sqref="AC28:AC50">
    <cfRule type="duplicateValues" dxfId="1" priority="4"/>
    <cfRule type="duplicateValues" dxfId="0" priority="5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ФСД мероприятия</vt:lpstr>
      <vt:lpstr>Номер стройки</vt:lpstr>
      <vt:lpstr>Справочники</vt:lpstr>
      <vt:lpstr>Лист3</vt:lpstr>
      <vt:lpstr>'Номер стройки'!Область_печати</vt:lpstr>
      <vt:lpstr>Справочники!Область_печати</vt:lpstr>
      <vt:lpstr>'ФСД мероприятия'!Область_печати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Глухов Юрий Олегович</dc:creator>
  <dc:description/>
  <cp:lastModifiedBy>danel</cp:lastModifiedBy>
  <cp:revision>1</cp:revision>
  <dcterms:created xsi:type="dcterms:W3CDTF">2024-01-29T14:02:09Z</dcterms:created>
  <dcterms:modified xsi:type="dcterms:W3CDTF">2025-12-12T11:44:16Z</dcterms:modified>
  <dc:language>ru-RU</dc:language>
</cp:coreProperties>
</file>
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Work_Project\JavaGovna\danila\fsd2-parser-update\src\test\resources\"/>
    </mc:Choice>
  </mc:AlternateContent>
  <xr:revisionPtr revIDLastSave="0" documentId="13_ncr:1_{BAD29B2C-EA41-4C10-8F96-FDA41825F8FB}" xr6:coauthVersionLast="47" xr6:coauthVersionMax="47" xr10:uidLastSave="{00000000-0000-0000-0000-000000000000}"/>
  <workbookProtection workbookAlgorithmName="SHA-512" workbookHashValue="BI3eEDce0sikQjKRXfSZ584652Jp7zHNNDpgLGFJegDZSewgcLFD14JmQ3dHi8v9Gzh7HVa+CYVOBqbdYhnwNA==" workbookSaltValue="rAXj4z4k7bn0VCjw7kx03g==" workbookSpinCount="100000" lockStructure="1"/>
  <bookViews>
    <workbookView xWindow="2160" yWindow="2160" windowWidth="21600" windowHeight="10005" tabRatio="672" activeTab="2" xr2:uid="{00000000-000D-0000-FFFF-FFFF00000000}"/>
  </bookViews>
  <sheets>
    <sheet name="Инструкция" sheetId="1" r:id="rId1"/>
    <sheet name="ФСД-2.мероприятия" sheetId="2" r:id="rId2"/>
    <sheet name="ФСД-2.расчет" sheetId="7" r:id="rId3"/>
    <sheet name="Справочники" sheetId="4" r:id="rId4"/>
  </sheets>
  <definedNames>
    <definedName name="_xlnm._FilterDatabase" localSheetId="3" hidden="1">Справочники!$Q$2:$R$233</definedName>
    <definedName name="Версии">OFFSET(Справочники!$J$3,MATCH('ФСД-2.мероприятия'!$C$4,Справочники!$J:$J,0)-3,1,COUNTIF(Справочники!$J:$J,'ФСД-2.мероприятия'!$C$4),1)</definedName>
    <definedName name="ГДО">OFFSET(Справочники!$A$2,MATCH('ФСД-2.мероприятия'!$C$7,Справочники!$A:$A,0)-2,1,COUNTIF(Справочники!$A:$A,'ФСД-2.мероприятия'!$C$7),1)</definedName>
    <definedName name="Геологический_горизонт">OFFSET(Справочники!$T$3,MATCH('ФСД-2.мероприятия'!$C$7,Справочники!$T:$T,0)-3,1,COUNTIF(Справочники!$T:$T,'ФСД-2.мероприятия'!$C$7),1)</definedName>
    <definedName name="Мероприятие">OFFSET(Справочники!$Q$3,MATCH(CONCATENATE('ФСД-2.мероприятия'!$C$7,".",'ФСД-2.мероприятия'!$C$8),Справочники!$Q:$Q,0)-3,1,COUNTIF(Справочники!$Q:$Q,CONCATENATE('ФСД-2.мероприятия'!$C$7,".",'ФСД-2.мероприятия'!$C$8)),1)</definedName>
    <definedName name="_xlnm.Print_Area" localSheetId="3">Справочники!$A$2:$AI$83</definedName>
    <definedName name="_xlnm.Print_Area" localSheetId="1">'ФСД-2.мероприятия'!$A$1:$I$65</definedName>
    <definedName name="_xlnm.Print_Area" localSheetId="2">'ФСД-2.расчет'!$A$1:$BZ$152</definedName>
    <definedName name="Объект_разработки">OFFSET(Справочники!$Z$4,MATCH(CONCATENATE('ФСД-2.мероприятия'!$C$7,".",'ФСД-2.мероприятия'!$C$8),Справочники!$Z:$Z,0)-4,1,COUNTIF(Справочники!$Z:$Z,CONCATENATE('ФСД-2.мероприятия'!$C$7,".",'ФСД-2.мероприятия'!$C$8)),1)</definedName>
    <definedName name="Площадь">OFFSET(Справочники!$W$3,MATCH(CONCATENATE('ФСД-2.мероприятия'!$C$7,".",'ФСД-2.мероприятия'!$C$8),Справочники!$W:$W,0)-3,1,COUNTIF(Справочники!$W:$W,CONCATENATE('ФСД-2.мероприятия'!$C$7,".",'ФСД-2.мероприятия'!$C$8)),1)</definedName>
    <definedName name="ППД">OFFSET(Справочники!$AH$4,MATCH('ФСД-2.мероприятия'!$C$12,Справочники!$AH:$AH,0)-4,1,COUNTIF(Справочники!$AH:$AH,'ФСД-2.мероприятия'!$C$12),1)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R_Mukhametov</author>
  </authors>
  <commentList>
    <comment ref="C17" authorId="0" shapeId="0" xr:uid="{00000000-0006-0000-0100-000001000000}">
      <text>
        <r>
          <rPr>
            <sz val="9"/>
            <color indexed="81"/>
            <rFont val="Tahoma"/>
            <family val="2"/>
            <charset val="204"/>
          </rPr>
          <t>На дату актуализации модели.</t>
        </r>
      </text>
    </comment>
    <comment ref="C18" authorId="0" shapeId="0" xr:uid="{00000000-0006-0000-0100-000002000000}">
      <text>
        <r>
          <rPr>
            <sz val="9"/>
            <color indexed="81"/>
            <rFont val="Tahoma"/>
            <family val="2"/>
            <charset val="204"/>
          </rPr>
          <t>На дату актуализации модели.</t>
        </r>
      </text>
    </comment>
    <comment ref="C19" authorId="0" shapeId="0" xr:uid="{00000000-0006-0000-0100-000003000000}">
      <text>
        <r>
          <rPr>
            <sz val="9"/>
            <color indexed="81"/>
            <rFont val="Tahoma"/>
            <family val="2"/>
            <charset val="204"/>
          </rPr>
          <t>На дату актуализации модели.</t>
        </r>
      </text>
    </comment>
    <comment ref="C22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Мероприятия заполняются в разрезе внутрискваженных операций (включая бурение)</t>
        </r>
      </text>
    </comment>
  </commentList>
</comments>
</file>

<file path=xl/sharedStrings.xml><?xml version="1.0" encoding="utf-8"?>
<sst xmlns="http://schemas.openxmlformats.org/spreadsheetml/2006/main" count="1926" uniqueCount="827">
  <si>
    <t>Правила заполнения ФСД</t>
  </si>
  <si>
    <t>1) Каждая ФСД содержит "шапку" с заголовочной частью данных. Все аналитики "шапки" должны быть заполнены. Заполнение возможно строго из выпадающих списков, добавлять произвольные значения нельзя.</t>
  </si>
  <si>
    <t>2) Каждая ФСД содержит табличную часть. В "боковике" табличной части необходимо выбрать / заполнить аналитики или показатели из выпадающих списков, добавлять произвольные значения нельзя</t>
  </si>
  <si>
    <t>3) В табличной части ФСД предусмотрены поля для ручного заполнения данных. 
Числовые данные необходимо заносить исключительно в числовом формате, с разделителем в виде запятой.
Числовые значения необходимо заполнять в единицах измерения, указанных в заголовке табличной части или заданных в показателе.
Даты необходимо заносить в формате ДД.ММ.ГГГГ.</t>
  </si>
  <si>
    <r>
      <rPr>
        <b/>
        <u/>
        <sz val="12"/>
        <color rgb="FF000000"/>
        <rFont val="Arial (Основной текст)"/>
        <charset val="204"/>
      </rPr>
      <t xml:space="preserve">4) Важно:
</t>
    </r>
    <r>
      <rPr>
        <sz val="12"/>
        <color rgb="FF000000"/>
        <rFont val="Arial"/>
        <family val="2"/>
        <charset val="204"/>
      </rPr>
      <t>- изменение структуры ФСД недопустимо, а именно:
- удаление / корректировка формул,
- добавление / удаление / корректировка столбцов,
- изменение справочных данных.
В случае добавления строки, необходимо контролировать добавление формул и унаследование ограничения в виде выпадающих списков.</t>
    </r>
  </si>
  <si>
    <t>Назначение ФСД-2</t>
  </si>
  <si>
    <t xml:space="preserve">ФСД предназначена для загрузки в ИСППР данных проектных уровней добычи для эксплуатационных объектов. Проектные уровни добычи рассчитываются с помощью ПДГТМ с учетом проводимых геолого-технических мероприятий, предусмотренных проектом разработки месторождения.
1) для сценария "Проектные уровни добычи из утвержденного проекта разработки" на вкладке "ФСД-2.мероприятия" вводятся мероприятия из утвержденного проекта разработки месторождения и их дата ввода в эксплуатацию. На вкладке "ФСД-2.расчет" вносятся показатели проектного уровня добычи, рассчитанные в ПДГТМ, с учетом совокупного прогнозного эффекта от мероприятий.
2) для сценария "Проектные уровни добычи из АН" - уточнённые в рамках авторского надзора мероприятия и актуализированные в ПДГТМ показатели проектного уровня добычи. 
Возможна загрузка нескольких версий / вариантов прогноза проектных уровней добычи. Для этого необходимо выбрать другую версию прогноза и сохранить ФСД-2 отдельным файлом
Прогнозые показатели прироста максимальной добычи для каждого отдельного мероприятия определяются и загружаются в ИСППР в ФСД-5.
</t>
  </si>
  <si>
    <t>Дата актуальности модели</t>
  </si>
  <si>
    <t>Сценарий планирования</t>
  </si>
  <si>
    <t>Версия.Вариант прогноза</t>
  </si>
  <si>
    <t>Способ разработки на заключительной фазе ЖЦ месторождения</t>
  </si>
  <si>
    <t>Потенциал</t>
  </si>
  <si>
    <t>ГДО - недропользователь</t>
  </si>
  <si>
    <t>ООО "Газпром добыча Ямбург"</t>
  </si>
  <si>
    <t>№</t>
  </si>
  <si>
    <t>Мероприятие</t>
  </si>
  <si>
    <t>Год</t>
  </si>
  <si>
    <t>Закачка</t>
  </si>
  <si>
    <t>Фонд</t>
  </si>
  <si>
    <t>Средние показатели</t>
  </si>
  <si>
    <t>Потенциальное содержание С5+ в пластовом газе</t>
  </si>
  <si>
    <t>тыс.т</t>
  </si>
  <si>
    <t>т/сут</t>
  </si>
  <si>
    <t>г/м3</t>
  </si>
  <si>
    <t>1 кв.</t>
  </si>
  <si>
    <t>Эксплуатационные обьекты</t>
  </si>
  <si>
    <t>АО "Газпром добыча Томск"</t>
  </si>
  <si>
    <t>Проектные уровни добычи из утвержденного проекта разработки</t>
  </si>
  <si>
    <t>Астраханское</t>
  </si>
  <si>
    <t>Площадь</t>
  </si>
  <si>
    <t>Версии</t>
  </si>
  <si>
    <t>Вариант 1</t>
  </si>
  <si>
    <t>Периоды</t>
  </si>
  <si>
    <t>Азовское</t>
  </si>
  <si>
    <t>Бованенковское</t>
  </si>
  <si>
    <t>ПК1</t>
  </si>
  <si>
    <t>Сеноман</t>
  </si>
  <si>
    <t>Сеноман-апт</t>
  </si>
  <si>
    <t>Вариант 2</t>
  </si>
  <si>
    <t>Минимальный оптимальный</t>
  </si>
  <si>
    <t>ООО "Газпром добыча Астрахань"</t>
  </si>
  <si>
    <t>Безопасненское</t>
  </si>
  <si>
    <t>Вариант 3</t>
  </si>
  <si>
    <t>2 кв.</t>
  </si>
  <si>
    <t>ООО "Газпром добыча Иркутск"</t>
  </si>
  <si>
    <t>Бейсугское</t>
  </si>
  <si>
    <t>Вариант 4</t>
  </si>
  <si>
    <t>3 кв.</t>
  </si>
  <si>
    <t>ООО "Газпром добыча Краснодар"</t>
  </si>
  <si>
    <t>Березовское</t>
  </si>
  <si>
    <t>Вариант 5</t>
  </si>
  <si>
    <t>4 кв.</t>
  </si>
  <si>
    <t>ООО "Газпром добыча Кузнецк"</t>
  </si>
  <si>
    <t>Вариант 6</t>
  </si>
  <si>
    <t>январь</t>
  </si>
  <si>
    <t>ООО "Газпром добыча Надым"</t>
  </si>
  <si>
    <t>Болтное</t>
  </si>
  <si>
    <t>Вариант 7</t>
  </si>
  <si>
    <t>февраль</t>
  </si>
  <si>
    <t>ООО "Газпром добыча Ноябрьск"</t>
  </si>
  <si>
    <t>Бухаровское</t>
  </si>
  <si>
    <t>Вариант 8</t>
  </si>
  <si>
    <t>март</t>
  </si>
  <si>
    <t>ООО "Газпром добыча Оренбург"</t>
  </si>
  <si>
    <t>Восточно-Прибрежное</t>
  </si>
  <si>
    <t>Вариант 9</t>
  </si>
  <si>
    <t>апрель</t>
  </si>
  <si>
    <t>ООО "Газпром добыча Тамбей"</t>
  </si>
  <si>
    <t>Вуктыльское</t>
  </si>
  <si>
    <t>Вариант 10</t>
  </si>
  <si>
    <t>май</t>
  </si>
  <si>
    <t>ООО "Газпром добыча Уренгой"</t>
  </si>
  <si>
    <t>Вынгапуровское</t>
  </si>
  <si>
    <t>июнь</t>
  </si>
  <si>
    <t>ООО "Газпром добыча шельф Южно-Сахалинск"</t>
  </si>
  <si>
    <t>Вынгаяхинское</t>
  </si>
  <si>
    <t>июль</t>
  </si>
  <si>
    <t>Граничное</t>
  </si>
  <si>
    <t>август</t>
  </si>
  <si>
    <t>ООО "Газпром трансгаз Югорск"</t>
  </si>
  <si>
    <t>Гривенское</t>
  </si>
  <si>
    <t>сентябрь</t>
  </si>
  <si>
    <t>ООО "Газпромнефть-Заполярье"</t>
  </si>
  <si>
    <t>Губкинское</t>
  </si>
  <si>
    <t>I</t>
  </si>
  <si>
    <t>октябрь</t>
  </si>
  <si>
    <t>Деминское</t>
  </si>
  <si>
    <t>ноябрь</t>
  </si>
  <si>
    <t>Ен-Яхинское</t>
  </si>
  <si>
    <t>декабрь</t>
  </si>
  <si>
    <t>Еты-Пуровское</t>
  </si>
  <si>
    <t>Журавское</t>
  </si>
  <si>
    <t>Неоком</t>
  </si>
  <si>
    <t>Западно-Красноармейское</t>
  </si>
  <si>
    <t>Западно-Соплесское</t>
  </si>
  <si>
    <t>III</t>
  </si>
  <si>
    <t>Западно-Таркосалинское</t>
  </si>
  <si>
    <t>IV</t>
  </si>
  <si>
    <t>Заполярное</t>
  </si>
  <si>
    <t>Ильинское</t>
  </si>
  <si>
    <t>Казанское</t>
  </si>
  <si>
    <t>II</t>
  </si>
  <si>
    <t>Каменно-Балковское</t>
  </si>
  <si>
    <t>Каневское-Лебяжье</t>
  </si>
  <si>
    <t>Киринское</t>
  </si>
  <si>
    <t>Ковыктинское</t>
  </si>
  <si>
    <t>Комсомольское</t>
  </si>
  <si>
    <t>VI</t>
  </si>
  <si>
    <t>Красноармейское</t>
  </si>
  <si>
    <t>Кугутское</t>
  </si>
  <si>
    <t>VII</t>
  </si>
  <si>
    <t>Кшукское</t>
  </si>
  <si>
    <t>Лунское</t>
  </si>
  <si>
    <t>Марковское</t>
  </si>
  <si>
    <t>Медвежье</t>
  </si>
  <si>
    <t>Мечетское</t>
  </si>
  <si>
    <t>Мирненское</t>
  </si>
  <si>
    <t>Мирное</t>
  </si>
  <si>
    <t>Мостовянское</t>
  </si>
  <si>
    <t>Мыльджинское</t>
  </si>
  <si>
    <t>Нарыкско-Осташнинское</t>
  </si>
  <si>
    <t>Нижнеквакчикское</t>
  </si>
  <si>
    <t>Николаевское</t>
  </si>
  <si>
    <t>Оренбургское</t>
  </si>
  <si>
    <t>Останинское</t>
  </si>
  <si>
    <t>Патроновское</t>
  </si>
  <si>
    <t>Песцовое</t>
  </si>
  <si>
    <t>Песчаное</t>
  </si>
  <si>
    <t>Петровско-Благодарненское</t>
  </si>
  <si>
    <t>Печорокожвинское</t>
  </si>
  <si>
    <t>Пильтун-Астохское</t>
  </si>
  <si>
    <t>Ачимовский</t>
  </si>
  <si>
    <t>Пинджинское</t>
  </si>
  <si>
    <t>Прибрежное</t>
  </si>
  <si>
    <t>Радыковское</t>
  </si>
  <si>
    <t>Расшеватское</t>
  </si>
  <si>
    <t>Роговское</t>
  </si>
  <si>
    <t>Рыбальное</t>
  </si>
  <si>
    <t>Сенон</t>
  </si>
  <si>
    <t>Северо-Васюганское</t>
  </si>
  <si>
    <t>Северо-Гривенское</t>
  </si>
  <si>
    <t>Северо-Колпаковское</t>
  </si>
  <si>
    <t>Северо-Останинское</t>
  </si>
  <si>
    <t>Северо-Прибрежное</t>
  </si>
  <si>
    <t>Северо-Уренгойское</t>
  </si>
  <si>
    <t>Северо-Чебургольское</t>
  </si>
  <si>
    <t>Сенгилеевское</t>
  </si>
  <si>
    <t>Синявское</t>
  </si>
  <si>
    <t>Талдинское</t>
  </si>
  <si>
    <t>Тамбейское</t>
  </si>
  <si>
    <t>Тахта-Кугультинское</t>
  </si>
  <si>
    <t>Уренгойское</t>
  </si>
  <si>
    <t>Харасавэйское</t>
  </si>
  <si>
    <t>Чаяндинское</t>
  </si>
  <si>
    <t>Челбасское</t>
  </si>
  <si>
    <t>Элитное</t>
  </si>
  <si>
    <t>Юбилейное</t>
  </si>
  <si>
    <t>Югидское</t>
  </si>
  <si>
    <t>Южно-Киринское</t>
  </si>
  <si>
    <t>Южно-Радыковское</t>
  </si>
  <si>
    <t>Южно-Русское</t>
  </si>
  <si>
    <t>Ямбургское</t>
  </si>
  <si>
    <t>Ямсовейское</t>
  </si>
  <si>
    <t>P5-A3</t>
  </si>
  <si>
    <t>Уренгойская</t>
  </si>
  <si>
    <t>Песцовая</t>
  </si>
  <si>
    <t>Западно-Песцовая</t>
  </si>
  <si>
    <t>Турон</t>
  </si>
  <si>
    <t>Ямбургская</t>
  </si>
  <si>
    <t>Харвутинская</t>
  </si>
  <si>
    <t>Анерьяхинская</t>
  </si>
  <si>
    <t>б/н.Губкинское.Сеноман.ДКС.СПЧ</t>
  </si>
  <si>
    <t>б/н.Губкинское.Сеноман.Скважины.ПАВ</t>
  </si>
  <si>
    <t>б/н.Губкинское.Сеноман.ДКС.</t>
  </si>
  <si>
    <t>б/н.Губкинское.Сеноман.Скважины.КЛК</t>
  </si>
  <si>
    <t>б/н.Губкинское.Сеноман.ГСС.</t>
  </si>
  <si>
    <t>б/н.Губкинское.Сеноман.ГСС.МКУ</t>
  </si>
  <si>
    <t>б/н.Губкинское.Сеноман.Скважины.ЗБС</t>
  </si>
  <si>
    <t>051-2005523.Бованенковское.Сеноман-апт.ДКС.СПЧ</t>
  </si>
  <si>
    <t>051-2005692.Бованенковское.Сеноман-апт.ДКС.ГПА</t>
  </si>
  <si>
    <t>051-2006513.Бованенковское.Сеноман-апт.ДКС.СПЧ</t>
  </si>
  <si>
    <t>051-2004681.Бованенковское.Сеноман-апт.Скважины.САКЗ</t>
  </si>
  <si>
    <t>051-2005706.Бованенковское.Сеноман-апт.Тепло-, водоснабжение и очистные сооружения.Котельная</t>
  </si>
  <si>
    <t>051-2006188.Бованенковское.Сеноман-апт.ДКС.НКТ</t>
  </si>
  <si>
    <t>051-2006342.Бованенковское.Сеноман-апт.Прочие объекты инженерного обеспечения.Прочее оборудование</t>
  </si>
  <si>
    <t>051-2006571.Бованенковское.Сеноман-апт.Прочие объекты инженерного обеспечения.Прочее оборудование</t>
  </si>
  <si>
    <t>051-2006570.Бованенковское.Сеноман-апт.Тепло-, водоснабжение и очистные сооружения.ЭСН</t>
  </si>
  <si>
    <t>051-2006570.Бованенковское.Сеноман-апт.Прочие объекты инженерного обеспечения.Прочее оборудование</t>
  </si>
  <si>
    <t>051-2004674.Бованенковское.Сеноман-апт.ДКС.ДКС</t>
  </si>
  <si>
    <t>051-2004674.Бованенковское.Сеноман-апт.Скважины.Новые скважины</t>
  </si>
  <si>
    <t>051-2000791.Медвежье.Сеноман.Прочие объекты инженерного обеспечения.Прочее оборудование</t>
  </si>
  <si>
    <t>051-2005701.Медвежье.Сеноман.ДКС.СПЧ</t>
  </si>
  <si>
    <t>051-2005703.Медвежье.Сеноман.ГСС.ГСС</t>
  </si>
  <si>
    <t>051-2005702.Медвежье.Сеноман.Скважины.ПАВ</t>
  </si>
  <si>
    <t>051-2006585.Медвежье.Сеноман.Прочие объекты инженерного обеспечения.Прочее оборудование</t>
  </si>
  <si>
    <t>051-2006586.Медвежье.Сеноман.Прочие объекты инженерного обеспечения.Прочее оборудование</t>
  </si>
  <si>
    <t>051-2006965.Медвежье.Сеноман.Прочие объекты инженерного обеспечения.Прочее оборудование</t>
  </si>
  <si>
    <t>051-2000793.Медвежье.Сеноман.Тепло-, водоснабжение и очистные сооружения.Прочее оборудование</t>
  </si>
  <si>
    <t>051-2004676.Юбилейное.Сеноман.Скважины.КЛК</t>
  </si>
  <si>
    <t>051-2000804.Юбилейное.Сеноман.Прочие объекты инженерного обеспечения.АСПС КЗиПТ</t>
  </si>
  <si>
    <t>051-2005679.Юбилейное.Сеноман.ДКС.СПЧ</t>
  </si>
  <si>
    <t>051-2006345.Юбилейное.Сеноман.Прочие объекты инженерного обеспечения.Прочее оборудование</t>
  </si>
  <si>
    <t>051-2000792.Ямсовейское.Сеноман.Прочие объекты инженерного обеспечения.Прочее оборудование</t>
  </si>
  <si>
    <t>051-2000800.Ямсовейское.Сеноман.ДКС.АСПС КЗиПТ</t>
  </si>
  <si>
    <t>051-2005677.Ямсовейское.Сеноман.ДКС.СПЧ</t>
  </si>
  <si>
    <t>051-2005708.Ямсовейское.Сеноман.ГСС.ГСС</t>
  </si>
  <si>
    <t>051-2006966.Ямсовейское.Сеноман.ДКС.АСПС КЗиПТ</t>
  </si>
  <si>
    <t>051-2006465.Харасавэйское.Сеноман-апт.Прочие объекты инженерного обеспечения.Прочее оборудование</t>
  </si>
  <si>
    <t>б/н.Медвежье.Неоком.Скважины.Новые скважины</t>
  </si>
  <si>
    <t>б/н.Медвежье.Неоком.ДКС.</t>
  </si>
  <si>
    <t>б/н.Медвежье.Неоком.Скважины.</t>
  </si>
  <si>
    <t>б/н.Медвежье.Неоком.Скважины.ЗБС</t>
  </si>
  <si>
    <t>051-2005703 .Медвежье.Сеноман.ГСС.МПК</t>
  </si>
  <si>
    <t>051-2006106 .Медвежье.Сеноман.ДКС.</t>
  </si>
  <si>
    <t>б/н.Медвежье.Сеноман.Скважины.КЛК</t>
  </si>
  <si>
    <t>051-2000796.Харасавэйское.Сеноман-апт.ДКС.</t>
  </si>
  <si>
    <t>051-2000796.Харасавэйское.Сеноман-апт.Скважины.Новые скважины</t>
  </si>
  <si>
    <t>051-2000825.Харасавэйское.Сеноман-апт.ГСС.</t>
  </si>
  <si>
    <t>б/н.Юбилейное.Сеноман.Скважины.Новые скважины</t>
  </si>
  <si>
    <t>б/н.Юбилейное.Сеноман.ДКС.</t>
  </si>
  <si>
    <t>б/н.Юбилейное.Сеноман.Скважины.ЗБС</t>
  </si>
  <si>
    <t>б/н.Юбилейное.Сеноман.Скважины.АУК</t>
  </si>
  <si>
    <t>б/н.Юбилейное.Сеноман.Скважины.</t>
  </si>
  <si>
    <t>051-200792.Ямсовейское.Сеноман.ДКС.КГС</t>
  </si>
  <si>
    <t>051-2006518.Вынгаяхинское.Сеноман.Скважины.ПАВ</t>
  </si>
  <si>
    <t>б/н.Вынгаяхинское.Сеноман.ДКС.СПЧ</t>
  </si>
  <si>
    <t>б/н.Еты-Пуровское.Сеноман.Скважины.ПАВ</t>
  </si>
  <si>
    <t>б/н.Еты-Пуровское.Сеноман.ДКС.ДКС</t>
  </si>
  <si>
    <t>б/н.Западно-Таркосалинское.Неоком.Скважины.Скважины</t>
  </si>
  <si>
    <t>б/н.Западно-Таркосалинское.Неоком.Скважины.ЗБС</t>
  </si>
  <si>
    <t>б/н.Западно-Таркосалинское.Неоком.Скважины.ЭЦН</t>
  </si>
  <si>
    <t>б/н.Западно-Таркосалинское.Неоком.Скважины.Новые скважины</t>
  </si>
  <si>
    <t xml:space="preserve"> 051-2005359.Западно-Таркосалинское.Сеноман.ГСС.МКУ</t>
  </si>
  <si>
    <t>051-2006517.Западно-Таркосалинское.Сеноман.ДКС.Прочее оборудование</t>
  </si>
  <si>
    <t>051-2004683.Западно-Таркосалинское.Сеноман.Скважины.КЛК</t>
  </si>
  <si>
    <t>051-2006515.Западно-Таркосалинское.Сеноман.Скважины.ПАВ</t>
  </si>
  <si>
    <t>051-2006515.Комсомольское.Сеноман.Скважины.ПАВ</t>
  </si>
  <si>
    <t>051-2006341.Комсомольское.Сеноман.Скважины.НКТ</t>
  </si>
  <si>
    <t>051-2005685.Комсомольское.Сеноман.ДКС.СПЧ</t>
  </si>
  <si>
    <t>б/н.Комсомольское.Сеноман.ДКС.Прочее оборудование</t>
  </si>
  <si>
    <t>051-2004687.Комсомольское.Сеноман.Скважины.АУК</t>
  </si>
  <si>
    <t>051-2004684.Западно-Таркосалинское.Сеноман.Скважины.АУК</t>
  </si>
  <si>
    <t>б/н.Западно-Таркосалинское.Сеноман.ГСС.ГСС</t>
  </si>
  <si>
    <t>051-2006514.Комсомольское.Сеноман.Скважины.ПАВ</t>
  </si>
  <si>
    <t>051-2006523.Комсомольское.Сеноман.ДКС.АВО</t>
  </si>
  <si>
    <t>051-2006519.Еты-Пуровское.Сеноман.Скважины.ПАВ</t>
  </si>
  <si>
    <t>051-2006584.Еты-Пуровское.Сеноман.ДКС.СПЧ</t>
  </si>
  <si>
    <t>051-3006280.Вынгаяхинское.Сеноман.Скважины.ЗБС</t>
  </si>
  <si>
    <t>051-2005189.Еты-Пуровское.Сеноман.Скважины.КЛК</t>
  </si>
  <si>
    <t>051-2006450.Оренбургское.Ассельская залежь.Скважины.МКУ</t>
  </si>
  <si>
    <t>026-2001320.Оренбургское.Ассельская залежь.ДКС.ГПА</t>
  </si>
  <si>
    <t>051-7006451.Оренбургское.Ассельская залежь.ДКС.УКПГ</t>
  </si>
  <si>
    <t>051-2006450.Оренбургское.Залежи пластов A1-A4.Скважины.МКУ</t>
  </si>
  <si>
    <t>026-2001320.Оренбургское.Залежи пластов A1-A4.ДКС.ГПА</t>
  </si>
  <si>
    <t>051-2006450.Оренбургское.Блок I север.Скважины.МКУ</t>
  </si>
  <si>
    <t>026-2001320.Оренбургское.Блок I север.ДКС.ГПА</t>
  </si>
  <si>
    <t>026-2001315.Оренбургское.Блок I север.Скважины.НКТ</t>
  </si>
  <si>
    <t>051-7006451.Оренбургское.Блок I север.ДКС.УКПГ</t>
  </si>
  <si>
    <t>051-2006450.Оренбургское.Блок I Юг.Скважины.МКУ</t>
  </si>
  <si>
    <t>051-2006450.Оренбургское.Основная артинско-среднекаменноугольная залежь.Скважины.МКУ</t>
  </si>
  <si>
    <t>026-2001320.Оренбургское.Основная артинско-среднекаменноугольная залежь.ДКС.ГПА</t>
  </si>
  <si>
    <t>026-2004003.Оренбургское.Основная артинско-среднекаменноугольная залежь.ДКС.ГПА</t>
  </si>
  <si>
    <t>ГДО-0001.2025.Оренбургское.Основная артинско-среднекаменноугольная залежь.ДКС.УКПГ</t>
  </si>
  <si>
    <t>ГДО-0002.2025.Оренбургское.Основная артинско-среднекаменноугольная залежь.ДКС.УКПГ</t>
  </si>
  <si>
    <t>ГДО-0004.2025.Оренбургское.Основная артинско-среднекаменноугольная залежь.ДКС.УКПГ</t>
  </si>
  <si>
    <t>ГДО-0003.2025.Оренбургское.Основная артинско-среднекаменноугольная залежь.ДКС.МКУ</t>
  </si>
  <si>
    <t>051-2001315.Оренбургское.Основная артинско-среднекаменноугольная залежь.Скважины.НКТ</t>
  </si>
  <si>
    <t>051-2005355.Оренбургское.Основная артинско-среднекаменноугольная залежь.Скважины.Скважины (кусты скважин)</t>
  </si>
  <si>
    <t>051-2005354.Оренбургское.Основная артинско-среднекаменноугольная залежь.Скважины.ПАВ</t>
  </si>
  <si>
    <t>051-2006449.Оренбургское.Основная артинско-среднекаменноугольная залежь.Скважины.НКТ</t>
  </si>
  <si>
    <t>051-2006451.Оренбургское.Основная артинско-среднекаменноугольная залежь.ДКС.УКПГ</t>
  </si>
  <si>
    <t>051-2006450.Оренбургское.Среднекаменноугольная залежь.Скважины.МКУ</t>
  </si>
  <si>
    <t>051-2004003.Оренбургское.Среднекаменноугольная залежь.ДКС.ГПА</t>
  </si>
  <si>
    <t>ГДО-0004.2025.Оренбургское.Среднекаменноугольная залежь.ДКС.УКПГ</t>
  </si>
  <si>
    <t>051-2004003.Оренбургское.Филипповская залежь.ДКС.ГПА</t>
  </si>
  <si>
    <t>ГДО-0004.2025.Оренбургское.Филипповская залежь.ДКС.УКПГ</t>
  </si>
  <si>
    <t>051-2005482.Оренбургское.Филипповская залежь.ГСС.МКУ</t>
  </si>
  <si>
    <t>051-2007105.Оренбургское.Основная артинско-среднекаменноугольная залежь.Скважины.МКУ</t>
  </si>
  <si>
    <t>051-2007106.Оренбургское.Основная артинско-среднекаменноугольная залежь.ДКС.УКПГ</t>
  </si>
  <si>
    <t>051-2007107.Оренбургское.Основная артинско-среднекаменноугольная залежь.ДКС.УКПГ</t>
  </si>
  <si>
    <t>051-2007108.Оренбургское.Основная артинско-среднекаменноугольная залежь.ДКС.УКПГ</t>
  </si>
  <si>
    <t>051-3005712.Оренбургское.Филипповская залежь.Скважины.Новые скважины</t>
  </si>
  <si>
    <t>051-2005711.Оренбургское.Основная артинско-среднекаменноугольная залежь.Скважины.Новые скважины</t>
  </si>
  <si>
    <t>б/н.Южно-Русское.Апт-альб-сеноманский.ДКС.СПЧ</t>
  </si>
  <si>
    <t>б/н.Южно-Русское.Апт-альб-сеноманский.ДКС.</t>
  </si>
  <si>
    <t>б/н.Южно-Русское.Туронский.Скважины.Новые скважины</t>
  </si>
  <si>
    <t>б/н.Южно-Русское.Апт-альб-сеноманский.Скважины.Новые скважины</t>
  </si>
  <si>
    <t>б/н.Южно-Русское.Туронский.Скважины.</t>
  </si>
  <si>
    <t>б/н.Южно-Русское.Апт-альб-сеноманский.Скважины.НКТ</t>
  </si>
  <si>
    <t>б/н.Южно-Русское.Апт-альб-сеноманский.Скважины.</t>
  </si>
  <si>
    <t>051-2004015.Уренгойское.Сеноман.Скважины.КЛК</t>
  </si>
  <si>
    <t>051-2004433.Уренгойское.Сеноман.Скважины.КЛК</t>
  </si>
  <si>
    <t>051-2004433.Уренгойское.Неоком.Скважины.КЛК</t>
  </si>
  <si>
    <t>051-2004691.Уренгойское.Неоком.Скважины.НКТ</t>
  </si>
  <si>
    <t>051-2004692.Уренгойское.Сеноман.Скважины.НКТ</t>
  </si>
  <si>
    <t>051-2004692.Уренгойское.Неоком.Скважины.НКТ</t>
  </si>
  <si>
    <t>051-2005090.Уренгойское.Неоком.ДКС.СПЧ</t>
  </si>
  <si>
    <t>051-2005277.Уренгойское.Ачимовка.ГСС.ГСС</t>
  </si>
  <si>
    <t>051-2005977.Уренгойское.Сеноман.Скважины.НКТ</t>
  </si>
  <si>
    <t>051-2005977.Уренгойское.Неоком.Скважины.НКТ</t>
  </si>
  <si>
    <t>051-2005978.Уренгойское.Сеноман.ДКС.СПЧ</t>
  </si>
  <si>
    <t>051-2005978.Уренгойское.Неоком.ДКС.СПЧ</t>
  </si>
  <si>
    <t>036-2001043.Уренгойское.Неоком.ГСС.МЦК</t>
  </si>
  <si>
    <t>051-2005191.Уренгойское.Сеноман.Скважины.МЦК</t>
  </si>
  <si>
    <t>051-2005370.Уренгойское.Сеноман.ГСС.ГСС</t>
  </si>
  <si>
    <t>051-2006174.Уренгойское.Ачимовка.Скважины.КЛК</t>
  </si>
  <si>
    <t>051-1005673.Уренгойское.Сеноман.Тепло-, водоснабжение и очистные сооружения.Прочее оборудование</t>
  </si>
  <si>
    <t>051-2006446.Уренгойское.Сеноман.ДКС.АСПС КЗиПТ</t>
  </si>
  <si>
    <t>051-2006448.Уренгойское.Сеноман.ГСС.ЭХЗ</t>
  </si>
  <si>
    <t>051-2004692.Ен-Яхинское.Неоком.Скважины.НКТ</t>
  </si>
  <si>
    <t>б/н.Ен-Яхинское.Неоком.ДКС.УКПГ</t>
  </si>
  <si>
    <t>б/н.Ен-Яхинское.Неоком.ДКС.СПЧ</t>
  </si>
  <si>
    <t>б/н.Ен-Яхинское.Неоком.ГСС.МКУ</t>
  </si>
  <si>
    <t>б/н.Ен-Яхинское.Неоком.Скважины.ЗБС</t>
  </si>
  <si>
    <t>б/н.Ен-Яхинское.Неоком.Скважины.Новые скважины</t>
  </si>
  <si>
    <t>б/н.Ен-Яхинское.Неоком.ДКС.ДКС</t>
  </si>
  <si>
    <t>б/н.Уренгойское.Ачимовка.ДКС.</t>
  </si>
  <si>
    <t>б/н.Уренгойское.Сеноман.Скважины.ЗБС</t>
  </si>
  <si>
    <t>б/н.Уренгойское.Сеноман.Скважины.Новые скважины</t>
  </si>
  <si>
    <t>036-2004692.Уренгойское.Сеноман.Скважины.КЛК</t>
  </si>
  <si>
    <t>051-1005263.Уренгойское.Сеноман.ДКС.ДКС</t>
  </si>
  <si>
    <t>051-1005271.Уренгойское.Сеноман.ДКС.ДКС</t>
  </si>
  <si>
    <t>051-1005268.Уренгойское.Сеноман.ДКС.ДКС</t>
  </si>
  <si>
    <t>б/н.Уренгойское.Сеноман.Скважины.</t>
  </si>
  <si>
    <t>б/н.Уренгойское.Неоком.Скважины.ЗБС</t>
  </si>
  <si>
    <t>б/н.Уренгойское.Неоком.Скважины.Новые скважины</t>
  </si>
  <si>
    <t>б/н.Уренгойское.Ачимовка.Скважины.Новые скважины</t>
  </si>
  <si>
    <t>051-2005495.Заполярное.Неоком.ГСС.КЗПОУ</t>
  </si>
  <si>
    <t>051-2005690.Заполярное.Неоком.Прочие объекты инженерного обеспечения.Прочее оборудование</t>
  </si>
  <si>
    <t>051-2005700 .Заполярное.Неоком.ДКС.СПЧ</t>
  </si>
  <si>
    <t>051-2005199 .Заполярное.Неоком.Прочие объекты инженерного обеспечения.Прочее оборудование</t>
  </si>
  <si>
    <t>051-2005696 .Заполярное.Неоком.Прочие объекты инженерного обеспечения.Прочее оборудование</t>
  </si>
  <si>
    <t>051-2007099.Заполярное.Неоком.Прочие объекты инженерного обеспечения.Прочее оборудование</t>
  </si>
  <si>
    <t>051-1005102.Заполярное.Неоком.Скважины.НКТ</t>
  </si>
  <si>
    <t>051-3001233.Заполярное.Неоком.Скважины.ЗБС</t>
  </si>
  <si>
    <t>051-2005700.Заполярное.Неоком.ДКС.СПЧ</t>
  </si>
  <si>
    <t>051-1005980.Заполярное.Неоком.ДКС.ДКС</t>
  </si>
  <si>
    <t>051-2005700.Заполярное.Неоком.ДКС.Теплообменник</t>
  </si>
  <si>
    <t>051-1005979.Заполярное.Неоком.ДКС.ДКС</t>
  </si>
  <si>
    <t>051-1005979.Заполярное.Неоком.ДКС.ГПА</t>
  </si>
  <si>
    <t>051-1005980.Заполярное.Неоком.ДКС.ГПА</t>
  </si>
  <si>
    <t>б/н.Заполярное.Неоком.ДКС.СПЧ</t>
  </si>
  <si>
    <t>051-2005102.Заполярное.Сеноман.Скважины.КЛК</t>
  </si>
  <si>
    <t>051-2005694.Заполярное.Сеноман.Скважины.СПЧ</t>
  </si>
  <si>
    <t>051-2005495.Заполярное.Сеноман.ГСС.КЗПОУ</t>
  </si>
  <si>
    <t>051-2005695.Заполярное.Сеноман.Прочие объекты инженерного обеспечения.АСПС КЗиПТ</t>
  </si>
  <si>
    <t>051-2006021 .Заполярное.Сеноман.Прочие объекты инженерного обеспечения.АСПС КЗиПТ</t>
  </si>
  <si>
    <t>051-2005699.Заполярное.Сеноман.Тепло-, водоснабжение и очистные сооружения.ЭСН</t>
  </si>
  <si>
    <t>051-2006572.Заполярное.Сеноман.ДКС.СПЧ</t>
  </si>
  <si>
    <t>б/н.Заполярное.Сеноман.ДКС.ДКС</t>
  </si>
  <si>
    <t>051-1001244.Заполярное.Сеноман.ДКС.ДКС</t>
  </si>
  <si>
    <t>051-1001243.Заполярное.Сеноман.ДКС.ДКС</t>
  </si>
  <si>
    <t>051-2005694.Заполярное.Сеноман.ДКС.СПЧ</t>
  </si>
  <si>
    <t>б/н.Заполярное.Сеноман.ДКС.ГПА</t>
  </si>
  <si>
    <t>б/н.Заполярное.Сеноман.ГСС.ГСС</t>
  </si>
  <si>
    <t>б/н.Заполярное.Сеноман.ДКС.ТКА</t>
  </si>
  <si>
    <t>051-1004010.Заполярное.Турон.Скважины.Новые скважины</t>
  </si>
  <si>
    <t>б/н.Заполярное.Турон.Скважины.Прочее оборудование</t>
  </si>
  <si>
    <t>б/н.Заполярное.Турон.Скважины.ЗБС</t>
  </si>
  <si>
    <t>б/н.Заполярное.Юра.Скважины.Новые скважины</t>
  </si>
  <si>
    <t>051-2005474.Ямбургское.Неоком.Скважины.НКТ</t>
  </si>
  <si>
    <t>051-2005697.Ямбургское.Неоком.Тепло-, водоснабжение и очистные сооружения.АСПС КЗиПТ</t>
  </si>
  <si>
    <t>051-2006573.Ямбургское.Неоком.Скважины.КЛК</t>
  </si>
  <si>
    <t>051-2001204.Ямбургское.Неоком.Скважины.АСПС КЗиПТ</t>
  </si>
  <si>
    <t>051-2004693.Ямбургское.Неоком.ГСС.Инженерная защита газопровода шлейфа</t>
  </si>
  <si>
    <t>051-2005853 .Ямбургское.Неоком.Тепло-, водоснабжение и очистные сооружения.АСПС КЗиПТ</t>
  </si>
  <si>
    <t>051-2006022 .Ямбургское.Неоком.Тепло-, водоснабжение и очистные сооружения.АСУТП</t>
  </si>
  <si>
    <t>051-1005366.Ямбургское.Неоком.Скважины.Новые скважины</t>
  </si>
  <si>
    <t>051-3001202.Ямбургское.Неоком.Скважины.ЗБС</t>
  </si>
  <si>
    <t>051-2004023.Ямбургское.Сеноман.ГСС.ГСС</t>
  </si>
  <si>
    <t>051-2004432.Ямбургское.Сеноман.Скважины.КЛК</t>
  </si>
  <si>
    <t>051-2004432.Ямбургское.Сеноман.Скважины.Новые скважины</t>
  </si>
  <si>
    <t>051-2004694.Ямбургское.Сеноман.Скважины.КЛК</t>
  </si>
  <si>
    <t>051-2006573.Ямбургское.Сеноман.Скважины.КЛК</t>
  </si>
  <si>
    <t>051-2005475.Ямбургское.Сеноман.Тепло-, водоснабжение и очистные сооружения.АСПС КЗиПТ</t>
  </si>
  <si>
    <t>051-2005698.Ямбургское.Сеноман.Тепло-, водоснабжение и очистные сооружения.АСПС КЗиПТ</t>
  </si>
  <si>
    <t>051-2005261.Ямбургское.Сеноман.Прочие объекты инженерного обеспечения.Прочее оборудование</t>
  </si>
  <si>
    <t>051-2001230.Ямбургское.Сеноман.Тепло-, водоснабжение и очистные сооружения.Прочее оборудование</t>
  </si>
  <si>
    <t>051-2004023.Ямбургское.Сеноман.ГСС.МКУ</t>
  </si>
  <si>
    <t>051-2004024.Ямбургское.Сеноман.ГСС.МКУ</t>
  </si>
  <si>
    <t>051-2004952.Ямбургское.Сеноман.Скважины.Новые скважины</t>
  </si>
  <si>
    <t>051-2006652.Ямбургское.Сеноман.Скважины.Новые скважины</t>
  </si>
  <si>
    <t>051-3001209.Ямбургское.Сеноман.Скважины.ЗБС</t>
  </si>
  <si>
    <t>051-1006512.Ямбургское.Сеноман.ДКС.ГПА</t>
  </si>
  <si>
    <t>б/н.Ямбургское.Сеноман.ДКС.СПЧ</t>
  </si>
  <si>
    <t>б/н.Ямбургское.Сеноман.ДКС.ГПА</t>
  </si>
  <si>
    <t>051-2004026.Ямбургское.Сеноман.ГСС.МКУ</t>
  </si>
  <si>
    <t>б/н.Ямбургское.Неоком.Скважины.ЗБС</t>
  </si>
  <si>
    <t>051-1005700.Ямбургское.Неоком.ДКС.СПЧ</t>
  </si>
  <si>
    <t>Карбон</t>
  </si>
  <si>
    <t>Геологический горизонт</t>
  </si>
  <si>
    <t>Месторождение</t>
  </si>
  <si>
    <t>ГДО</t>
  </si>
  <si>
    <t>Месторождения</t>
  </si>
  <si>
    <t>Сценарий</t>
  </si>
  <si>
    <t>Флажок</t>
  </si>
  <si>
    <t>Ямбургское.Сеноман</t>
  </si>
  <si>
    <t>Астраханское.Карбон</t>
  </si>
  <si>
    <t>залежь башкирского яруса C2b</t>
  </si>
  <si>
    <t>Бованенковское.Неоком-юра</t>
  </si>
  <si>
    <t>Ю2</t>
  </si>
  <si>
    <t>Восточно-Харвутинская</t>
  </si>
  <si>
    <t>Бованенковское.Сеноман-апт</t>
  </si>
  <si>
    <t>Ямбургское.Неоком</t>
  </si>
  <si>
    <t>Юра</t>
  </si>
  <si>
    <t>Заполярное.Сеноман</t>
  </si>
  <si>
    <t>Ачимовка</t>
  </si>
  <si>
    <t>Заполярное.Неоком</t>
  </si>
  <si>
    <t>Заполярное.Турон</t>
  </si>
  <si>
    <t>V</t>
  </si>
  <si>
    <t>Заполярное.Юра</t>
  </si>
  <si>
    <t>неоком</t>
  </si>
  <si>
    <t>Уренгойское.Ачимовка</t>
  </si>
  <si>
    <t>1А</t>
  </si>
  <si>
    <t>Вынгапуровское.Сеноман</t>
  </si>
  <si>
    <t>ачимовка</t>
  </si>
  <si>
    <t>2А</t>
  </si>
  <si>
    <t>Вынгаяхинское.Сеноман</t>
  </si>
  <si>
    <t>юра</t>
  </si>
  <si>
    <t>3А</t>
  </si>
  <si>
    <t>Губкинское.Сеноман</t>
  </si>
  <si>
    <t>4А</t>
  </si>
  <si>
    <t>Ен-Яхинское.Неоком</t>
  </si>
  <si>
    <t>5А</t>
  </si>
  <si>
    <t>Уренгойское.Сеноман</t>
  </si>
  <si>
    <t>Еты-Пуровское.Сеноман</t>
  </si>
  <si>
    <t>Ен-Яхинская</t>
  </si>
  <si>
    <t>Западно-Таркосалинское.Ачимовский</t>
  </si>
  <si>
    <t>VIII</t>
  </si>
  <si>
    <t>Уренгойское.Неоком</t>
  </si>
  <si>
    <t>Западно-Таркосалинское.Неоком</t>
  </si>
  <si>
    <t>Неоком-Юра</t>
  </si>
  <si>
    <t>Песцовое.неоком</t>
  </si>
  <si>
    <t>Песцовое.ачимовка</t>
  </si>
  <si>
    <t>Песцовое.юра</t>
  </si>
  <si>
    <t>Медвежье.Неоком</t>
  </si>
  <si>
    <t>Медвежье.Ачимовский</t>
  </si>
  <si>
    <t xml:space="preserve">Кшукское </t>
  </si>
  <si>
    <t>Этолонская свита</t>
  </si>
  <si>
    <t>Медвежье.Сеноман</t>
  </si>
  <si>
    <t>VII+VIIa</t>
  </si>
  <si>
    <t>Ухтолокская свита</t>
  </si>
  <si>
    <t>Медвежье.Сенон</t>
  </si>
  <si>
    <t>Западно-Таркосалинское.Сеноман</t>
  </si>
  <si>
    <t>Эрмановская свита</t>
  </si>
  <si>
    <t>Ямсовейское.Сеноман</t>
  </si>
  <si>
    <t>Западно-Таркосалинское.Юра</t>
  </si>
  <si>
    <t>IX</t>
  </si>
  <si>
    <t>Утхолокская свита</t>
  </si>
  <si>
    <t>Ямсовейское.Ачимовка</t>
  </si>
  <si>
    <t>Ботуобинский горизонт</t>
  </si>
  <si>
    <t>Хамакинский горизонт</t>
  </si>
  <si>
    <t>Бованенковское.Неоком-Юра</t>
  </si>
  <si>
    <t>Талахский горизонт</t>
  </si>
  <si>
    <t>Харасавэйское.Сеноман-апт</t>
  </si>
  <si>
    <t>Основная артинско-среднекаменноугольная залежь</t>
  </si>
  <si>
    <t>Iа</t>
  </si>
  <si>
    <t>Филипповская залежь</t>
  </si>
  <si>
    <t>Среднекаменноугольная залежь</t>
  </si>
  <si>
    <t>Т</t>
  </si>
  <si>
    <t>Девонская залежь</t>
  </si>
  <si>
    <t>Кшукское .Этолонская свита</t>
  </si>
  <si>
    <t>Залежи пластов A1-A4</t>
  </si>
  <si>
    <t>Кшукское .Ухтолокская свита</t>
  </si>
  <si>
    <t>Комсомольское.Сеноман</t>
  </si>
  <si>
    <t>Блок I север</t>
  </si>
  <si>
    <t>Кшукское .Эрмановская свита</t>
  </si>
  <si>
    <t>Iд</t>
  </si>
  <si>
    <t>Блок I Юг</t>
  </si>
  <si>
    <t>Северо-Колпаковское.Утхолокская свита</t>
  </si>
  <si>
    <t>Iн</t>
  </si>
  <si>
    <t>Ассельская залежь</t>
  </si>
  <si>
    <t>Чаяндинское.Ботуобинский горизонт</t>
  </si>
  <si>
    <t>Чаяндинское.Хамакинский горизонт</t>
  </si>
  <si>
    <t>Девонские отложения</t>
  </si>
  <si>
    <t>Чаяндинское.Талахский горизонт</t>
  </si>
  <si>
    <t>Карбоновые отложения</t>
  </si>
  <si>
    <t>Оренбургское.Основная артинско-среднекаменноугольная залежь</t>
  </si>
  <si>
    <t>IIа</t>
  </si>
  <si>
    <t>Пермские отложения</t>
  </si>
  <si>
    <t>Оренбургское.Филипповская залежь</t>
  </si>
  <si>
    <t xml:space="preserve">Юрские отложения </t>
  </si>
  <si>
    <t>Оренбургское.Среднекаменноугольная залежь</t>
  </si>
  <si>
    <t xml:space="preserve">Меловые отложения </t>
  </si>
  <si>
    <t>Туронский</t>
  </si>
  <si>
    <t>Печорокожвинское.Девонские отложения</t>
  </si>
  <si>
    <t>Iб</t>
  </si>
  <si>
    <t>Апт-альб-сеноманский</t>
  </si>
  <si>
    <t>Печорокожвинское.Карбоновые отложения</t>
  </si>
  <si>
    <t>Iв</t>
  </si>
  <si>
    <t>Печорокожвинское.Пермские отложения</t>
  </si>
  <si>
    <t>Iг</t>
  </si>
  <si>
    <t xml:space="preserve">Васюганский </t>
  </si>
  <si>
    <t xml:space="preserve">Деминское.Юрские отложения </t>
  </si>
  <si>
    <t>Малышевский</t>
  </si>
  <si>
    <t xml:space="preserve">Деминское.Меловые отложения </t>
  </si>
  <si>
    <t>Куломзинский</t>
  </si>
  <si>
    <t>Южно-Русское.Туронский</t>
  </si>
  <si>
    <t>X</t>
  </si>
  <si>
    <t>Черкашинский</t>
  </si>
  <si>
    <t>Южно-Русское.Апт-альб-сеноманский</t>
  </si>
  <si>
    <t>XI</t>
  </si>
  <si>
    <t>Васюганский</t>
  </si>
  <si>
    <t>XIа</t>
  </si>
  <si>
    <t>Тюменский</t>
  </si>
  <si>
    <t xml:space="preserve">Мыльджинское.Васюганский </t>
  </si>
  <si>
    <t>Кора выветривания</t>
  </si>
  <si>
    <t>Мыльджинское.Малышевский</t>
  </si>
  <si>
    <t>Образования доюрского фундамента</t>
  </si>
  <si>
    <t>Мыльджинское.Куломзинский</t>
  </si>
  <si>
    <t>Оренбургское.Ассельская залежь</t>
  </si>
  <si>
    <t>P7</t>
  </si>
  <si>
    <t>Мыльджинское.Черкашинский</t>
  </si>
  <si>
    <t>Оренбургское.Блок I север</t>
  </si>
  <si>
    <t>P4+5+6</t>
  </si>
  <si>
    <t>Останинское.Васюганский</t>
  </si>
  <si>
    <t>Оренбургское.Блок I Юг</t>
  </si>
  <si>
    <t>Останинское.Тюменский</t>
  </si>
  <si>
    <t>Оренбургское.Девонская залежь</t>
  </si>
  <si>
    <t>Дкт-2+Дкт-3</t>
  </si>
  <si>
    <t>Останинское.Кора выветривания</t>
  </si>
  <si>
    <t>Оренбургское.Залежи пластов A1-A4</t>
  </si>
  <si>
    <t>A1/1-A4/1</t>
  </si>
  <si>
    <t>Останинское.Образования доюрского фундамента</t>
  </si>
  <si>
    <t xml:space="preserve">Казанское.Юрские отложения </t>
  </si>
  <si>
    <t>A0-A2</t>
  </si>
  <si>
    <t>P3</t>
  </si>
  <si>
    <t>Юбилейное.Сеноман</t>
  </si>
  <si>
    <t>Юбилейное.Неоком</t>
  </si>
  <si>
    <t>Девон</t>
  </si>
  <si>
    <t>Дагинский</t>
  </si>
  <si>
    <t>Парфеновский</t>
  </si>
  <si>
    <t>Северо-Уренгойское.Сеноман</t>
  </si>
  <si>
    <t>Тутлеймская свита</t>
  </si>
  <si>
    <t>Вуктыльское.Карбон</t>
  </si>
  <si>
    <t>Западно-Соплесское.Девон</t>
  </si>
  <si>
    <t>Лугинецкий</t>
  </si>
  <si>
    <t>Югидское.Девон</t>
  </si>
  <si>
    <t>Герасимовский</t>
  </si>
  <si>
    <t>Киринское.Дагинский</t>
  </si>
  <si>
    <t>Ковыктинское.Парфеновский</t>
  </si>
  <si>
    <t>Березовское.Тутлеймская свита</t>
  </si>
  <si>
    <t>Болтное.Васюганский</t>
  </si>
  <si>
    <t>2а+3а</t>
  </si>
  <si>
    <t>Северо-Останинское.Лугинецкий</t>
  </si>
  <si>
    <t>4.1б</t>
  </si>
  <si>
    <t>Нарыкско-Осташкинское</t>
  </si>
  <si>
    <t>Северо-Останинское.Герасимовский</t>
  </si>
  <si>
    <t>4.5б</t>
  </si>
  <si>
    <t>Мирное.Васюганский</t>
  </si>
  <si>
    <t>Пинджинское.Васюганский</t>
  </si>
  <si>
    <t>Рыбальное.Васюганский</t>
  </si>
  <si>
    <t>Рыбальное.Тюменский</t>
  </si>
  <si>
    <t>Нарыкско-Осташкинское.Пермские отложения</t>
  </si>
  <si>
    <t>Т1-2</t>
  </si>
  <si>
    <t>БУ2/1</t>
  </si>
  <si>
    <t>БУ8/2</t>
  </si>
  <si>
    <t>БУ8/3</t>
  </si>
  <si>
    <t>БУ9/2</t>
  </si>
  <si>
    <t>Каменномысское-море</t>
  </si>
  <si>
    <t>Северо-Каменномысское</t>
  </si>
  <si>
    <t>АО "Газпром газораспределение Элиста"</t>
  </si>
  <si>
    <t>Совхозное</t>
  </si>
  <si>
    <t>Ики-Бурульское</t>
  </si>
  <si>
    <t>ООО "Газпромвьет"</t>
  </si>
  <si>
    <t>Нагумановское</t>
  </si>
  <si>
    <t>Северо-Пуровское</t>
  </si>
  <si>
    <t>ООО "Сахалинская Энергия"</t>
  </si>
  <si>
    <t>Пластовый</t>
  </si>
  <si>
    <t>Сухой</t>
  </si>
  <si>
    <t>ПНГ</t>
  </si>
  <si>
    <t>Нестабильный</t>
  </si>
  <si>
    <t>Стабильный</t>
  </si>
  <si>
    <t>Газ</t>
  </si>
  <si>
    <t>Вода</t>
  </si>
  <si>
    <t>Давление</t>
  </si>
  <si>
    <t>Обводненность</t>
  </si>
  <si>
    <t>из бурения</t>
  </si>
  <si>
    <t>из консервации</t>
  </si>
  <si>
    <t>Газодобывающий</t>
  </si>
  <si>
    <t>Нефтедобывающий</t>
  </si>
  <si>
    <t>Газонагнетательный</t>
  </si>
  <si>
    <t>Водонагнетательный</t>
  </si>
  <si>
    <t>Газодобывающие</t>
  </si>
  <si>
    <t>Нефтедобывающие</t>
  </si>
  <si>
    <t>Газонагнетательные</t>
  </si>
  <si>
    <t>Водонагнетательные</t>
  </si>
  <si>
    <t>на другой объект</t>
  </si>
  <si>
    <t>под закачку</t>
  </si>
  <si>
    <t>в консервацию</t>
  </si>
  <si>
    <t>в ликвидацию</t>
  </si>
  <si>
    <t>в другое назначение</t>
  </si>
  <si>
    <t>Пластовое</t>
  </si>
  <si>
    <t>Депрессия</t>
  </si>
  <si>
    <t>Забойное</t>
  </si>
  <si>
    <t>Устьевое</t>
  </si>
  <si>
    <t>Жидкость</t>
  </si>
  <si>
    <t>Конденсат</t>
  </si>
  <si>
    <t>Нефть</t>
  </si>
  <si>
    <t>шт.</t>
  </si>
  <si>
    <t>МПа (абс)</t>
  </si>
  <si>
    <t>м/сут</t>
  </si>
  <si>
    <t>м3/т</t>
  </si>
  <si>
    <t>%</t>
  </si>
  <si>
    <t>тыс.т/сут</t>
  </si>
  <si>
    <t>Газа</t>
  </si>
  <si>
    <t xml:space="preserve">Конденсата </t>
  </si>
  <si>
    <t xml:space="preserve">Нефти </t>
  </si>
  <si>
    <t>Минимально-скваженный</t>
  </si>
  <si>
    <t>Минимально-оптимальный</t>
  </si>
  <si>
    <t>Долгосрочный целевой</t>
  </si>
  <si>
    <t>Тип флюида</t>
  </si>
  <si>
    <t>Наличие ППД</t>
  </si>
  <si>
    <t>Да</t>
  </si>
  <si>
    <t>Нет</t>
  </si>
  <si>
    <t>Экслуатационный объект (полное наименование)</t>
  </si>
  <si>
    <t>Газ+Конденсат</t>
  </si>
  <si>
    <t>Газ+Конденсат+Нефть</t>
  </si>
  <si>
    <t>Дебит
добывающих
скважин</t>
  </si>
  <si>
    <t>Приемистость 
нагнетательных 
скважин</t>
  </si>
  <si>
    <t>Газовый 
фактор</t>
  </si>
  <si>
    <t>Максимальная
суточная
добыча</t>
  </si>
  <si>
    <t>Месяц/ Квартал</t>
  </si>
  <si>
    <t>Вид нагнетательных скважин в случае наличия ППД</t>
  </si>
  <si>
    <t>перевод скважин из другого объекта в</t>
  </si>
  <si>
    <t>Газонагнетательные+Водонагнетательные</t>
  </si>
  <si>
    <t>Базовый</t>
  </si>
  <si>
    <t>Утвержденный</t>
  </si>
  <si>
    <t>Накопленная добыча стабильного конденсата, млн. т</t>
  </si>
  <si>
    <t>Накопленная добыча нефти, млн. т</t>
  </si>
  <si>
    <t>Наличие ППД (только при наличии нефти)</t>
  </si>
  <si>
    <t>Дата заполнения</t>
  </si>
  <si>
    <t>Автор</t>
  </si>
  <si>
    <t>Уровни добычи из АН</t>
  </si>
  <si>
    <t>Минимально-технологический</t>
  </si>
  <si>
    <t>Сепарации</t>
  </si>
  <si>
    <r>
      <t>млрд.м</t>
    </r>
    <r>
      <rPr>
        <vertAlign val="superscript"/>
        <sz val="10"/>
        <color rgb="FF000000"/>
        <rFont val="Times New Roman"/>
        <family val="1"/>
        <charset val="204"/>
      </rPr>
      <t>3</t>
    </r>
  </si>
  <si>
    <t>Технологические потери</t>
  </si>
  <si>
    <t>Товарнная
добыча</t>
  </si>
  <si>
    <t>Товарнная добыча</t>
  </si>
  <si>
    <t>сухой газ</t>
  </si>
  <si>
    <t>газ сепарации</t>
  </si>
  <si>
    <t>Добыча</t>
  </si>
  <si>
    <t>Воды</t>
  </si>
  <si>
    <t>Начальные геологические запасы стабильного конденсата, млн. т</t>
  </si>
  <si>
    <t>Начальные геологические запасы нефти, млн. т</t>
  </si>
  <si>
    <r>
      <t>Накопленная добыча сухого газа, млрд. м</t>
    </r>
    <r>
      <rPr>
        <b/>
        <vertAlign val="superscript"/>
        <sz val="10"/>
        <color rgb="FF000000"/>
        <rFont val="Times New Roman"/>
        <family val="1"/>
        <charset val="204"/>
      </rPr>
      <t>3</t>
    </r>
  </si>
  <si>
    <r>
      <t>Начальные геологически запасы сухого газа, млрд. м</t>
    </r>
    <r>
      <rPr>
        <b/>
        <vertAlign val="superscript"/>
        <sz val="10"/>
        <color rgb="FF000000"/>
        <rFont val="Times New Roman"/>
        <family val="1"/>
        <charset val="204"/>
      </rPr>
      <t>3</t>
    </r>
  </si>
  <si>
    <t>Удельный выход нестабильного конденсата на газ сепарации</t>
  </si>
  <si>
    <t>входа в</t>
  </si>
  <si>
    <t>выхода из</t>
  </si>
  <si>
    <t>Входа в магистраль</t>
  </si>
  <si>
    <t>УППГ/УКПГ</t>
  </si>
  <si>
    <t>УПН/УКПН</t>
  </si>
  <si>
    <r>
      <t>тыс.м</t>
    </r>
    <r>
      <rPr>
        <vertAlign val="superscript"/>
        <sz val="10"/>
        <color rgb="FF000000"/>
        <rFont val="Times New Roman"/>
        <family val="1"/>
        <charset val="204"/>
      </rPr>
      <t>3</t>
    </r>
  </si>
  <si>
    <r>
      <t>тыс.м</t>
    </r>
    <r>
      <rPr>
        <vertAlign val="superscript"/>
        <sz val="10"/>
        <color rgb="FF000000"/>
        <rFont val="Times New Roman"/>
        <family val="1"/>
        <charset val="204"/>
      </rPr>
      <t>3</t>
    </r>
    <r>
      <rPr>
        <sz val="10"/>
        <color rgb="FF000000"/>
        <rFont val="Times New Roman"/>
        <family val="1"/>
        <charset val="204"/>
      </rPr>
      <t>/сут</t>
    </r>
  </si>
  <si>
    <r>
      <t>млн.м</t>
    </r>
    <r>
      <rPr>
        <vertAlign val="superscript"/>
        <sz val="10"/>
        <color rgb="FF000000"/>
        <rFont val="Times New Roman"/>
        <family val="1"/>
        <charset val="204"/>
      </rPr>
      <t>3</t>
    </r>
    <r>
      <rPr>
        <sz val="10"/>
        <color rgb="FF000000"/>
        <rFont val="Times New Roman"/>
        <family val="1"/>
        <charset val="204"/>
      </rPr>
      <t>/сут</t>
    </r>
  </si>
  <si>
    <t>Действующий
(на начало прогнозного периода)</t>
  </si>
  <si>
    <t>Действующий
простаивающий
(на начало прогнозного периода)</t>
  </si>
  <si>
    <t>Ввод новых скважин (за прогнозный период)</t>
  </si>
  <si>
    <t>Выбытие скважин ( за прогнозный период)</t>
  </si>
  <si>
    <t>Действующий
(за прогнозный период)</t>
  </si>
  <si>
    <t>Наименование оборудования</t>
  </si>
  <si>
    <t>Ед. изм.</t>
  </si>
  <si>
    <t>Физический объем 
(в натуральном выражении)</t>
  </si>
  <si>
    <t>Год ввода</t>
  </si>
  <si>
    <t>Краткое Название стройки</t>
  </si>
  <si>
    <t>Комментарии к физическому объему</t>
  </si>
  <si>
    <t>Пиковый баланс газа</t>
  </si>
  <si>
    <t>КПР</t>
  </si>
  <si>
    <t>ДПР</t>
  </si>
  <si>
    <t>АО "Пургаз"</t>
  </si>
  <si>
    <t>ООО "Севернефтегазпром"</t>
  </si>
  <si>
    <t>3 г План + Потенциал</t>
  </si>
  <si>
    <t>Минимальный скважинный</t>
  </si>
  <si>
    <t>Минимальный технологический</t>
  </si>
  <si>
    <t>051-2000006.Астраханское.Карбон.Скважины</t>
  </si>
  <si>
    <t>051-2000005.Астраханское.Карбон.Скважины</t>
  </si>
  <si>
    <t>051-2004395.Астраханское.Карбон.Скважины</t>
  </si>
  <si>
    <t>051-2000010.Астраханское.Карбон.Скважины</t>
  </si>
  <si>
    <t>б/н.Астраханское.Карбон.УКПГ</t>
  </si>
  <si>
    <t>Боковой ствол</t>
  </si>
  <si>
    <t>скв.</t>
  </si>
  <si>
    <t>Скважина с ЭЦН</t>
  </si>
  <si>
    <t>Бурение вертикальной скважины</t>
  </si>
  <si>
    <t xml:space="preserve">Бурение S-образной скважины </t>
  </si>
  <si>
    <t xml:space="preserve">Бурение горизонтальной скважины </t>
  </si>
  <si>
    <t xml:space="preserve">Бурение субгоризонтальной скважины </t>
  </si>
  <si>
    <t>Бурение вертикальной скважины  с ГРП</t>
  </si>
  <si>
    <t>Бурение S-образной скважины с ГРП</t>
  </si>
  <si>
    <t>Бурение горизонтальной скважины  с ГРП</t>
  </si>
  <si>
    <t>Бурение субгоризонтальной скважины  с ГРП</t>
  </si>
  <si>
    <t>Бурение вертикальной скважины  с МГРП</t>
  </si>
  <si>
    <t>Бурение S-образной скважины  с МГРП</t>
  </si>
  <si>
    <t>Бурение горизонтальной скважины с МГРП</t>
  </si>
  <si>
    <t>Бурение субгоризонтальной скважины  с МГРП</t>
  </si>
  <si>
    <t>ЗБС</t>
  </si>
  <si>
    <t>Перевод скважин</t>
  </si>
  <si>
    <t>Перевод скважин на газлифт</t>
  </si>
  <si>
    <t>Перевод скважин в нагнетание</t>
  </si>
  <si>
    <t>ГПА</t>
  </si>
  <si>
    <t>МКУ</t>
  </si>
  <si>
    <t>Привод ГПА</t>
  </si>
  <si>
    <t>Нагнетатель ГПА</t>
  </si>
  <si>
    <t>СПЧ нагнетателей ГПА</t>
  </si>
  <si>
    <t>СПЧ турбодетандеров</t>
  </si>
  <si>
    <t>АВО</t>
  </si>
  <si>
    <t>ЗРА (горячая серия)</t>
  </si>
  <si>
    <t>компл./КЦ</t>
  </si>
  <si>
    <t>Вспомогательные системы ДКС</t>
  </si>
  <si>
    <t>сист.</t>
  </si>
  <si>
    <t>АСУТП ПО</t>
  </si>
  <si>
    <t>система</t>
  </si>
  <si>
    <t>АСПС КЗиПТ ДКС</t>
  </si>
  <si>
    <t>САУ ГПА</t>
  </si>
  <si>
    <t>АСУТП КЦ ДКС</t>
  </si>
  <si>
    <t>АСДО ДКС</t>
  </si>
  <si>
    <t>Насосная</t>
  </si>
  <si>
    <t>Установка утилизации продуктов поршевания</t>
  </si>
  <si>
    <t>Система подачи метанола</t>
  </si>
  <si>
    <t>Система подготовки пластовой воды</t>
  </si>
  <si>
    <t>ГФУ</t>
  </si>
  <si>
    <t>Подземная продувочная емкость</t>
  </si>
  <si>
    <t>Амбары ГФУ</t>
  </si>
  <si>
    <t>ПРГ</t>
  </si>
  <si>
    <t>Компрессорная воздуха КИП</t>
  </si>
  <si>
    <t>Установка регенерации метанола</t>
  </si>
  <si>
    <t>Установка регенерации гликоля</t>
  </si>
  <si>
    <t>Установка получения азота</t>
  </si>
  <si>
    <t>АСУЭ</t>
  </si>
  <si>
    <t>АСПС КЗиПТ ПО</t>
  </si>
  <si>
    <t>Связь</t>
  </si>
  <si>
    <t>ИУС</t>
  </si>
  <si>
    <t>УЗГ</t>
  </si>
  <si>
    <t>КИТСО</t>
  </si>
  <si>
    <t>компл.</t>
  </si>
  <si>
    <t>ЛЭП</t>
  </si>
  <si>
    <t>км</t>
  </si>
  <si>
    <t>Внутриплощадочные электрические сети</t>
  </si>
  <si>
    <t>ЭСН</t>
  </si>
  <si>
    <t>АЭК</t>
  </si>
  <si>
    <t>ЗРУ</t>
  </si>
  <si>
    <t>КТП</t>
  </si>
  <si>
    <t>САКЗ</t>
  </si>
  <si>
    <t>ЭХЗ</t>
  </si>
  <si>
    <t>СКМ</t>
  </si>
  <si>
    <t>Cистема подачи ингибитора коррозии</t>
  </si>
  <si>
    <t>ТП</t>
  </si>
  <si>
    <t>Отделение подогрева теплоносителя</t>
  </si>
  <si>
    <t>Тепловая сеть</t>
  </si>
  <si>
    <t>Котел</t>
  </si>
  <si>
    <t>Котельная</t>
  </si>
  <si>
    <t>Водозабор</t>
  </si>
  <si>
    <t>станц.</t>
  </si>
  <si>
    <t>ВНС</t>
  </si>
  <si>
    <t>ВОС</t>
  </si>
  <si>
    <t>Сети водоснабжения и канализации</t>
  </si>
  <si>
    <t>Резервуар</t>
  </si>
  <si>
    <t>КНС</t>
  </si>
  <si>
    <t>Канализация ливневая</t>
  </si>
  <si>
    <t>КОС</t>
  </si>
  <si>
    <t>Система вентиляции и кондиционирования</t>
  </si>
  <si>
    <t>Подогреватель нефти</t>
  </si>
  <si>
    <t>Химлаборатория</t>
  </si>
  <si>
    <t>лабор.</t>
  </si>
  <si>
    <t>Склад ГСМ</t>
  </si>
  <si>
    <t>склад</t>
  </si>
  <si>
    <t>Склад абсорбента</t>
  </si>
  <si>
    <t>Склад метанола</t>
  </si>
  <si>
    <t>СЭБ</t>
  </si>
  <si>
    <t>Переход через преграды</t>
  </si>
  <si>
    <t>переход</t>
  </si>
  <si>
    <t>Здания и сооружения</t>
  </si>
  <si>
    <t>Автодорога</t>
  </si>
  <si>
    <t>Система с установкой средств коррозионного мониторинга</t>
  </si>
  <si>
    <t>Механический регулятор метанола</t>
  </si>
  <si>
    <t>КП ЛТМ</t>
  </si>
  <si>
    <t>НКТ</t>
  </si>
  <si>
    <t>ПО</t>
  </si>
  <si>
    <t>ФА</t>
  </si>
  <si>
    <t>КЛК</t>
  </si>
  <si>
    <t>Газлифтная установка</t>
  </si>
  <si>
    <t>Факельная установка скважин (куста скважин)</t>
  </si>
  <si>
    <t>Скважинный подогреватель</t>
  </si>
  <si>
    <t>Нагревательный кабель скважин</t>
  </si>
  <si>
    <t>Прискважинное оборудование</t>
  </si>
  <si>
    <t>УК КЛК</t>
  </si>
  <si>
    <t>Телемеханика (телеметрия ) скважин</t>
  </si>
  <si>
    <t>Устройство подачи ПАВ</t>
  </si>
  <si>
    <t>КЗПОУ</t>
  </si>
  <si>
    <t>Датчики прохождения поршня</t>
  </si>
  <si>
    <t>КУ</t>
  </si>
  <si>
    <t>Десорбер</t>
  </si>
  <si>
    <t>Печь</t>
  </si>
  <si>
    <t>Теплообменник</t>
  </si>
  <si>
    <t>Абсорбер</t>
  </si>
  <si>
    <t>Разделитель</t>
  </si>
  <si>
    <t>ТДА</t>
  </si>
  <si>
    <t>Сепаратор</t>
  </si>
  <si>
    <t>Сепаратор ПУ</t>
  </si>
  <si>
    <t>ФУ УКПГ</t>
  </si>
  <si>
    <t>Система компримирования газа стабилизации, дегазации</t>
  </si>
  <si>
    <t>Тепловая изоляция наземных трубопроводов сырого газа УКПГ</t>
  </si>
  <si>
    <t>м</t>
  </si>
  <si>
    <t>АСУТП УКПГ</t>
  </si>
  <si>
    <t>АСПС КЗиПТ ГПА</t>
  </si>
  <si>
    <t>АСПС КЗиПТ УКПГ</t>
  </si>
  <si>
    <t>ГСС</t>
  </si>
  <si>
    <t>МПТ</t>
  </si>
  <si>
    <t>ЗРА</t>
  </si>
  <si>
    <t>Газлифтный трубопровод</t>
  </si>
  <si>
    <t>Метанолопровод</t>
  </si>
  <si>
    <t>Конденсатопровод</t>
  </si>
  <si>
    <t>МЦК</t>
  </si>
  <si>
    <t>ед.измерения</t>
  </si>
  <si>
    <t>Месяц/
Квартал</t>
  </si>
  <si>
    <t>051-2001317.Астраханское.Карбон.Скважины</t>
  </si>
  <si>
    <t>051-2001317.Астраханское.Карбон.ГСС</t>
  </si>
  <si>
    <t>051-2001317.Астраханское.Карбон.УКПГ</t>
  </si>
  <si>
    <t>051-2001317.Астраханское.Карбон.Прочие</t>
  </si>
  <si>
    <t>051-2002202.Астраханское.Карбон.Скважины</t>
  </si>
  <si>
    <t>Новые скважины</t>
  </si>
  <si>
    <t>флажок</t>
  </si>
  <si>
    <t>Скважины</t>
  </si>
  <si>
    <t>Площадь / Участки</t>
  </si>
  <si>
    <t>Форма сбора данных (ФСД) 2: Проектные уровни добычи, Горизонт</t>
  </si>
  <si>
    <t>GFGGNG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</si>
</sst>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0"/>
      <color rgb="FF000000"/>
      <name val="Arial"/>
      <charset val="1"/>
    </font>
    <font>
      <sz val="10"/>
      <color rgb="FF000000"/>
      <name val="Arial"/>
      <family val="2"/>
      <charset val="1"/>
    </font>
    <font>
      <sz val="12"/>
      <color rgb="FF000000"/>
      <name val="Arial"/>
      <family val="2"/>
      <charset val="204"/>
    </font>
    <font>
      <b/>
      <sz val="12"/>
      <color rgb="FF000000"/>
      <name val="Arial"/>
      <family val="2"/>
      <charset val="1"/>
    </font>
    <font>
      <b/>
      <u/>
      <sz val="12"/>
      <color rgb="FF000000"/>
      <name val="Arial (Основной текст)"/>
      <charset val="204"/>
    </font>
    <font>
      <sz val="10"/>
      <color rgb="FF000000"/>
      <name val="Times New Roman"/>
      <family val="1"/>
      <charset val="1"/>
    </font>
    <font>
      <b/>
      <sz val="10"/>
      <color rgb="FF000000"/>
      <name val="Times New Roman"/>
      <family val="1"/>
      <charset val="1"/>
    </font>
    <font>
      <b/>
      <sz val="10"/>
      <color theme="1"/>
      <name val="Times New Roman"/>
      <family val="1"/>
      <charset val="1"/>
    </font>
    <font>
      <i/>
      <sz val="10"/>
      <color theme="4" tint="-0.499984740745262"/>
      <name val="Times New Roman"/>
      <family val="1"/>
      <charset val="1"/>
    </font>
    <font>
      <sz val="10"/>
      <color rgb="FF000000"/>
      <name val="Times New Roman"/>
      <family val="1"/>
      <charset val="204"/>
    </font>
    <font>
      <sz val="10"/>
      <color rgb="FF000000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Calibri"/>
      <family val="2"/>
      <charset val="1"/>
    </font>
    <font>
      <sz val="10"/>
      <color theme="0" tint="-0.499984740745262"/>
      <name val="Times New Roman"/>
      <family val="1"/>
      <charset val="204"/>
    </font>
    <font>
      <sz val="11"/>
      <color theme="1"/>
      <name val="Arial"/>
      <family val="2"/>
      <scheme val="minor"/>
    </font>
    <font>
      <b/>
      <sz val="10"/>
      <color rgb="FF000000"/>
      <name val="Times New Roman"/>
      <family val="1"/>
      <charset val="204"/>
    </font>
    <font>
      <b/>
      <sz val="10"/>
      <color rgb="FF000000"/>
      <name val="Arial"/>
      <family val="2"/>
      <charset val="204"/>
    </font>
    <font>
      <sz val="10"/>
      <color rgb="FF000000"/>
      <name val="Times New Roman"/>
      <family val="1"/>
    </font>
    <font>
      <vertAlign val="superscript"/>
      <sz val="10"/>
      <color rgb="FF000000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vertAlign val="superscript"/>
      <sz val="10"/>
      <color rgb="FF000000"/>
      <name val="Times New Roman"/>
      <family val="1"/>
      <charset val="204"/>
    </font>
    <font>
      <b/>
      <sz val="9"/>
      <color indexed="81"/>
      <name val="Tahoma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rgb="FFB3CEFB"/>
      </patternFill>
    </fill>
    <fill>
      <patternFill patternType="solid">
        <fgColor theme="0" tint="-0.14999847407452621"/>
        <bgColor rgb="FFD9E7FD"/>
      </patternFill>
    </fill>
    <fill>
      <patternFill patternType="solid">
        <fgColor theme="0" tint="-4.9989318521683403E-2"/>
        <bgColor rgb="FFD9E7FD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14" fillId="0" borderId="0"/>
  </cellStyleXfs>
  <cellXfs count="92">
    <xf numFmtId="0" fontId="0" fillId="0" borderId="0" xfId="0"/>
    <xf numFmtId="0" fontId="2" fillId="0" borderId="0" xfId="1" applyFont="1" applyAlignment="1" applyProtection="1">
      <alignment wrapText="1"/>
    </xf>
    <xf numFmtId="0" fontId="3" fillId="0" borderId="0" xfId="1" applyFont="1" applyAlignment="1" applyProtection="1">
      <alignment horizontal="left" vertical="top" wrapText="1"/>
    </xf>
    <xf numFmtId="0" fontId="2" fillId="0" borderId="0" xfId="1" applyFont="1" applyAlignment="1" applyProtection="1">
      <alignment vertical="top" wrapText="1"/>
    </xf>
    <xf numFmtId="0" fontId="5" fillId="0" borderId="0" xfId="0" applyFont="1" applyAlignment="1" applyProtection="1">
      <alignment wrapText="1"/>
    </xf>
    <xf numFmtId="0" fontId="6" fillId="0" borderId="0" xfId="0" applyFont="1" applyAlignment="1" applyProtection="1">
      <alignment vertical="top"/>
    </xf>
    <xf numFmtId="0" fontId="7" fillId="0" borderId="1" xfId="0" applyFont="1" applyBorder="1" applyAlignment="1" applyProtection="1">
      <alignment horizontal="right" vertical="top" wrapText="1" indent="1"/>
    </xf>
    <xf numFmtId="0" fontId="6" fillId="0" borderId="1" xfId="0" applyFont="1" applyBorder="1" applyAlignment="1" applyProtection="1">
      <alignment horizontal="right" wrapText="1"/>
    </xf>
    <xf numFmtId="0" fontId="7" fillId="0" borderId="1" xfId="0" applyFont="1" applyBorder="1" applyAlignment="1" applyProtection="1">
      <alignment horizontal="right" wrapText="1"/>
    </xf>
    <xf numFmtId="0" fontId="5" fillId="0" borderId="1" xfId="0" applyFont="1" applyBorder="1" applyAlignment="1" applyProtection="1">
      <alignment horizontal="left" vertical="top" wrapText="1"/>
    </xf>
    <xf numFmtId="0" fontId="5" fillId="0" borderId="1" xfId="0" applyFont="1" applyBorder="1" applyAlignment="1" applyProtection="1">
      <alignment wrapText="1"/>
    </xf>
    <xf numFmtId="0" fontId="8" fillId="0" borderId="0" xfId="0" applyFont="1" applyAlignment="1" applyProtection="1">
      <alignment wrapText="1"/>
    </xf>
    <xf numFmtId="0" fontId="7" fillId="2" borderId="1" xfId="0" applyFont="1" applyFill="1" applyBorder="1" applyAlignment="1" applyProtection="1">
      <alignment horizontal="center" vertical="center" wrapText="1"/>
    </xf>
    <xf numFmtId="0" fontId="5" fillId="3" borderId="1" xfId="0" applyFont="1" applyFill="1" applyBorder="1" applyAlignment="1" applyProtection="1">
      <alignment vertical="top" wrapText="1"/>
    </xf>
    <xf numFmtId="0" fontId="0" fillId="0" borderId="0" xfId="0" applyAlignment="1" applyProtection="1">
      <alignment wrapText="1"/>
    </xf>
    <xf numFmtId="0" fontId="10" fillId="0" borderId="0" xfId="0" applyFont="1" applyAlignment="1" applyProtection="1"/>
    <xf numFmtId="0" fontId="11" fillId="0" borderId="0" xfId="0" applyFont="1" applyAlignment="1" applyProtection="1">
      <alignment wrapText="1"/>
    </xf>
    <xf numFmtId="0" fontId="10" fillId="0" borderId="0" xfId="0" applyFont="1" applyAlignment="1" applyProtection="1">
      <alignment wrapText="1"/>
    </xf>
    <xf numFmtId="0" fontId="0" fillId="0" borderId="0" xfId="0" applyFont="1" applyAlignment="1" applyProtection="1">
      <alignment horizontal="left" vertical="center"/>
    </xf>
    <xf numFmtId="0" fontId="0" fillId="0" borderId="0" xfId="0" applyFont="1" applyAlignment="1" applyProtection="1"/>
    <xf numFmtId="0" fontId="12" fillId="0" borderId="0" xfId="0" applyFont="1" applyAlignment="1" applyProtection="1">
      <alignment horizontal="left" vertical="center"/>
    </xf>
    <xf numFmtId="0" fontId="13" fillId="4" borderId="4" xfId="0" applyFont="1" applyFill="1" applyBorder="1" applyAlignment="1" applyProtection="1">
      <alignment horizontal="right" vertical="center" wrapText="1"/>
    </xf>
    <xf numFmtId="0" fontId="13" fillId="4" borderId="1" xfId="0" applyFont="1" applyFill="1" applyBorder="1" applyAlignment="1" applyProtection="1">
      <alignment horizontal="left" vertical="center" wrapText="1"/>
    </xf>
    <xf numFmtId="0" fontId="0" fillId="0" borderId="5" xfId="0" applyBorder="1" applyAlignment="1" applyProtection="1">
      <alignment wrapText="1"/>
    </xf>
    <xf numFmtId="0" fontId="10" fillId="0" borderId="5" xfId="0" applyFont="1" applyBorder="1" applyAlignment="1" applyProtection="1">
      <alignment wrapText="1"/>
    </xf>
    <xf numFmtId="0" fontId="10" fillId="0" borderId="5" xfId="0" applyFont="1" applyBorder="1" applyAlignment="1" applyProtection="1"/>
    <xf numFmtId="0" fontId="10" fillId="0" borderId="0" xfId="0" applyFont="1" applyAlignment="1" applyProtection="1">
      <alignment horizontal="left" vertical="center" wrapText="1"/>
    </xf>
    <xf numFmtId="0" fontId="16" fillId="0" borderId="0" xfId="0" applyFont="1" applyAlignment="1" applyProtection="1">
      <alignment horizontal="center" vertical="center" wrapText="1"/>
    </xf>
    <xf numFmtId="0" fontId="5" fillId="5" borderId="1" xfId="0" applyFont="1" applyFill="1" applyBorder="1" applyAlignment="1" applyProtection="1">
      <alignment horizontal="left" vertical="top" wrapText="1"/>
    </xf>
    <xf numFmtId="0" fontId="5" fillId="5" borderId="1" xfId="0" applyFont="1" applyFill="1" applyBorder="1" applyAlignment="1" applyProtection="1">
      <alignment wrapText="1"/>
    </xf>
    <xf numFmtId="0" fontId="16" fillId="0" borderId="5" xfId="0" applyFont="1" applyBorder="1" applyAlignment="1" applyProtection="1">
      <alignment wrapText="1"/>
    </xf>
    <xf numFmtId="0" fontId="5" fillId="5" borderId="1" xfId="0" applyFont="1" applyFill="1" applyBorder="1" applyAlignment="1" applyProtection="1">
      <alignment horizontal="left" vertical="center" wrapText="1"/>
    </xf>
    <xf numFmtId="0" fontId="0" fillId="0" borderId="0" xfId="0" applyAlignment="1" applyProtection="1">
      <alignment wrapText="1"/>
      <protection locked="0"/>
    </xf>
    <xf numFmtId="0" fontId="0" fillId="0" borderId="6" xfId="0" applyBorder="1" applyAlignment="1" applyProtection="1">
      <alignment wrapText="1"/>
      <protection locked="0"/>
    </xf>
    <xf numFmtId="14" fontId="5" fillId="0" borderId="6" xfId="0" applyNumberFormat="1" applyFont="1" applyBorder="1" applyAlignment="1" applyProtection="1">
      <alignment horizontal="left" vertical="top" wrapText="1"/>
    </xf>
    <xf numFmtId="0" fontId="15" fillId="5" borderId="1" xfId="0" applyFont="1" applyFill="1" applyBorder="1" applyAlignment="1">
      <alignment horizontal="right" vertical="center" wrapText="1"/>
    </xf>
    <xf numFmtId="0" fontId="17" fillId="0" borderId="1" xfId="0" applyFont="1" applyBorder="1" applyAlignment="1">
      <alignment vertical="top" wrapText="1"/>
    </xf>
    <xf numFmtId="0" fontId="10" fillId="0" borderId="0" xfId="0" applyFont="1" applyAlignment="1" applyProtection="1">
      <alignment vertical="center" wrapText="1"/>
    </xf>
    <xf numFmtId="0" fontId="10" fillId="0" borderId="5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9" fillId="6" borderId="22" xfId="2" applyFont="1" applyFill="1" applyBorder="1" applyAlignment="1" applyProtection="1">
      <alignment horizontal="center" vertical="center" wrapText="1"/>
      <protection locked="0"/>
    </xf>
    <xf numFmtId="0" fontId="9" fillId="6" borderId="3" xfId="2" applyFont="1" applyFill="1" applyBorder="1" applyAlignment="1" applyProtection="1">
      <alignment horizontal="center" vertical="center" wrapText="1"/>
      <protection locked="0"/>
    </xf>
    <xf numFmtId="0" fontId="9" fillId="6" borderId="23" xfId="2" applyFont="1" applyFill="1" applyBorder="1" applyAlignment="1" applyProtection="1">
      <alignment horizontal="center" vertical="center" wrapText="1"/>
      <protection locked="0"/>
    </xf>
    <xf numFmtId="0" fontId="15" fillId="5" borderId="9" xfId="2" applyFont="1" applyFill="1" applyBorder="1" applyAlignment="1" applyProtection="1">
      <alignment horizontal="center" vertical="center" wrapText="1"/>
      <protection locked="0"/>
    </xf>
    <xf numFmtId="0" fontId="9" fillId="5" borderId="3" xfId="2" applyFont="1" applyFill="1" applyBorder="1" applyAlignment="1" applyProtection="1">
      <alignment horizontal="center" vertical="center" wrapText="1"/>
      <protection locked="0"/>
    </xf>
    <xf numFmtId="0" fontId="9" fillId="6" borderId="24" xfId="2" applyFont="1" applyFill="1" applyBorder="1" applyAlignment="1" applyProtection="1">
      <alignment horizontal="center" vertical="center" wrapText="1"/>
      <protection locked="0"/>
    </xf>
    <xf numFmtId="0" fontId="9" fillId="6" borderId="15" xfId="0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center" wrapText="1"/>
    </xf>
    <xf numFmtId="0" fontId="0" fillId="0" borderId="0" xfId="0" applyAlignment="1" applyProtection="1">
      <alignment horizontal="center" wrapText="1"/>
    </xf>
    <xf numFmtId="0" fontId="10" fillId="0" borderId="0" xfId="0" applyFont="1" applyAlignment="1" applyProtection="1">
      <alignment horizontal="center" vertical="center" wrapText="1"/>
    </xf>
    <xf numFmtId="0" fontId="0" fillId="0" borderId="6" xfId="0" applyFont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center" vertical="center" wrapText="1"/>
      <protection locked="0"/>
    </xf>
    <xf numFmtId="0" fontId="15" fillId="6" borderId="1" xfId="2" applyFont="1" applyFill="1" applyBorder="1" applyAlignment="1" applyProtection="1">
      <alignment horizontal="center" vertical="center" wrapText="1"/>
      <protection locked="0"/>
    </xf>
    <xf numFmtId="0" fontId="15" fillId="5" borderId="1" xfId="2" applyFont="1" applyFill="1" applyBorder="1" applyAlignment="1" applyProtection="1">
      <alignment horizontal="center" vertical="center" wrapText="1"/>
      <protection locked="0"/>
    </xf>
    <xf numFmtId="0" fontId="15" fillId="6" borderId="12" xfId="2" applyFont="1" applyFill="1" applyBorder="1" applyAlignment="1" applyProtection="1">
      <alignment horizontal="center" vertical="center" wrapText="1"/>
      <protection locked="0"/>
    </xf>
    <xf numFmtId="0" fontId="15" fillId="6" borderId="1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>
      <alignment horizontal="left" vertical="top" wrapText="1"/>
    </xf>
    <xf numFmtId="0" fontId="4" fillId="0" borderId="0" xfId="1" applyFont="1" applyBorder="1" applyAlignment="1" applyProtection="1">
      <alignment horizontal="left" vertical="top" wrapText="1"/>
    </xf>
    <xf numFmtId="0" fontId="5" fillId="0" borderId="0" xfId="0" applyFont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14" fontId="5" fillId="0" borderId="26" xfId="0" applyNumberFormat="1" applyFont="1" applyBorder="1" applyAlignment="1" applyProtection="1">
      <alignment horizontal="left" vertical="top" wrapText="1"/>
    </xf>
    <xf numFmtId="14" fontId="5" fillId="0" borderId="7" xfId="0" applyNumberFormat="1" applyFont="1" applyBorder="1" applyAlignment="1" applyProtection="1">
      <alignment horizontal="left" vertical="top" wrapText="1"/>
    </xf>
    <xf numFmtId="0" fontId="15" fillId="6" borderId="25" xfId="2" applyFont="1" applyFill="1" applyBorder="1" applyAlignment="1" applyProtection="1">
      <alignment horizontal="center" vertical="center" wrapText="1"/>
      <protection locked="0"/>
    </xf>
    <xf numFmtId="0" fontId="15" fillId="6" borderId="16" xfId="2" applyFont="1" applyFill="1" applyBorder="1" applyAlignment="1" applyProtection="1">
      <alignment horizontal="center" vertical="center" wrapText="1"/>
      <protection locked="0"/>
    </xf>
    <xf numFmtId="0" fontId="15" fillId="6" borderId="17" xfId="2" applyFont="1" applyFill="1" applyBorder="1" applyAlignment="1" applyProtection="1">
      <alignment horizontal="center" vertical="center" wrapText="1"/>
      <protection locked="0"/>
    </xf>
    <xf numFmtId="0" fontId="15" fillId="6" borderId="1" xfId="2" applyFont="1" applyFill="1" applyBorder="1" applyAlignment="1" applyProtection="1">
      <alignment horizontal="center" vertical="center" wrapText="1"/>
      <protection locked="0"/>
    </xf>
    <xf numFmtId="0" fontId="15" fillId="6" borderId="14" xfId="2" applyFont="1" applyFill="1" applyBorder="1" applyAlignment="1" applyProtection="1">
      <alignment horizontal="center" vertical="center" wrapText="1"/>
      <protection locked="0"/>
    </xf>
    <xf numFmtId="0" fontId="15" fillId="6" borderId="19" xfId="2" applyFont="1" applyFill="1" applyBorder="1" applyAlignment="1" applyProtection="1">
      <alignment horizontal="center" vertical="center" wrapText="1"/>
      <protection locked="0"/>
    </xf>
    <xf numFmtId="0" fontId="15" fillId="6" borderId="21" xfId="2" applyFont="1" applyFill="1" applyBorder="1" applyAlignment="1" applyProtection="1">
      <alignment horizontal="center" vertical="center" wrapText="1"/>
      <protection locked="0"/>
    </xf>
    <xf numFmtId="0" fontId="15" fillId="6" borderId="3" xfId="2" applyFont="1" applyFill="1" applyBorder="1" applyAlignment="1" applyProtection="1">
      <alignment horizontal="center" vertical="center" wrapText="1"/>
      <protection locked="0"/>
    </xf>
    <xf numFmtId="0" fontId="15" fillId="6" borderId="2" xfId="2" applyFont="1" applyFill="1" applyBorder="1" applyAlignment="1" applyProtection="1">
      <alignment horizontal="center" vertical="center" wrapText="1"/>
      <protection locked="0"/>
    </xf>
    <xf numFmtId="0" fontId="15" fillId="6" borderId="1" xfId="0" applyFont="1" applyFill="1" applyBorder="1" applyAlignment="1" applyProtection="1">
      <alignment horizontal="center" vertical="center" wrapText="1"/>
      <protection locked="0"/>
    </xf>
    <xf numFmtId="0" fontId="15" fillId="6" borderId="13" xfId="2" applyFont="1" applyFill="1" applyBorder="1" applyAlignment="1" applyProtection="1">
      <alignment horizontal="center" vertical="center" wrapText="1"/>
      <protection locked="0"/>
    </xf>
    <xf numFmtId="0" fontId="15" fillId="6" borderId="11" xfId="2" applyFont="1" applyFill="1" applyBorder="1" applyAlignment="1" applyProtection="1">
      <alignment horizontal="center" vertical="center" wrapText="1"/>
      <protection locked="0"/>
    </xf>
    <xf numFmtId="0" fontId="15" fillId="6" borderId="12" xfId="2" applyFont="1" applyFill="1" applyBorder="1" applyAlignment="1" applyProtection="1">
      <alignment horizontal="center" vertical="center" wrapText="1"/>
      <protection locked="0"/>
    </xf>
    <xf numFmtId="0" fontId="15" fillId="6" borderId="6" xfId="2" applyFont="1" applyFill="1" applyBorder="1" applyAlignment="1" applyProtection="1">
      <alignment horizontal="center" vertical="center" wrapText="1"/>
      <protection locked="0"/>
    </xf>
    <xf numFmtId="0" fontId="15" fillId="6" borderId="4" xfId="2" applyFont="1" applyFill="1" applyBorder="1" applyAlignment="1" applyProtection="1">
      <alignment horizontal="center" vertical="center" wrapText="1"/>
      <protection locked="0"/>
    </xf>
    <xf numFmtId="0" fontId="15" fillId="6" borderId="10" xfId="2" applyFont="1" applyFill="1" applyBorder="1" applyAlignment="1" applyProtection="1">
      <alignment horizontal="center" vertical="center" wrapText="1"/>
      <protection locked="0"/>
    </xf>
    <xf numFmtId="0" fontId="15" fillId="6" borderId="9" xfId="2" applyFont="1" applyFill="1" applyBorder="1" applyAlignment="1" applyProtection="1">
      <alignment horizontal="center" vertical="center" wrapText="1"/>
      <protection locked="0"/>
    </xf>
    <xf numFmtId="0" fontId="15" fillId="5" borderId="1" xfId="2" applyFont="1" applyFill="1" applyBorder="1" applyAlignment="1" applyProtection="1">
      <alignment horizontal="center" vertical="center" wrapText="1"/>
      <protection locked="0"/>
    </xf>
    <xf numFmtId="0" fontId="15" fillId="6" borderId="9" xfId="0" applyFont="1" applyFill="1" applyBorder="1" applyAlignment="1" applyProtection="1">
      <alignment horizontal="center" vertical="center" wrapText="1"/>
      <protection locked="0"/>
    </xf>
    <xf numFmtId="0" fontId="15" fillId="6" borderId="8" xfId="2" applyFont="1" applyFill="1" applyBorder="1" applyAlignment="1" applyProtection="1">
      <alignment horizontal="center" vertical="center" wrapText="1"/>
      <protection locked="0"/>
    </xf>
    <xf numFmtId="0" fontId="15" fillId="5" borderId="12" xfId="2" applyFont="1" applyFill="1" applyBorder="1" applyAlignment="1" applyProtection="1">
      <alignment horizontal="center" vertical="center" wrapText="1"/>
      <protection locked="0"/>
    </xf>
    <xf numFmtId="0" fontId="15" fillId="5" borderId="6" xfId="2" applyFont="1" applyFill="1" applyBorder="1" applyAlignment="1" applyProtection="1">
      <alignment horizontal="center" vertical="center" wrapText="1"/>
      <protection locked="0"/>
    </xf>
    <xf numFmtId="0" fontId="15" fillId="6" borderId="2" xfId="0" applyFont="1" applyFill="1" applyBorder="1" applyAlignment="1" applyProtection="1">
      <alignment horizontal="center" vertical="center" wrapText="1"/>
      <protection locked="0"/>
    </xf>
    <xf numFmtId="0" fontId="15" fillId="6" borderId="18" xfId="0" applyFont="1" applyFill="1" applyBorder="1" applyAlignment="1" applyProtection="1">
      <alignment horizontal="center" vertical="center" wrapText="1"/>
      <protection locked="0"/>
    </xf>
    <xf numFmtId="0" fontId="15" fillId="6" borderId="20" xfId="2" applyFont="1" applyFill="1" applyBorder="1" applyAlignment="1" applyProtection="1">
      <alignment horizontal="center" vertical="center" wrapText="1"/>
      <protection locked="0"/>
    </xf>
    <xf numFmtId="2" fontId="5" fillId="0" borderId="1" xfId="0" applyNumberFormat="1" applyFont="1" applyBorder="1" applyAlignment="1" applyProtection="1">
      <alignment wrapText="1"/>
    </xf>
  </cellXfs>
  <cellStyles count="3">
    <cellStyle name="Обычный" xfId="0" builtinId="0"/>
    <cellStyle name="Обычный 2" xfId="1" xr:uid="{00000000-0005-0000-0000-000001000000}"/>
    <cellStyle name="Обычный 3" xfId="2" xr:uid="{00000000-0005-0000-0000-000002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D9E7FD"/>
      <rgbColor rgb="FF660066"/>
      <rgbColor rgb="FFFF8080"/>
      <rgbColor rgb="FF0066CC"/>
      <rgbColor rgb="FFB3CEF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D9D9"/>
      <rgbColor rgb="FFFFFF99"/>
      <rgbColor rgb="FF8EB6F8"/>
      <rgbColor rgb="FFFF99CC"/>
      <rgbColor rgb="FFCC99FF"/>
      <rgbColor rgb="FFFFC7CE"/>
      <rgbColor rgb="FF4285F4"/>
      <rgbColor rgb="FF33CCCC"/>
      <rgbColor rgb="FF99CC00"/>
      <rgbColor rgb="FFFFCC00"/>
      <rgbColor rgb="FFFF9900"/>
      <rgbColor rgb="FFFF6600"/>
      <rgbColor rgb="FF666699"/>
      <rgbColor rgb="FF969696"/>
      <rgbColor rgb="FF093C92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</xdr:colOff>
      <xdr:row>0</xdr:row>
      <xdr:rowOff>38160</xdr:rowOff>
    </xdr:from>
    <xdr:to>
      <xdr:col>1</xdr:col>
      <xdr:colOff>258480</xdr:colOff>
      <xdr:row>5</xdr:row>
      <xdr:rowOff>186480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45720" y="38160"/>
          <a:ext cx="5167080" cy="1491480"/>
        </a:xfrm>
        <a:prstGeom prst="rect">
          <a:avLst/>
        </a:prstGeom>
        <a:ln w="0">
          <a:solidFill>
            <a:srgbClr val="D9D9D9"/>
          </a:solidFill>
        </a:ln>
      </xdr:spPr>
    </xdr:pic>
    <xdr:clientData/>
  </xdr:twoCellAnchor>
  <xdr:twoCellAnchor>
    <xdr:from>
      <xdr:col>1</xdr:col>
      <xdr:colOff>281880</xdr:colOff>
      <xdr:row>3</xdr:row>
      <xdr:rowOff>190440</xdr:rowOff>
    </xdr:from>
    <xdr:to>
      <xdr:col>2</xdr:col>
      <xdr:colOff>622080</xdr:colOff>
      <xdr:row>3</xdr:row>
      <xdr:rowOff>199080</xdr:rowOff>
    </xdr:to>
    <xdr:cxnSp macro="">
      <xdr:nvCxnSpPr>
        <xdr:cNvPr id="3" name="Прямая со стрелко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236200" y="771480"/>
          <a:ext cx="964800" cy="9000"/>
        </a:xfrm>
        <a:prstGeom prst="straightConnector1">
          <a:avLst/>
        </a:prstGeom>
        <a:ln w="19050">
          <a:solidFill>
            <a:srgbClr val="EA4335"/>
          </a:solidFill>
          <a:miter/>
          <a:tailEnd type="stealth" w="lg" len="lg"/>
        </a:ln>
      </xdr:spPr>
    </xdr:cxnSp>
    <xdr:clientData/>
  </xdr:twoCellAnchor>
  <xdr:twoCellAnchor editAs="oneCell">
    <xdr:from>
      <xdr:col>0</xdr:col>
      <xdr:colOff>45720</xdr:colOff>
      <xdr:row>7</xdr:row>
      <xdr:rowOff>0</xdr:rowOff>
    </xdr:from>
    <xdr:to>
      <xdr:col>2</xdr:col>
      <xdr:colOff>551880</xdr:colOff>
      <xdr:row>9</xdr:row>
      <xdr:rowOff>616680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45720" y="1724040"/>
          <a:ext cx="6084720" cy="1378800"/>
        </a:xfrm>
        <a:prstGeom prst="rect">
          <a:avLst/>
        </a:prstGeom>
        <a:ln w="0">
          <a:solidFill>
            <a:srgbClr val="D9D9D9"/>
          </a:solidFill>
        </a:ln>
      </xdr:spPr>
    </xdr:pic>
    <xdr:clientData/>
  </xdr:twoCellAnchor>
  <xdr:twoCellAnchor>
    <xdr:from>
      <xdr:col>0</xdr:col>
      <xdr:colOff>4352760</xdr:colOff>
      <xdr:row>7</xdr:row>
      <xdr:rowOff>126720</xdr:rowOff>
    </xdr:from>
    <xdr:to>
      <xdr:col>3</xdr:col>
      <xdr:colOff>23400</xdr:colOff>
      <xdr:row>9</xdr:row>
      <xdr:rowOff>209520</xdr:rowOff>
    </xdr:to>
    <xdr:cxnSp macro="">
      <xdr:nvCxnSpPr>
        <xdr:cNvPr id="5" name="Прямая со стрелкой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352760" y="1850760"/>
          <a:ext cx="1873800" cy="845280"/>
        </a:xfrm>
        <a:prstGeom prst="straightConnector1">
          <a:avLst/>
        </a:prstGeom>
        <a:ln w="19050">
          <a:solidFill>
            <a:srgbClr val="EA4335"/>
          </a:solidFill>
          <a:miter/>
          <a:tailEnd type="stealth" w="lg" len="lg"/>
        </a:ln>
      </xdr:spPr>
    </xdr:cxnSp>
    <xdr:clientData/>
  </xdr:twoCellAnchor>
  <xdr:twoCellAnchor>
    <xdr:from>
      <xdr:col>1</xdr:col>
      <xdr:colOff>330120</xdr:colOff>
      <xdr:row>9</xdr:row>
      <xdr:rowOff>190440</xdr:rowOff>
    </xdr:from>
    <xdr:to>
      <xdr:col>2</xdr:col>
      <xdr:colOff>622080</xdr:colOff>
      <xdr:row>9</xdr:row>
      <xdr:rowOff>190440</xdr:rowOff>
    </xdr:to>
    <xdr:cxnSp macro="">
      <xdr:nvCxnSpPr>
        <xdr:cNvPr id="6" name="Прямая со стрелкой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5284440" y="2676600"/>
          <a:ext cx="916560" cy="360"/>
        </a:xfrm>
        <a:prstGeom prst="straightConnector1">
          <a:avLst/>
        </a:prstGeom>
        <a:ln w="19050">
          <a:solidFill>
            <a:srgbClr val="EA4335"/>
          </a:solidFill>
          <a:miter/>
          <a:tailEnd type="stealth" w="lg" len="lg"/>
        </a:ln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7</xdr:row>
      <xdr:rowOff>161924</xdr:rowOff>
    </xdr:from>
    <xdr:to>
      <xdr:col>5</xdr:col>
      <xdr:colOff>1143000</xdr:colOff>
      <xdr:row>12</xdr:row>
      <xdr:rowOff>104774</xdr:rowOff>
    </xdr:to>
    <xdr:sp macro="[0]!Лист2.MyButtonMacro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8886825" y="2838449"/>
          <a:ext cx="1876425" cy="7524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7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Сформировать</a:t>
          </a:r>
          <a:endParaRPr lang="en-US" sz="17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ru-RU" sz="17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шаблон ФСД</a:t>
          </a:r>
          <a:endParaRPr lang="ru-RU" sz="17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28575</xdr:rowOff>
    </xdr:from>
    <xdr:to>
      <xdr:col>1</xdr:col>
      <xdr:colOff>1771650</xdr:colOff>
      <xdr:row>0</xdr:row>
      <xdr:rowOff>666750</xdr:rowOff>
    </xdr:to>
    <xdr:sp macro="[0]!Лист4.ClearHiddenColumnsFromRow6AndSav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809625" y="28575"/>
          <a:ext cx="1714500" cy="638175"/>
        </a:xfrm>
        <a:prstGeom prst="rect">
          <a:avLst/>
        </a:pr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Сформировать </a:t>
          </a:r>
          <a:r>
            <a:rPr lang="ru-RU" sz="14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ФСД</a:t>
          </a:r>
          <a:endParaRPr lang="ru-RU" sz="1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2:D12"/>
  <sheetViews>
    <sheetView showGridLines="0" view="pageBreakPreview" zoomScaleNormal="100" workbookViewId="0">
      <selection activeCell="B17" sqref="B17"/>
    </sheetView>
  </sheetViews>
  <sheetFormatPr defaultColWidth="8.85546875" defaultRowHeight="15"/>
  <cols>
    <col min="1" max="1" width="70.28515625" style="1" customWidth="1"/>
    <col min="2" max="3" width="8.85546875" style="1"/>
    <col min="4" max="4" width="112.140625" style="1" customWidth="1"/>
    <col min="5" max="16384" width="8.85546875" style="1"/>
  </cols>
  <sheetData>
    <row r="2" spans="1:4" ht="15.75">
      <c r="D2" s="2" t="s">
        <v>0</v>
      </c>
    </row>
    <row r="4" spans="1:4" ht="45">
      <c r="D4" s="1" t="s">
        <v>1</v>
      </c>
    </row>
    <row r="8" spans="1:4" ht="45">
      <c r="D8" s="1" t="s">
        <v>2</v>
      </c>
    </row>
    <row r="10" spans="1:4" ht="90">
      <c r="D10" s="3" t="s">
        <v>3</v>
      </c>
    </row>
    <row r="12" spans="1:4" ht="118.5" customHeight="1">
      <c r="A12" s="61" t="s">
        <v>4</v>
      </c>
      <c r="B12" s="61"/>
      <c r="C12" s="61"/>
      <c r="D12" s="61"/>
    </row>
  </sheetData>
  <mergeCells count="1">
    <mergeCell ref="A12:D12"/>
  </mergeCells>
  <pageMargins left="0.70833333333333304" right="0.70833333333333304" top="0.74791666666666701" bottom="0.74791666666666701" header="0.31527777777777799" footer="0.511811023622047"/>
  <pageSetup paperSize="9" scale="66" orientation="landscape" horizontalDpi="300" verticalDpi="300" r:id="rId1"/>
  <headerFooter>
    <oddHeader>&amp;L&amp;"Arial (Основной текст),Обычный"Инструкция по заполнению ФСД (на примере ФСД-1)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pageSetUpPr fitToPage="1"/>
  </sheetPr>
  <dimension ref="B1:I65"/>
  <sheetViews>
    <sheetView showGridLines="0" view="pageBreakPreview" topLeftCell="A7" zoomScaleNormal="100" workbookViewId="0">
      <selection activeCell="C18" sqref="C18"/>
    </sheetView>
  </sheetViews>
  <sheetFormatPr defaultColWidth="12.42578125" defaultRowHeight="12.75"/>
  <cols>
    <col min="1" max="1" width="3" style="4" customWidth="1"/>
    <col min="2" max="2" width="57.85546875" style="4" customWidth="1"/>
    <col min="3" max="3" width="55.140625" style="4" bestFit="1" customWidth="1"/>
    <col min="4" max="4" width="16.5703125" style="4" customWidth="1"/>
    <col min="5" max="5" width="11.7109375" style="4" customWidth="1"/>
    <col min="6" max="6" width="17.7109375" style="4" bestFit="1" customWidth="1"/>
    <col min="7" max="8" width="17.42578125" style="4" customWidth="1"/>
    <col min="9" max="9" width="67.7109375" style="4" customWidth="1"/>
    <col min="10" max="16384" width="12.42578125" style="4"/>
  </cols>
  <sheetData>
    <row r="1" spans="2:9" ht="36" customHeight="1">
      <c r="B1" s="5" t="s">
        <v>825</v>
      </c>
    </row>
    <row r="2" spans="2:9" ht="102" customHeight="1">
      <c r="B2" s="6" t="s">
        <v>5</v>
      </c>
      <c r="C2" s="64" t="s">
        <v>6</v>
      </c>
      <c r="D2" s="65"/>
      <c r="E2" s="65"/>
      <c r="F2" s="65"/>
      <c r="G2" s="65"/>
      <c r="H2" s="65"/>
      <c r="I2" s="65"/>
    </row>
    <row r="3" spans="2:9" ht="15.75" customHeight="1">
      <c r="B3" s="7" t="s">
        <v>7</v>
      </c>
      <c r="C3" s="34">
        <v>45778</v>
      </c>
      <c r="H3" s="35" t="s">
        <v>631</v>
      </c>
      <c r="I3" s="36"/>
    </row>
    <row r="4" spans="2:9" ht="15.75" customHeight="1">
      <c r="B4" s="8" t="s">
        <v>8</v>
      </c>
      <c r="C4" s="28" t="s">
        <v>633</v>
      </c>
      <c r="H4" s="35" t="s">
        <v>632</v>
      </c>
      <c r="I4" s="36"/>
    </row>
    <row r="5" spans="2:9" ht="15.75" customHeight="1">
      <c r="B5" s="8" t="s">
        <v>9</v>
      </c>
      <c r="C5" s="28" t="s">
        <v>627</v>
      </c>
    </row>
    <row r="6" spans="2:9">
      <c r="B6" s="7" t="s">
        <v>10</v>
      </c>
      <c r="C6" s="60" t="s">
        <v>11</v>
      </c>
    </row>
    <row r="7" spans="2:9">
      <c r="B7" s="7" t="s">
        <v>391</v>
      </c>
      <c r="C7" s="9" t="s">
        <v>28</v>
      </c>
    </row>
    <row r="8" spans="2:9">
      <c r="B8" s="7" t="s">
        <v>390</v>
      </c>
      <c r="C8" s="9" t="s">
        <v>389</v>
      </c>
    </row>
    <row r="9" spans="2:9">
      <c r="B9" s="7" t="s">
        <v>824</v>
      </c>
      <c r="C9" s="9"/>
    </row>
    <row r="10" spans="2:9">
      <c r="B10" s="21" t="s">
        <v>615</v>
      </c>
      <c r="C10" s="22" t="str">
        <f>IF(C9="", CONCATENATE(C7,".",C8), CONCATENATE(C7,".",C8,".",C9))</f>
        <v>Астраханское.Карбон</v>
      </c>
    </row>
    <row r="11" spans="2:9">
      <c r="B11" s="7" t="s">
        <v>611</v>
      </c>
      <c r="C11" s="29" t="s">
        <v>573</v>
      </c>
    </row>
    <row r="12" spans="2:9">
      <c r="B12" s="7" t="s">
        <v>630</v>
      </c>
      <c r="C12" s="31" t="s">
        <v>613</v>
      </c>
    </row>
    <row r="13" spans="2:9">
      <c r="B13" s="7" t="s">
        <v>623</v>
      </c>
      <c r="C13" s="29" t="s">
        <v>586</v>
      </c>
      <c r="F13" s="11"/>
    </row>
    <row r="14" spans="2:9" ht="15.75">
      <c r="B14" s="7" t="s">
        <v>647</v>
      </c>
      <c r="C14" s="10"/>
      <c r="F14" s="62"/>
    </row>
    <row r="15" spans="2:9">
      <c r="B15" s="7" t="s">
        <v>644</v>
      </c>
      <c r="C15" s="10"/>
      <c r="F15" s="62"/>
    </row>
    <row r="16" spans="2:9">
      <c r="B16" s="7" t="s">
        <v>645</v>
      </c>
      <c r="C16" s="10"/>
      <c r="F16" s="62"/>
    </row>
    <row r="17" spans="2:9" ht="15.75">
      <c r="B17" s="7" t="s">
        <v>646</v>
      </c>
      <c r="C17" s="10"/>
      <c r="F17" s="62"/>
    </row>
    <row r="18" spans="2:9">
      <c r="B18" s="7" t="s">
        <v>628</v>
      </c>
      <c r="C18" s="91">
        <v>4.5</v>
      </c>
      <c r="F18" s="62"/>
    </row>
    <row r="19" spans="2:9">
      <c r="B19" s="7" t="s">
        <v>629</v>
      </c>
      <c r="C19" s="10"/>
      <c r="F19" s="62"/>
    </row>
    <row r="20" spans="2:9">
      <c r="B20" s="6" t="s">
        <v>12</v>
      </c>
      <c r="C20" s="9" t="s">
        <v>40</v>
      </c>
      <c r="F20" s="62"/>
    </row>
    <row r="21" spans="2:9">
      <c r="F21" s="63"/>
    </row>
    <row r="22" spans="2:9" ht="38.25">
      <c r="B22" s="12" t="s">
        <v>14</v>
      </c>
      <c r="C22" s="12" t="s">
        <v>666</v>
      </c>
      <c r="D22" s="12" t="s">
        <v>662</v>
      </c>
      <c r="E22" s="12" t="s">
        <v>663</v>
      </c>
      <c r="F22" s="12" t="s">
        <v>664</v>
      </c>
      <c r="G22" s="12" t="s">
        <v>815</v>
      </c>
      <c r="H22" s="12" t="s">
        <v>665</v>
      </c>
      <c r="I22" s="12" t="s">
        <v>667</v>
      </c>
    </row>
    <row r="23" spans="2:9" ht="15.75" customHeight="1">
      <c r="B23" s="13">
        <v>1</v>
      </c>
      <c r="C23" s="13" t="s">
        <v>816</v>
      </c>
      <c r="D23" s="13" t="s">
        <v>821</v>
      </c>
      <c r="E23" s="13" t="s">
        <v>682</v>
      </c>
      <c r="F23" s="13">
        <v>42</v>
      </c>
      <c r="G23" s="13" t="s">
        <v>54</v>
      </c>
      <c r="H23" s="13">
        <v>2025</v>
      </c>
      <c r="I23" s="13" t="s">
        <v>826</v>
      </c>
    </row>
    <row r="24" spans="2:9" ht="15.75" customHeight="1">
      <c r="B24" s="13">
        <v>2</v>
      </c>
      <c r="C24" s="13"/>
      <c r="D24" s="13"/>
      <c r="E24" s="13"/>
      <c r="F24" s="13"/>
      <c r="G24" s="13"/>
      <c r="H24" s="13"/>
      <c r="I24" s="13"/>
    </row>
    <row r="25" spans="2:9" ht="15.75" customHeight="1">
      <c r="B25" s="13">
        <v>3</v>
      </c>
      <c r="C25" s="13"/>
      <c r="D25" s="13"/>
      <c r="E25" s="13"/>
      <c r="F25" s="13"/>
      <c r="G25" s="13"/>
      <c r="H25" s="13"/>
      <c r="I25" s="13"/>
    </row>
    <row r="26" spans="2:9" ht="15.75" customHeight="1">
      <c r="B26" s="13">
        <v>4</v>
      </c>
      <c r="C26" s="13"/>
      <c r="D26" s="13"/>
      <c r="E26" s="13"/>
      <c r="F26" s="13"/>
      <c r="G26" s="13"/>
      <c r="H26" s="13"/>
      <c r="I26" s="13"/>
    </row>
    <row r="27" spans="2:9" ht="15.75" customHeight="1">
      <c r="B27" s="13">
        <v>5</v>
      </c>
      <c r="C27" s="13"/>
      <c r="D27" s="13"/>
      <c r="E27" s="13"/>
      <c r="F27" s="13"/>
      <c r="G27" s="13"/>
      <c r="H27" s="13"/>
      <c r="I27" s="13"/>
    </row>
    <row r="28" spans="2:9" ht="15.75" customHeight="1">
      <c r="B28" s="13">
        <v>6</v>
      </c>
      <c r="C28" s="13"/>
      <c r="D28" s="13"/>
      <c r="E28" s="13"/>
      <c r="F28" s="13"/>
      <c r="G28" s="13"/>
      <c r="H28" s="13"/>
      <c r="I28" s="13"/>
    </row>
    <row r="29" spans="2:9" ht="15.75" customHeight="1">
      <c r="B29" s="13">
        <v>7</v>
      </c>
      <c r="C29" s="13"/>
      <c r="D29" s="13"/>
      <c r="E29" s="13"/>
      <c r="F29" s="13"/>
      <c r="G29" s="13"/>
      <c r="H29" s="13"/>
      <c r="I29" s="13"/>
    </row>
    <row r="30" spans="2:9" ht="15.75" customHeight="1">
      <c r="B30" s="13">
        <v>8</v>
      </c>
      <c r="C30" s="13"/>
      <c r="D30" s="13"/>
      <c r="E30" s="13"/>
      <c r="F30" s="13"/>
      <c r="G30" s="13"/>
      <c r="H30" s="13"/>
      <c r="I30" s="13"/>
    </row>
    <row r="31" spans="2:9" ht="15.75" customHeight="1">
      <c r="B31" s="13">
        <v>9</v>
      </c>
      <c r="C31" s="13"/>
      <c r="D31" s="13"/>
      <c r="E31" s="13"/>
      <c r="F31" s="13"/>
      <c r="G31" s="13"/>
      <c r="H31" s="13"/>
      <c r="I31" s="13"/>
    </row>
    <row r="32" spans="2:9" ht="15.75" customHeight="1">
      <c r="B32" s="13">
        <v>10</v>
      </c>
      <c r="C32" s="13"/>
      <c r="D32" s="13"/>
      <c r="E32" s="13"/>
      <c r="F32" s="13"/>
      <c r="G32" s="13"/>
      <c r="H32" s="13"/>
      <c r="I32" s="13"/>
    </row>
    <row r="33" spans="2:9" ht="15.75" customHeight="1">
      <c r="B33" s="13">
        <v>11</v>
      </c>
      <c r="C33" s="13"/>
      <c r="D33" s="13"/>
      <c r="E33" s="13"/>
      <c r="F33" s="13"/>
      <c r="G33" s="13"/>
      <c r="H33" s="13"/>
      <c r="I33" s="13"/>
    </row>
    <row r="34" spans="2:9" ht="15.75" customHeight="1">
      <c r="B34" s="13">
        <v>12</v>
      </c>
      <c r="C34" s="13"/>
      <c r="D34" s="13"/>
      <c r="E34" s="13"/>
      <c r="F34" s="13"/>
      <c r="G34" s="13"/>
      <c r="H34" s="13"/>
      <c r="I34" s="13"/>
    </row>
    <row r="35" spans="2:9" ht="15.75" customHeight="1">
      <c r="B35" s="13">
        <v>13</v>
      </c>
      <c r="C35" s="13"/>
      <c r="D35" s="13"/>
      <c r="E35" s="13"/>
      <c r="F35" s="13"/>
      <c r="G35" s="13"/>
      <c r="H35" s="13"/>
      <c r="I35" s="13"/>
    </row>
    <row r="36" spans="2:9" ht="15.75" customHeight="1">
      <c r="B36" s="13">
        <v>14</v>
      </c>
      <c r="C36" s="13"/>
      <c r="D36" s="13"/>
      <c r="E36" s="13"/>
      <c r="F36" s="13"/>
      <c r="G36" s="13"/>
      <c r="H36" s="13"/>
      <c r="I36" s="13"/>
    </row>
    <row r="37" spans="2:9" ht="15.75" customHeight="1">
      <c r="B37" s="13">
        <v>15</v>
      </c>
      <c r="C37" s="13"/>
      <c r="D37" s="13"/>
      <c r="E37" s="13"/>
      <c r="F37" s="13"/>
      <c r="G37" s="13"/>
      <c r="H37" s="13"/>
      <c r="I37" s="13"/>
    </row>
    <row r="38" spans="2:9" ht="15.75" customHeight="1">
      <c r="B38" s="13">
        <v>16</v>
      </c>
      <c r="C38" s="13"/>
      <c r="D38" s="13"/>
      <c r="E38" s="13"/>
      <c r="F38" s="13"/>
      <c r="G38" s="13"/>
      <c r="H38" s="13"/>
      <c r="I38" s="13"/>
    </row>
    <row r="39" spans="2:9" ht="15.75" customHeight="1">
      <c r="B39" s="13">
        <v>17</v>
      </c>
      <c r="C39" s="13"/>
      <c r="D39" s="13"/>
      <c r="E39" s="13"/>
      <c r="F39" s="13"/>
      <c r="G39" s="13"/>
      <c r="H39" s="13"/>
      <c r="I39" s="13"/>
    </row>
    <row r="40" spans="2:9">
      <c r="B40" s="13">
        <v>18</v>
      </c>
      <c r="C40" s="13"/>
      <c r="D40" s="13"/>
      <c r="E40" s="13"/>
      <c r="F40" s="13"/>
      <c r="G40" s="13"/>
      <c r="H40" s="13"/>
      <c r="I40" s="13"/>
    </row>
    <row r="41" spans="2:9">
      <c r="B41" s="13">
        <v>19</v>
      </c>
      <c r="C41" s="13"/>
      <c r="D41" s="13"/>
      <c r="E41" s="13"/>
      <c r="F41" s="13"/>
      <c r="G41" s="13"/>
      <c r="H41" s="13"/>
      <c r="I41" s="13"/>
    </row>
    <row r="42" spans="2:9" ht="15.75" customHeight="1">
      <c r="B42" s="13">
        <v>20</v>
      </c>
      <c r="C42" s="13"/>
      <c r="D42" s="13"/>
      <c r="E42" s="13"/>
      <c r="F42" s="13"/>
      <c r="G42" s="13"/>
      <c r="H42" s="13"/>
      <c r="I42" s="13"/>
    </row>
    <row r="43" spans="2:9" ht="15.75" customHeight="1">
      <c r="B43" s="13">
        <v>21</v>
      </c>
      <c r="C43" s="13"/>
      <c r="D43" s="13"/>
      <c r="E43" s="13"/>
      <c r="F43" s="13"/>
      <c r="G43" s="13"/>
      <c r="H43" s="13"/>
      <c r="I43" s="13"/>
    </row>
    <row r="44" spans="2:9" ht="15.75" customHeight="1">
      <c r="B44" s="13">
        <v>22</v>
      </c>
      <c r="C44" s="13"/>
      <c r="D44" s="13"/>
      <c r="E44" s="13"/>
      <c r="F44" s="13"/>
      <c r="G44" s="13"/>
      <c r="H44" s="13"/>
      <c r="I44" s="13"/>
    </row>
    <row r="45" spans="2:9" ht="15.75" customHeight="1">
      <c r="B45" s="13">
        <v>23</v>
      </c>
      <c r="C45" s="13"/>
      <c r="D45" s="13"/>
      <c r="E45" s="13"/>
      <c r="F45" s="13"/>
      <c r="G45" s="13"/>
      <c r="H45" s="13"/>
      <c r="I45" s="13"/>
    </row>
    <row r="46" spans="2:9" ht="15.75" customHeight="1">
      <c r="B46" s="13">
        <v>24</v>
      </c>
      <c r="C46" s="13"/>
      <c r="D46" s="13"/>
      <c r="E46" s="13"/>
      <c r="F46" s="13"/>
      <c r="G46" s="13"/>
      <c r="H46" s="13"/>
      <c r="I46" s="13"/>
    </row>
    <row r="47" spans="2:9" ht="15.75" customHeight="1">
      <c r="B47" s="13">
        <v>25</v>
      </c>
      <c r="C47" s="13"/>
      <c r="D47" s="13"/>
      <c r="E47" s="13"/>
      <c r="F47" s="13"/>
      <c r="G47" s="13"/>
      <c r="H47" s="13"/>
      <c r="I47" s="13"/>
    </row>
    <row r="48" spans="2:9" ht="15.75" customHeight="1">
      <c r="B48" s="13">
        <v>26</v>
      </c>
      <c r="C48" s="13"/>
      <c r="D48" s="13"/>
      <c r="E48" s="13"/>
      <c r="F48" s="13"/>
      <c r="G48" s="13"/>
      <c r="H48" s="13"/>
      <c r="I48" s="13"/>
    </row>
    <row r="49" spans="2:9" ht="15.75" customHeight="1">
      <c r="B49" s="13">
        <v>27</v>
      </c>
      <c r="C49" s="13"/>
      <c r="D49" s="13"/>
      <c r="E49" s="13"/>
      <c r="F49" s="13"/>
      <c r="G49" s="13"/>
      <c r="H49" s="13"/>
      <c r="I49" s="13"/>
    </row>
    <row r="50" spans="2:9" ht="15.75" customHeight="1">
      <c r="B50" s="13">
        <v>28</v>
      </c>
      <c r="C50" s="13"/>
      <c r="D50" s="13"/>
      <c r="E50" s="13"/>
      <c r="F50" s="13"/>
      <c r="G50" s="13"/>
      <c r="H50" s="13"/>
      <c r="I50" s="13"/>
    </row>
    <row r="51" spans="2:9" ht="15.75" customHeight="1">
      <c r="B51" s="13">
        <v>29</v>
      </c>
      <c r="C51" s="13"/>
      <c r="D51" s="13"/>
      <c r="E51" s="13"/>
      <c r="F51" s="13"/>
      <c r="G51" s="13"/>
      <c r="H51" s="13"/>
      <c r="I51" s="13"/>
    </row>
    <row r="52" spans="2:9" ht="15.75" customHeight="1">
      <c r="B52" s="13">
        <v>30</v>
      </c>
      <c r="C52" s="13"/>
      <c r="D52" s="13"/>
      <c r="E52" s="13"/>
      <c r="F52" s="13"/>
      <c r="G52" s="13"/>
      <c r="H52" s="13"/>
      <c r="I52" s="13"/>
    </row>
    <row r="53" spans="2:9" ht="15.75" customHeight="1">
      <c r="B53" s="13">
        <v>31</v>
      </c>
      <c r="C53" s="13"/>
      <c r="D53" s="13"/>
      <c r="E53" s="13"/>
      <c r="F53" s="13"/>
      <c r="G53" s="13"/>
      <c r="H53" s="13"/>
      <c r="I53" s="13"/>
    </row>
    <row r="54" spans="2:9" ht="15.75" customHeight="1">
      <c r="B54" s="13">
        <v>32</v>
      </c>
      <c r="C54" s="13"/>
      <c r="D54" s="13"/>
      <c r="E54" s="13"/>
      <c r="F54" s="13"/>
      <c r="G54" s="13"/>
      <c r="H54" s="13"/>
      <c r="I54" s="13"/>
    </row>
    <row r="55" spans="2:9" ht="15.75" customHeight="1">
      <c r="B55" s="13">
        <v>33</v>
      </c>
      <c r="C55" s="13"/>
      <c r="D55" s="13"/>
      <c r="E55" s="13"/>
      <c r="F55" s="13"/>
      <c r="G55" s="13"/>
      <c r="H55" s="13"/>
      <c r="I55" s="13"/>
    </row>
    <row r="56" spans="2:9" ht="15.75" customHeight="1">
      <c r="B56" s="13">
        <v>34</v>
      </c>
      <c r="C56" s="13"/>
      <c r="D56" s="13"/>
      <c r="E56" s="13"/>
      <c r="F56" s="13"/>
      <c r="G56" s="13"/>
      <c r="H56" s="13"/>
      <c r="I56" s="13"/>
    </row>
    <row r="57" spans="2:9" ht="15.75" customHeight="1">
      <c r="B57" s="13">
        <v>35</v>
      </c>
      <c r="C57" s="13"/>
      <c r="D57" s="13"/>
      <c r="E57" s="13"/>
      <c r="F57" s="13"/>
      <c r="G57" s="13"/>
      <c r="H57" s="13"/>
      <c r="I57" s="13"/>
    </row>
    <row r="58" spans="2:9" ht="15.75" customHeight="1">
      <c r="B58" s="13">
        <v>36</v>
      </c>
      <c r="C58" s="13"/>
      <c r="D58" s="13"/>
      <c r="E58" s="13"/>
      <c r="F58" s="13"/>
      <c r="G58" s="13"/>
      <c r="H58" s="13"/>
      <c r="I58" s="13"/>
    </row>
    <row r="59" spans="2:9" ht="15.75" customHeight="1">
      <c r="B59" s="13">
        <v>37</v>
      </c>
      <c r="C59" s="13"/>
      <c r="D59" s="13"/>
      <c r="E59" s="13"/>
      <c r="F59" s="13"/>
      <c r="G59" s="13"/>
      <c r="H59" s="13"/>
      <c r="I59" s="13"/>
    </row>
    <row r="60" spans="2:9" ht="15.75" customHeight="1">
      <c r="B60" s="13">
        <v>38</v>
      </c>
      <c r="C60" s="13"/>
      <c r="D60" s="13"/>
      <c r="E60" s="13"/>
      <c r="F60" s="13"/>
      <c r="G60" s="13"/>
      <c r="H60" s="13"/>
      <c r="I60" s="13"/>
    </row>
    <row r="61" spans="2:9" ht="15.75" customHeight="1">
      <c r="B61" s="13">
        <v>39</v>
      </c>
      <c r="C61" s="13"/>
      <c r="D61" s="13"/>
      <c r="E61" s="13"/>
      <c r="F61" s="13"/>
      <c r="G61" s="13"/>
      <c r="H61" s="13"/>
      <c r="I61" s="13"/>
    </row>
    <row r="62" spans="2:9" ht="15.75" customHeight="1">
      <c r="B62" s="13">
        <v>40</v>
      </c>
      <c r="C62" s="13"/>
      <c r="D62" s="13"/>
      <c r="E62" s="13"/>
      <c r="F62" s="13"/>
      <c r="G62" s="13"/>
      <c r="H62" s="13"/>
      <c r="I62" s="13"/>
    </row>
    <row r="63" spans="2:9" ht="15.75" customHeight="1">
      <c r="B63" s="13">
        <v>41</v>
      </c>
      <c r="C63" s="13"/>
      <c r="D63" s="13"/>
      <c r="E63" s="13"/>
      <c r="F63" s="13"/>
      <c r="G63" s="13"/>
      <c r="H63" s="13"/>
      <c r="I63" s="13"/>
    </row>
    <row r="64" spans="2:9" ht="15.75" customHeight="1"/>
    <row r="65" ht="15.75" customHeight="1"/>
  </sheetData>
  <sheetProtection formatCells="0" formatColumns="0" formatRows="0" insertColumns="0" insertRows="0"/>
  <dataConsolidate/>
  <mergeCells count="2">
    <mergeCell ref="F14:F21"/>
    <mergeCell ref="C2:I2"/>
  </mergeCells>
  <dataValidations count="6">
    <dataValidation type="list" allowBlank="1" showInputMessage="1" showErrorMessage="1" sqref="C23:C63" xr:uid="{00000000-0002-0000-0100-000000000000}">
      <formula1>Мероприятие</formula1>
    </dataValidation>
    <dataValidation type="list" allowBlank="1" showInputMessage="1" showErrorMessage="1" sqref="C8" xr:uid="{00000000-0002-0000-0100-000001000000}">
      <formula1>Геологический_горизонт</formula1>
    </dataValidation>
    <dataValidation type="list" allowBlank="1" showInputMessage="1" showErrorMessage="1" sqref="C20" xr:uid="{00000000-0002-0000-0100-000002000000}">
      <formula1>ГДО</formula1>
    </dataValidation>
    <dataValidation type="list" allowBlank="1" showInputMessage="1" showErrorMessage="1" sqref="C9" xr:uid="{00000000-0002-0000-0100-000003000000}">
      <formula1>Площадь</formula1>
    </dataValidation>
    <dataValidation type="list" allowBlank="1" showInputMessage="1" showErrorMessage="1" sqref="C5" xr:uid="{00000000-0002-0000-0100-000004000000}">
      <formula1>Версии</formula1>
    </dataValidation>
    <dataValidation type="list" allowBlank="1" showInputMessage="1" showErrorMessage="1" sqref="C13" xr:uid="{00000000-0002-0000-0100-000005000000}">
      <formula1>ППД</formula1>
    </dataValidation>
  </dataValidations>
  <pageMargins left="0.7" right="0.7" top="0.75" bottom="0.75" header="0.511811023622047" footer="0.511811023622047"/>
  <pageSetup paperSize="8" scale="74" fitToHeight="0" orientation="landscape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6000000}">
          <x14:formula1>
            <xm:f>Справочники!$D$3:$D$7</xm:f>
          </x14:formula1>
          <xm:sqref>C4</xm:sqref>
        </x14:dataValidation>
        <x14:dataValidation type="list" allowBlank="1" showInputMessage="1" showErrorMessage="1" xr:uid="{00000000-0002-0000-0100-000008000000}">
          <x14:formula1>
            <xm:f>Справочники!$F$2:$F$83</xm:f>
          </x14:formula1>
          <xm:sqref>C7</xm:sqref>
        </x14:dataValidation>
        <x14:dataValidation type="list" allowBlank="1" showInputMessage="1" showErrorMessage="1" xr:uid="{00000000-0002-0000-0100-000009000000}">
          <x14:formula1>
            <xm:f>Справочники!$D$12:$D$15</xm:f>
          </x14:formula1>
          <xm:sqref>C11</xm:sqref>
        </x14:dataValidation>
        <x14:dataValidation type="list" allowBlank="1" showInputMessage="1" showErrorMessage="1" xr:uid="{00000000-0002-0000-0100-00000A000000}">
          <x14:formula1>
            <xm:f>Справочники!$D$18:$D$19</xm:f>
          </x14:formula1>
          <xm:sqref>C12</xm:sqref>
        </x14:dataValidation>
        <x14:dataValidation type="list" allowBlank="1" showInputMessage="1" showErrorMessage="1" xr:uid="{00000000-0002-0000-0100-00000B000000}">
          <x14:formula1>
            <xm:f>Справочники!$AF$4:$AF$113</xm:f>
          </x14:formula1>
          <xm:sqref>D23:D63</xm:sqref>
        </x14:dataValidation>
        <x14:dataValidation type="list" allowBlank="1" showInputMessage="1" showErrorMessage="1" xr:uid="{00000000-0002-0000-0100-00000C000000}">
          <x14:formula1>
            <xm:f>Справочники!$O$4:$O$19</xm:f>
          </x14:formula1>
          <xm:sqref>G23:G63</xm:sqref>
        </x14:dataValidation>
        <x14:dataValidation type="list" allowBlank="1" showInputMessage="1" showErrorMessage="1" xr:uid="{00000000-0002-0000-0100-00000D000000}">
          <x14:formula1>
            <xm:f>Справочники!$H$3:$H$78</xm:f>
          </x14:formula1>
          <xm:sqref>H23:H63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Z152"/>
  <sheetViews>
    <sheetView tabSelected="1" view="pageBreakPreview" zoomScaleNormal="100" zoomScaleSheetLayoutView="100" workbookViewId="0">
      <pane xSplit="2" ySplit="5" topLeftCell="C6" activePane="bottomRight" state="frozen"/>
      <selection pane="topRight" activeCell="C1" sqref="C1"/>
      <selection pane="bottomLeft" activeCell="A7" sqref="A7"/>
      <selection pane="bottomRight" activeCell="P10" sqref="P10"/>
    </sheetView>
  </sheetViews>
  <sheetFormatPr defaultColWidth="9.140625" defaultRowHeight="12.75"/>
  <cols>
    <col min="1" max="75" width="5.7109375" style="39" customWidth="1"/>
    <col min="76" max="76" width="13.7109375" style="39" hidden="1" customWidth="1"/>
    <col min="77" max="78" width="13.7109375" style="32" hidden="1" customWidth="1"/>
    <col min="79" max="16384" width="9.140625" style="32"/>
  </cols>
  <sheetData>
    <row r="1" spans="1:78" s="39" customFormat="1" ht="55.5" customHeight="1">
      <c r="A1" s="70" t="s">
        <v>622</v>
      </c>
      <c r="B1" s="48"/>
      <c r="C1" s="67" t="s">
        <v>642</v>
      </c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8"/>
      <c r="W1" s="74" t="s">
        <v>17</v>
      </c>
      <c r="X1" s="74"/>
      <c r="Y1" s="66" t="s">
        <v>18</v>
      </c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  <c r="BA1" s="67"/>
      <c r="BB1" s="68"/>
      <c r="BC1" s="74" t="s">
        <v>19</v>
      </c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88" t="s">
        <v>621</v>
      </c>
      <c r="BX1" s="88"/>
      <c r="BY1" s="88"/>
      <c r="BZ1" s="89"/>
    </row>
    <row r="2" spans="1:78" ht="22.7" customHeight="1">
      <c r="A2" s="71"/>
      <c r="B2" s="69" t="s">
        <v>16</v>
      </c>
      <c r="C2" s="84" t="s">
        <v>573</v>
      </c>
      <c r="D2" s="75"/>
      <c r="E2" s="75"/>
      <c r="F2" s="75"/>
      <c r="G2" s="75"/>
      <c r="H2" s="75"/>
      <c r="I2" s="75"/>
      <c r="J2" s="75"/>
      <c r="K2" s="75"/>
      <c r="L2" s="75"/>
      <c r="M2" s="75" t="s">
        <v>597</v>
      </c>
      <c r="N2" s="75"/>
      <c r="O2" s="75"/>
      <c r="P2" s="75"/>
      <c r="Q2" s="75"/>
      <c r="R2" s="75"/>
      <c r="S2" s="75" t="s">
        <v>598</v>
      </c>
      <c r="T2" s="75"/>
      <c r="U2" s="75"/>
      <c r="V2" s="78" t="s">
        <v>574</v>
      </c>
      <c r="W2" s="69" t="s">
        <v>573</v>
      </c>
      <c r="X2" s="69" t="s">
        <v>574</v>
      </c>
      <c r="Y2" s="69" t="s">
        <v>657</v>
      </c>
      <c r="Z2" s="69"/>
      <c r="AA2" s="69"/>
      <c r="AB2" s="69"/>
      <c r="AC2" s="69" t="s">
        <v>659</v>
      </c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80" t="s">
        <v>660</v>
      </c>
      <c r="AP2" s="81"/>
      <c r="AQ2" s="81"/>
      <c r="AR2" s="81"/>
      <c r="AS2" s="81"/>
      <c r="AT2" s="82"/>
      <c r="AU2" s="69" t="s">
        <v>658</v>
      </c>
      <c r="AV2" s="69"/>
      <c r="AW2" s="69"/>
      <c r="AX2" s="69"/>
      <c r="AY2" s="69" t="s">
        <v>661</v>
      </c>
      <c r="AZ2" s="69"/>
      <c r="BA2" s="69"/>
      <c r="BB2" s="69"/>
      <c r="BC2" s="69" t="s">
        <v>575</v>
      </c>
      <c r="BD2" s="69"/>
      <c r="BE2" s="69"/>
      <c r="BF2" s="69"/>
      <c r="BG2" s="69"/>
      <c r="BH2" s="69"/>
      <c r="BI2" s="69"/>
      <c r="BJ2" s="69"/>
      <c r="BK2" s="69"/>
      <c r="BL2" s="69" t="s">
        <v>618</v>
      </c>
      <c r="BM2" s="69"/>
      <c r="BN2" s="69"/>
      <c r="BO2" s="69"/>
      <c r="BP2" s="69"/>
      <c r="BQ2" s="69" t="s">
        <v>619</v>
      </c>
      <c r="BR2" s="69"/>
      <c r="BS2" s="69" t="s">
        <v>20</v>
      </c>
      <c r="BT2" s="83" t="s">
        <v>648</v>
      </c>
      <c r="BU2" s="69" t="s">
        <v>620</v>
      </c>
      <c r="BV2" s="69" t="s">
        <v>576</v>
      </c>
      <c r="BW2" s="69" t="s">
        <v>605</v>
      </c>
      <c r="BX2" s="69" t="s">
        <v>570</v>
      </c>
      <c r="BY2" s="69" t="s">
        <v>606</v>
      </c>
      <c r="BZ2" s="90" t="s">
        <v>607</v>
      </c>
    </row>
    <row r="3" spans="1:78" ht="26.25" customHeight="1">
      <c r="A3" s="71"/>
      <c r="B3" s="69"/>
      <c r="C3" s="76" t="s">
        <v>568</v>
      </c>
      <c r="D3" s="78" t="s">
        <v>635</v>
      </c>
      <c r="E3" s="78" t="s">
        <v>570</v>
      </c>
      <c r="F3" s="78" t="s">
        <v>569</v>
      </c>
      <c r="G3" s="80" t="s">
        <v>637</v>
      </c>
      <c r="H3" s="81"/>
      <c r="I3" s="82"/>
      <c r="J3" s="80" t="s">
        <v>639</v>
      </c>
      <c r="K3" s="81"/>
      <c r="L3" s="82"/>
      <c r="M3" s="78" t="s">
        <v>571</v>
      </c>
      <c r="N3" s="78" t="s">
        <v>572</v>
      </c>
      <c r="O3" s="80" t="s">
        <v>637</v>
      </c>
      <c r="P3" s="82"/>
      <c r="Q3" s="80" t="s">
        <v>639</v>
      </c>
      <c r="R3" s="82"/>
      <c r="S3" s="78" t="s">
        <v>598</v>
      </c>
      <c r="T3" s="78" t="s">
        <v>637</v>
      </c>
      <c r="U3" s="78" t="s">
        <v>638</v>
      </c>
      <c r="V3" s="85"/>
      <c r="W3" s="69"/>
      <c r="X3" s="69"/>
      <c r="Y3" s="69"/>
      <c r="Z3" s="69"/>
      <c r="AA3" s="69"/>
      <c r="AB3" s="69"/>
      <c r="AC3" s="69" t="s">
        <v>577</v>
      </c>
      <c r="AD3" s="69"/>
      <c r="AE3" s="69"/>
      <c r="AF3" s="69"/>
      <c r="AG3" s="69" t="s">
        <v>578</v>
      </c>
      <c r="AH3" s="69"/>
      <c r="AI3" s="69"/>
      <c r="AJ3" s="69"/>
      <c r="AK3" s="69" t="s">
        <v>624</v>
      </c>
      <c r="AL3" s="69"/>
      <c r="AM3" s="69"/>
      <c r="AN3" s="69"/>
      <c r="AO3" s="78" t="s">
        <v>587</v>
      </c>
      <c r="AP3" s="69" t="s">
        <v>588</v>
      </c>
      <c r="AQ3" s="69"/>
      <c r="AR3" s="78" t="s">
        <v>589</v>
      </c>
      <c r="AS3" s="78" t="s">
        <v>590</v>
      </c>
      <c r="AT3" s="78" t="s">
        <v>591</v>
      </c>
      <c r="AU3" s="69"/>
      <c r="AV3" s="69"/>
      <c r="AW3" s="69"/>
      <c r="AX3" s="69"/>
      <c r="AY3" s="69"/>
      <c r="AZ3" s="69"/>
      <c r="BA3" s="69"/>
      <c r="BB3" s="69"/>
      <c r="BC3" s="69" t="s">
        <v>592</v>
      </c>
      <c r="BD3" s="69" t="s">
        <v>593</v>
      </c>
      <c r="BE3" s="69" t="s">
        <v>594</v>
      </c>
      <c r="BF3" s="69" t="s">
        <v>595</v>
      </c>
      <c r="BG3" s="83" t="s">
        <v>649</v>
      </c>
      <c r="BH3" s="83"/>
      <c r="BI3" s="83" t="s">
        <v>650</v>
      </c>
      <c r="BJ3" s="83"/>
      <c r="BK3" s="86" t="s">
        <v>651</v>
      </c>
      <c r="BL3" s="69"/>
      <c r="BM3" s="69"/>
      <c r="BN3" s="69"/>
      <c r="BO3" s="69"/>
      <c r="BP3" s="69"/>
      <c r="BQ3" s="69"/>
      <c r="BR3" s="69"/>
      <c r="BS3" s="69"/>
      <c r="BT3" s="83"/>
      <c r="BU3" s="69"/>
      <c r="BV3" s="69"/>
      <c r="BW3" s="69"/>
      <c r="BX3" s="69"/>
      <c r="BY3" s="69"/>
      <c r="BZ3" s="90"/>
    </row>
    <row r="4" spans="1:78" ht="16.5" customHeight="1">
      <c r="A4" s="71"/>
      <c r="B4" s="69"/>
      <c r="C4" s="77"/>
      <c r="D4" s="79"/>
      <c r="E4" s="79"/>
      <c r="F4" s="79"/>
      <c r="G4" s="58" t="s">
        <v>641</v>
      </c>
      <c r="H4" s="58" t="s">
        <v>570</v>
      </c>
      <c r="I4" s="58" t="s">
        <v>640</v>
      </c>
      <c r="J4" s="58" t="s">
        <v>641</v>
      </c>
      <c r="K4" s="58" t="s">
        <v>570</v>
      </c>
      <c r="L4" s="58" t="s">
        <v>640</v>
      </c>
      <c r="M4" s="79"/>
      <c r="N4" s="79"/>
      <c r="O4" s="56" t="s">
        <v>571</v>
      </c>
      <c r="P4" s="56" t="s">
        <v>572</v>
      </c>
      <c r="Q4" s="56" t="s">
        <v>571</v>
      </c>
      <c r="R4" s="56" t="s">
        <v>572</v>
      </c>
      <c r="S4" s="79"/>
      <c r="T4" s="79"/>
      <c r="U4" s="79"/>
      <c r="V4" s="79"/>
      <c r="W4" s="69"/>
      <c r="X4" s="69"/>
      <c r="Y4" s="56" t="s">
        <v>579</v>
      </c>
      <c r="Z4" s="56" t="s">
        <v>580</v>
      </c>
      <c r="AA4" s="56" t="s">
        <v>581</v>
      </c>
      <c r="AB4" s="56" t="s">
        <v>582</v>
      </c>
      <c r="AC4" s="56" t="s">
        <v>583</v>
      </c>
      <c r="AD4" s="56" t="s">
        <v>584</v>
      </c>
      <c r="AE4" s="56" t="s">
        <v>585</v>
      </c>
      <c r="AF4" s="56" t="s">
        <v>586</v>
      </c>
      <c r="AG4" s="56" t="s">
        <v>583</v>
      </c>
      <c r="AH4" s="56" t="s">
        <v>584</v>
      </c>
      <c r="AI4" s="56" t="s">
        <v>585</v>
      </c>
      <c r="AJ4" s="56" t="s">
        <v>586</v>
      </c>
      <c r="AK4" s="56" t="s">
        <v>583</v>
      </c>
      <c r="AL4" s="56" t="s">
        <v>584</v>
      </c>
      <c r="AM4" s="56" t="s">
        <v>585</v>
      </c>
      <c r="AN4" s="56" t="s">
        <v>586</v>
      </c>
      <c r="AO4" s="79"/>
      <c r="AP4" s="59" t="s">
        <v>605</v>
      </c>
      <c r="AQ4" s="59" t="s">
        <v>643</v>
      </c>
      <c r="AR4" s="79"/>
      <c r="AS4" s="79"/>
      <c r="AT4" s="79"/>
      <c r="AU4" s="56" t="s">
        <v>579</v>
      </c>
      <c r="AV4" s="56" t="s">
        <v>580</v>
      </c>
      <c r="AW4" s="56" t="s">
        <v>581</v>
      </c>
      <c r="AX4" s="56" t="s">
        <v>582</v>
      </c>
      <c r="AY4" s="56" t="s">
        <v>579</v>
      </c>
      <c r="AZ4" s="56" t="s">
        <v>580</v>
      </c>
      <c r="BA4" s="56" t="s">
        <v>581</v>
      </c>
      <c r="BB4" s="56" t="s">
        <v>582</v>
      </c>
      <c r="BC4" s="69"/>
      <c r="BD4" s="69"/>
      <c r="BE4" s="69"/>
      <c r="BF4" s="69"/>
      <c r="BG4" s="45" t="s">
        <v>652</v>
      </c>
      <c r="BH4" s="45" t="s">
        <v>653</v>
      </c>
      <c r="BI4" s="57" t="s">
        <v>652</v>
      </c>
      <c r="BJ4" s="45" t="s">
        <v>653</v>
      </c>
      <c r="BK4" s="87"/>
      <c r="BL4" s="56" t="s">
        <v>596</v>
      </c>
      <c r="BM4" s="56" t="s">
        <v>573</v>
      </c>
      <c r="BN4" s="56" t="s">
        <v>570</v>
      </c>
      <c r="BO4" s="56" t="s">
        <v>597</v>
      </c>
      <c r="BP4" s="56" t="s">
        <v>598</v>
      </c>
      <c r="BQ4" s="56" t="s">
        <v>573</v>
      </c>
      <c r="BR4" s="56" t="s">
        <v>574</v>
      </c>
      <c r="BS4" s="69"/>
      <c r="BT4" s="83"/>
      <c r="BU4" s="69"/>
      <c r="BV4" s="69"/>
      <c r="BW4" s="69"/>
      <c r="BX4" s="69"/>
      <c r="BY4" s="69"/>
      <c r="BZ4" s="90"/>
    </row>
    <row r="5" spans="1:78" ht="42" thickBot="1">
      <c r="A5" s="72"/>
      <c r="B5" s="73"/>
      <c r="C5" s="42" t="s">
        <v>636</v>
      </c>
      <c r="D5" s="43" t="s">
        <v>636</v>
      </c>
      <c r="E5" s="43" t="s">
        <v>636</v>
      </c>
      <c r="F5" s="43" t="s">
        <v>636</v>
      </c>
      <c r="G5" s="43" t="s">
        <v>636</v>
      </c>
      <c r="H5" s="43" t="s">
        <v>636</v>
      </c>
      <c r="I5" s="43" t="s">
        <v>636</v>
      </c>
      <c r="J5" s="43" t="s">
        <v>636</v>
      </c>
      <c r="K5" s="43" t="s">
        <v>636</v>
      </c>
      <c r="L5" s="43" t="s">
        <v>636</v>
      </c>
      <c r="M5" s="43" t="s">
        <v>21</v>
      </c>
      <c r="N5" s="43" t="s">
        <v>21</v>
      </c>
      <c r="O5" s="43" t="s">
        <v>21</v>
      </c>
      <c r="P5" s="43" t="s">
        <v>21</v>
      </c>
      <c r="Q5" s="43" t="s">
        <v>21</v>
      </c>
      <c r="R5" s="43" t="s">
        <v>21</v>
      </c>
      <c r="S5" s="43" t="s">
        <v>21</v>
      </c>
      <c r="T5" s="43" t="s">
        <v>21</v>
      </c>
      <c r="U5" s="43" t="s">
        <v>21</v>
      </c>
      <c r="V5" s="43" t="s">
        <v>21</v>
      </c>
      <c r="W5" s="43" t="s">
        <v>636</v>
      </c>
      <c r="X5" s="43" t="s">
        <v>654</v>
      </c>
      <c r="Y5" s="43" t="s">
        <v>599</v>
      </c>
      <c r="Z5" s="43" t="s">
        <v>599</v>
      </c>
      <c r="AA5" s="43" t="s">
        <v>599</v>
      </c>
      <c r="AB5" s="43" t="s">
        <v>599</v>
      </c>
      <c r="AC5" s="43" t="s">
        <v>599</v>
      </c>
      <c r="AD5" s="43" t="s">
        <v>599</v>
      </c>
      <c r="AE5" s="43" t="s">
        <v>599</v>
      </c>
      <c r="AF5" s="43" t="s">
        <v>599</v>
      </c>
      <c r="AG5" s="43" t="s">
        <v>599</v>
      </c>
      <c r="AH5" s="43" t="s">
        <v>599</v>
      </c>
      <c r="AI5" s="43" t="s">
        <v>599</v>
      </c>
      <c r="AJ5" s="43" t="s">
        <v>599</v>
      </c>
      <c r="AK5" s="43" t="s">
        <v>599</v>
      </c>
      <c r="AL5" s="43" t="s">
        <v>599</v>
      </c>
      <c r="AM5" s="43" t="s">
        <v>599</v>
      </c>
      <c r="AN5" s="43" t="s">
        <v>599</v>
      </c>
      <c r="AO5" s="43" t="s">
        <v>599</v>
      </c>
      <c r="AP5" s="43" t="s">
        <v>599</v>
      </c>
      <c r="AQ5" s="43"/>
      <c r="AR5" s="43" t="s">
        <v>599</v>
      </c>
      <c r="AS5" s="43" t="s">
        <v>599</v>
      </c>
      <c r="AT5" s="43" t="s">
        <v>599</v>
      </c>
      <c r="AU5" s="43" t="s">
        <v>599</v>
      </c>
      <c r="AV5" s="43" t="s">
        <v>599</v>
      </c>
      <c r="AW5" s="43" t="s">
        <v>599</v>
      </c>
      <c r="AX5" s="43" t="s">
        <v>599</v>
      </c>
      <c r="AY5" s="43" t="s">
        <v>599</v>
      </c>
      <c r="AZ5" s="43" t="s">
        <v>599</v>
      </c>
      <c r="BA5" s="43" t="s">
        <v>599</v>
      </c>
      <c r="BB5" s="43" t="s">
        <v>599</v>
      </c>
      <c r="BC5" s="43" t="s">
        <v>600</v>
      </c>
      <c r="BD5" s="43" t="s">
        <v>600</v>
      </c>
      <c r="BE5" s="43" t="s">
        <v>600</v>
      </c>
      <c r="BF5" s="43" t="s">
        <v>600</v>
      </c>
      <c r="BG5" s="46" t="s">
        <v>600</v>
      </c>
      <c r="BH5" s="46" t="s">
        <v>600</v>
      </c>
      <c r="BI5" s="46" t="s">
        <v>600</v>
      </c>
      <c r="BJ5" s="46" t="s">
        <v>600</v>
      </c>
      <c r="BK5" s="46" t="s">
        <v>600</v>
      </c>
      <c r="BL5" s="43" t="s">
        <v>22</v>
      </c>
      <c r="BM5" s="43" t="s">
        <v>655</v>
      </c>
      <c r="BN5" s="43" t="s">
        <v>655</v>
      </c>
      <c r="BO5" s="43" t="s">
        <v>22</v>
      </c>
      <c r="BP5" s="43" t="s">
        <v>22</v>
      </c>
      <c r="BQ5" s="43" t="s">
        <v>655</v>
      </c>
      <c r="BR5" s="43" t="s">
        <v>601</v>
      </c>
      <c r="BS5" s="43" t="s">
        <v>23</v>
      </c>
      <c r="BT5" s="46" t="s">
        <v>23</v>
      </c>
      <c r="BU5" s="43" t="s">
        <v>602</v>
      </c>
      <c r="BV5" s="43" t="s">
        <v>603</v>
      </c>
      <c r="BW5" s="47" t="s">
        <v>656</v>
      </c>
      <c r="BX5" s="47" t="s">
        <v>656</v>
      </c>
      <c r="BY5" s="43" t="s">
        <v>604</v>
      </c>
      <c r="BZ5" s="44" t="s">
        <v>604</v>
      </c>
    </row>
    <row r="6" spans="1:78" s="40" customFormat="1">
      <c r="A6" s="54" t="s">
        <v>43</v>
      </c>
      <c r="B6" s="49">
        <v>2025</v>
      </c>
      <c r="C6" s="49"/>
      <c r="E6" s="49"/>
      <c r="F6" s="49">
        <v>0.42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33"/>
      <c r="BZ6" s="33"/>
    </row>
    <row r="7" spans="1:78">
      <c r="A7" s="55"/>
      <c r="B7" s="49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41"/>
      <c r="BZ7" s="41"/>
    </row>
    <row r="8" spans="1:78">
      <c r="A8" s="55"/>
      <c r="B8" s="49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41"/>
      <c r="BZ8" s="41"/>
    </row>
    <row r="9" spans="1:78">
      <c r="A9" s="54"/>
      <c r="B9" s="49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50"/>
      <c r="AT9" s="50"/>
      <c r="AU9" s="50"/>
      <c r="AV9" s="50"/>
      <c r="AW9" s="50"/>
      <c r="AX9" s="50"/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41"/>
      <c r="BZ9" s="41"/>
    </row>
    <row r="10" spans="1:78">
      <c r="A10" s="55"/>
      <c r="B10" s="49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41"/>
      <c r="BZ10" s="41"/>
    </row>
    <row r="11" spans="1:78">
      <c r="A11" s="55"/>
      <c r="B11" s="49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41"/>
      <c r="BZ11" s="41"/>
    </row>
    <row r="12" spans="1:78">
      <c r="A12" s="54"/>
      <c r="B12" s="49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41"/>
      <c r="BZ12" s="41"/>
    </row>
    <row r="13" spans="1:78">
      <c r="A13" s="55"/>
      <c r="B13" s="49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41"/>
      <c r="BZ13" s="41"/>
    </row>
    <row r="14" spans="1:78">
      <c r="A14" s="55"/>
      <c r="B14" s="49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41"/>
      <c r="BZ14" s="41"/>
    </row>
    <row r="15" spans="1:78">
      <c r="A15" s="54"/>
      <c r="B15" s="49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41"/>
      <c r="BZ15" s="41"/>
    </row>
    <row r="16" spans="1:78">
      <c r="A16" s="55"/>
      <c r="B16" s="49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41"/>
      <c r="BZ16" s="41"/>
    </row>
    <row r="17" spans="1:78">
      <c r="A17" s="55"/>
      <c r="B17" s="49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41"/>
      <c r="BZ17" s="41"/>
    </row>
    <row r="18" spans="1:78">
      <c r="A18" s="55"/>
      <c r="B18" s="49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41"/>
      <c r="BZ18" s="41"/>
    </row>
    <row r="19" spans="1:78">
      <c r="A19" s="55"/>
      <c r="B19" s="49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41"/>
      <c r="BZ19" s="41"/>
    </row>
    <row r="20" spans="1:78">
      <c r="A20" s="55"/>
      <c r="B20" s="49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41"/>
      <c r="BZ20" s="41"/>
    </row>
    <row r="21" spans="1:78">
      <c r="A21" s="55"/>
      <c r="B21" s="49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41"/>
      <c r="BZ21" s="41"/>
    </row>
    <row r="22" spans="1:78">
      <c r="A22" s="55"/>
      <c r="B22" s="49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41"/>
      <c r="BZ22" s="41"/>
    </row>
    <row r="23" spans="1:78">
      <c r="A23" s="55"/>
      <c r="B23" s="49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41"/>
      <c r="BZ23" s="41"/>
    </row>
    <row r="24" spans="1:78">
      <c r="A24" s="55"/>
      <c r="B24" s="49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41"/>
      <c r="BZ24" s="41"/>
    </row>
    <row r="25" spans="1:78">
      <c r="A25" s="55"/>
      <c r="B25" s="49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41"/>
      <c r="BZ25" s="41"/>
    </row>
    <row r="26" spans="1:78">
      <c r="A26" s="55"/>
      <c r="B26" s="49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50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41"/>
      <c r="BZ26" s="41"/>
    </row>
    <row r="27" spans="1:78">
      <c r="A27" s="55"/>
      <c r="B27" s="49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41"/>
      <c r="BZ27" s="41"/>
    </row>
    <row r="28" spans="1:78">
      <c r="A28" s="55"/>
      <c r="B28" s="49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41"/>
      <c r="BZ28" s="41"/>
    </row>
    <row r="29" spans="1:78">
      <c r="A29" s="55"/>
      <c r="B29" s="49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41"/>
      <c r="BZ29" s="41"/>
    </row>
    <row r="30" spans="1:78">
      <c r="A30" s="55"/>
      <c r="B30" s="49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41"/>
      <c r="BZ30" s="41"/>
    </row>
    <row r="31" spans="1:78">
      <c r="A31" s="55"/>
      <c r="B31" s="49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41"/>
      <c r="BZ31" s="41"/>
    </row>
    <row r="32" spans="1:78">
      <c r="A32" s="55"/>
      <c r="B32" s="49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41"/>
      <c r="BZ32" s="41"/>
    </row>
    <row r="33" spans="1:78">
      <c r="A33" s="55"/>
      <c r="B33" s="49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  <c r="AJ33" s="50"/>
      <c r="AK33" s="50"/>
      <c r="AL33" s="50"/>
      <c r="AM33" s="50"/>
      <c r="AN33" s="50"/>
      <c r="AO33" s="50"/>
      <c r="AP33" s="50"/>
      <c r="AQ33" s="50"/>
      <c r="AR33" s="50"/>
      <c r="AS33" s="50"/>
      <c r="AT33" s="50"/>
      <c r="AU33" s="50"/>
      <c r="AV33" s="50"/>
      <c r="AW33" s="50"/>
      <c r="AX33" s="50"/>
      <c r="AY33" s="50"/>
      <c r="AZ33" s="50"/>
      <c r="BA33" s="50"/>
      <c r="BB33" s="50"/>
      <c r="BC33" s="50"/>
      <c r="BD33" s="50"/>
      <c r="BE33" s="50"/>
      <c r="BF33" s="50"/>
      <c r="BG33" s="50"/>
      <c r="BH33" s="50"/>
      <c r="BI33" s="50"/>
      <c r="BJ33" s="50"/>
      <c r="BK33" s="50"/>
      <c r="BL33" s="50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41"/>
      <c r="BZ33" s="41"/>
    </row>
    <row r="34" spans="1:78">
      <c r="A34" s="55"/>
      <c r="B34" s="49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0"/>
      <c r="AW34" s="50"/>
      <c r="AX34" s="50"/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41"/>
      <c r="BZ34" s="41"/>
    </row>
    <row r="35" spans="1:78">
      <c r="A35" s="55"/>
      <c r="B35" s="49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  <c r="AJ35" s="50"/>
      <c r="AK35" s="50"/>
      <c r="AL35" s="50"/>
      <c r="AM35" s="50"/>
      <c r="AN35" s="50"/>
      <c r="AO35" s="50"/>
      <c r="AP35" s="50"/>
      <c r="AQ35" s="50"/>
      <c r="AR35" s="50"/>
      <c r="AS35" s="50"/>
      <c r="AT35" s="50"/>
      <c r="AU35" s="50"/>
      <c r="AV35" s="50"/>
      <c r="AW35" s="50"/>
      <c r="AX35" s="50"/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41"/>
      <c r="BZ35" s="41"/>
    </row>
    <row r="36" spans="1:78">
      <c r="A36" s="55"/>
      <c r="B36" s="49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  <c r="AW36" s="50"/>
      <c r="AX36" s="50"/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41"/>
      <c r="BZ36" s="41"/>
    </row>
    <row r="37" spans="1:78">
      <c r="A37" s="55"/>
      <c r="B37" s="49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41"/>
      <c r="BZ37" s="41"/>
    </row>
    <row r="38" spans="1:78">
      <c r="A38" s="55"/>
      <c r="B38" s="49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  <c r="AW38" s="50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41"/>
      <c r="BZ38" s="41"/>
    </row>
    <row r="39" spans="1:78">
      <c r="A39" s="55"/>
      <c r="B39" s="49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41"/>
      <c r="BZ39" s="41"/>
    </row>
    <row r="40" spans="1:78">
      <c r="A40" s="55"/>
      <c r="B40" s="49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41"/>
      <c r="BZ40" s="41"/>
    </row>
    <row r="41" spans="1:78">
      <c r="A41" s="55"/>
      <c r="B41" s="49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41"/>
      <c r="BZ41" s="41"/>
    </row>
    <row r="42" spans="1:78">
      <c r="A42" s="55"/>
      <c r="B42" s="49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41"/>
      <c r="BZ42" s="41"/>
    </row>
    <row r="43" spans="1:78">
      <c r="A43" s="55"/>
      <c r="B43" s="49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41"/>
      <c r="BZ43" s="41"/>
    </row>
    <row r="44" spans="1:78">
      <c r="A44" s="55"/>
      <c r="B44" s="49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  <c r="AM44" s="50"/>
      <c r="AN44" s="50"/>
      <c r="AO44" s="50"/>
      <c r="AP44" s="50"/>
      <c r="AQ44" s="50"/>
      <c r="AR44" s="50"/>
      <c r="AS44" s="50"/>
      <c r="AT44" s="50"/>
      <c r="AU44" s="50"/>
      <c r="AV44" s="50"/>
      <c r="AW44" s="50"/>
      <c r="AX44" s="50"/>
      <c r="AY44" s="50"/>
      <c r="AZ44" s="50"/>
      <c r="BA44" s="50"/>
      <c r="BB44" s="50"/>
      <c r="BC44" s="50"/>
      <c r="BD44" s="50"/>
      <c r="BE44" s="50"/>
      <c r="BF44" s="50"/>
      <c r="BG44" s="50"/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41"/>
      <c r="BZ44" s="41"/>
    </row>
    <row r="45" spans="1:78">
      <c r="A45" s="55"/>
      <c r="B45" s="49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41"/>
      <c r="BZ45" s="41"/>
    </row>
    <row r="46" spans="1:78">
      <c r="A46" s="55"/>
      <c r="B46" s="49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41"/>
      <c r="BZ46" s="41"/>
    </row>
    <row r="47" spans="1:78">
      <c r="A47" s="55"/>
      <c r="B47" s="49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41"/>
      <c r="BZ47" s="41"/>
    </row>
    <row r="48" spans="1:78">
      <c r="A48" s="55"/>
      <c r="B48" s="49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41"/>
      <c r="BZ48" s="41"/>
    </row>
    <row r="49" spans="1:78">
      <c r="A49" s="55"/>
      <c r="B49" s="49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41"/>
      <c r="BZ49" s="41"/>
    </row>
    <row r="50" spans="1:78">
      <c r="A50" s="55"/>
      <c r="B50" s="49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  <c r="AT50" s="50"/>
      <c r="AU50" s="50"/>
      <c r="AV50" s="50"/>
      <c r="AW50" s="50"/>
      <c r="AX50" s="50"/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41"/>
      <c r="BZ50" s="41"/>
    </row>
    <row r="51" spans="1:78">
      <c r="A51" s="55"/>
      <c r="B51" s="49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  <c r="AT51" s="50"/>
      <c r="AU51" s="50"/>
      <c r="AV51" s="50"/>
      <c r="AW51" s="50"/>
      <c r="AX51" s="50"/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41"/>
      <c r="BZ51" s="41"/>
    </row>
    <row r="52" spans="1:78">
      <c r="A52" s="55"/>
      <c r="B52" s="49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  <c r="AQ52" s="50"/>
      <c r="AR52" s="50"/>
      <c r="AS52" s="50"/>
      <c r="AT52" s="50"/>
      <c r="AU52" s="50"/>
      <c r="AV52" s="50"/>
      <c r="AW52" s="50"/>
      <c r="AX52" s="50"/>
      <c r="AY52" s="50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41"/>
      <c r="BZ52" s="41"/>
    </row>
    <row r="53" spans="1:78">
      <c r="A53" s="55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41"/>
      <c r="BZ53" s="41"/>
    </row>
    <row r="54" spans="1:78">
      <c r="A54" s="55"/>
      <c r="B54" s="49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0"/>
      <c r="AU54" s="50"/>
      <c r="AV54" s="50"/>
      <c r="AW54" s="50"/>
      <c r="AX54" s="50"/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41"/>
      <c r="BZ54" s="41"/>
    </row>
    <row r="55" spans="1:78">
      <c r="A55" s="55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0"/>
      <c r="AM55" s="50"/>
      <c r="AN55" s="50"/>
      <c r="AO55" s="50"/>
      <c r="AP55" s="50"/>
      <c r="AQ55" s="50"/>
      <c r="AR55" s="50"/>
      <c r="AS55" s="50"/>
      <c r="AT55" s="50"/>
      <c r="AU55" s="50"/>
      <c r="AV55" s="50"/>
      <c r="AW55" s="50"/>
      <c r="AX55" s="50"/>
      <c r="AY55" s="50"/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41"/>
      <c r="BZ55" s="41"/>
    </row>
    <row r="56" spans="1:78">
      <c r="A56" s="55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  <c r="AJ56" s="50"/>
      <c r="AK56" s="50"/>
      <c r="AL56" s="50"/>
      <c r="AM56" s="50"/>
      <c r="AN56" s="50"/>
      <c r="AO56" s="50"/>
      <c r="AP56" s="50"/>
      <c r="AQ56" s="50"/>
      <c r="AR56" s="50"/>
      <c r="AS56" s="50"/>
      <c r="AT56" s="50"/>
      <c r="AU56" s="50"/>
      <c r="AV56" s="50"/>
      <c r="AW56" s="50"/>
      <c r="AX56" s="50"/>
      <c r="AY56" s="50"/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41"/>
      <c r="BZ56" s="41"/>
    </row>
    <row r="57" spans="1:78">
      <c r="A57" s="55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0"/>
      <c r="AT57" s="50"/>
      <c r="AU57" s="50"/>
      <c r="AV57" s="50"/>
      <c r="AW57" s="50"/>
      <c r="AX57" s="50"/>
      <c r="AY57" s="50"/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41"/>
      <c r="BZ57" s="41"/>
    </row>
    <row r="58" spans="1:78">
      <c r="A58" s="55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  <c r="AJ58" s="50"/>
      <c r="AK58" s="50"/>
      <c r="AL58" s="50"/>
      <c r="AM58" s="50"/>
      <c r="AN58" s="50"/>
      <c r="AO58" s="50"/>
      <c r="AP58" s="50"/>
      <c r="AQ58" s="50"/>
      <c r="AR58" s="50"/>
      <c r="AS58" s="50"/>
      <c r="AT58" s="50"/>
      <c r="AU58" s="50"/>
      <c r="AV58" s="50"/>
      <c r="AW58" s="50"/>
      <c r="AX58" s="50"/>
      <c r="AY58" s="50"/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41"/>
      <c r="BZ58" s="41"/>
    </row>
    <row r="59" spans="1:78">
      <c r="A59" s="55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  <c r="AJ59" s="50"/>
      <c r="AK59" s="50"/>
      <c r="AL59" s="50"/>
      <c r="AM59" s="50"/>
      <c r="AN59" s="50"/>
      <c r="AO59" s="50"/>
      <c r="AP59" s="50"/>
      <c r="AQ59" s="50"/>
      <c r="AR59" s="50"/>
      <c r="AS59" s="50"/>
      <c r="AT59" s="50"/>
      <c r="AU59" s="50"/>
      <c r="AV59" s="50"/>
      <c r="AW59" s="50"/>
      <c r="AX59" s="50"/>
      <c r="AY59" s="50"/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41"/>
      <c r="BZ59" s="41"/>
    </row>
    <row r="60" spans="1:78">
      <c r="A60" s="55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0"/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50"/>
      <c r="AY60" s="50"/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41"/>
      <c r="BZ60" s="41"/>
    </row>
    <row r="61" spans="1:78">
      <c r="A61" s="55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0"/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41"/>
      <c r="BZ61" s="41"/>
    </row>
    <row r="62" spans="1:78">
      <c r="A62" s="55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50"/>
      <c r="AY62" s="50"/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41"/>
      <c r="BZ62" s="41"/>
    </row>
    <row r="63" spans="1:78">
      <c r="A63" s="55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  <c r="AG63" s="50"/>
      <c r="AH63" s="50"/>
      <c r="AI63" s="50"/>
      <c r="AJ63" s="50"/>
      <c r="AK63" s="50"/>
      <c r="AL63" s="50"/>
      <c r="AM63" s="50"/>
      <c r="AN63" s="50"/>
      <c r="AO63" s="50"/>
      <c r="AP63" s="50"/>
      <c r="AQ63" s="50"/>
      <c r="AR63" s="50"/>
      <c r="AS63" s="50"/>
      <c r="AT63" s="50"/>
      <c r="AU63" s="50"/>
      <c r="AV63" s="50"/>
      <c r="AW63" s="50"/>
      <c r="AX63" s="50"/>
      <c r="AY63" s="50"/>
      <c r="AZ63" s="50"/>
      <c r="BA63" s="50"/>
      <c r="BB63" s="50"/>
      <c r="BC63" s="50"/>
      <c r="BD63" s="50"/>
      <c r="BE63" s="50"/>
      <c r="BF63" s="50"/>
      <c r="BG63" s="50"/>
      <c r="BH63" s="50"/>
      <c r="BI63" s="50"/>
      <c r="BJ63" s="50"/>
      <c r="BK63" s="50"/>
      <c r="BL63" s="50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41"/>
      <c r="BZ63" s="41"/>
    </row>
    <row r="64" spans="1:78">
      <c r="A64" s="55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  <c r="AJ64" s="50"/>
      <c r="AK64" s="50"/>
      <c r="AL64" s="50"/>
      <c r="AM64" s="50"/>
      <c r="AN64" s="50"/>
      <c r="AO64" s="50"/>
      <c r="AP64" s="50"/>
      <c r="AQ64" s="50"/>
      <c r="AR64" s="50"/>
      <c r="AS64" s="50"/>
      <c r="AT64" s="50"/>
      <c r="AU64" s="50"/>
      <c r="AV64" s="50"/>
      <c r="AW64" s="50"/>
      <c r="AX64" s="50"/>
      <c r="AY64" s="50"/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41"/>
      <c r="BZ64" s="41"/>
    </row>
    <row r="65" spans="1:78">
      <c r="A65" s="55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  <c r="AJ65" s="50"/>
      <c r="AK65" s="50"/>
      <c r="AL65" s="50"/>
      <c r="AM65" s="50"/>
      <c r="AN65" s="50"/>
      <c r="AO65" s="50"/>
      <c r="AP65" s="50"/>
      <c r="AQ65" s="50"/>
      <c r="AR65" s="50"/>
      <c r="AS65" s="50"/>
      <c r="AT65" s="50"/>
      <c r="AU65" s="50"/>
      <c r="AV65" s="50"/>
      <c r="AW65" s="50"/>
      <c r="AX65" s="50"/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41"/>
      <c r="BZ65" s="41"/>
    </row>
    <row r="66" spans="1:78">
      <c r="A66" s="55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  <c r="AQ66" s="50"/>
      <c r="AR66" s="50"/>
      <c r="AS66" s="50"/>
      <c r="AT66" s="50"/>
      <c r="AU66" s="50"/>
      <c r="AV66" s="50"/>
      <c r="AW66" s="50"/>
      <c r="AX66" s="50"/>
      <c r="AY66" s="50"/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41"/>
      <c r="BZ66" s="41"/>
    </row>
    <row r="67" spans="1:78">
      <c r="A67" s="55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0"/>
      <c r="AT67" s="50"/>
      <c r="AU67" s="50"/>
      <c r="AV67" s="50"/>
      <c r="AW67" s="50"/>
      <c r="AX67" s="50"/>
      <c r="AY67" s="50"/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41"/>
      <c r="BZ67" s="41"/>
    </row>
    <row r="68" spans="1:78">
      <c r="A68" s="55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  <c r="AJ68" s="50"/>
      <c r="AK68" s="50"/>
      <c r="AL68" s="50"/>
      <c r="AM68" s="50"/>
      <c r="AN68" s="50"/>
      <c r="AO68" s="50"/>
      <c r="AP68" s="50"/>
      <c r="AQ68" s="50"/>
      <c r="AR68" s="50"/>
      <c r="AS68" s="50"/>
      <c r="AT68" s="50"/>
      <c r="AU68" s="50"/>
      <c r="AV68" s="50"/>
      <c r="AW68" s="50"/>
      <c r="AX68" s="50"/>
      <c r="AY68" s="50"/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41"/>
      <c r="BZ68" s="41"/>
    </row>
    <row r="69" spans="1:78">
      <c r="A69" s="55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  <c r="AJ69" s="50"/>
      <c r="AK69" s="50"/>
      <c r="AL69" s="50"/>
      <c r="AM69" s="50"/>
      <c r="AN69" s="50"/>
      <c r="AO69" s="50"/>
      <c r="AP69" s="50"/>
      <c r="AQ69" s="50"/>
      <c r="AR69" s="50"/>
      <c r="AS69" s="50"/>
      <c r="AT69" s="50"/>
      <c r="AU69" s="50"/>
      <c r="AV69" s="50"/>
      <c r="AW69" s="50"/>
      <c r="AX69" s="50"/>
      <c r="AY69" s="50"/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41"/>
      <c r="BZ69" s="41"/>
    </row>
    <row r="70" spans="1:78">
      <c r="A70" s="55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  <c r="AJ70" s="50"/>
      <c r="AK70" s="50"/>
      <c r="AL70" s="50"/>
      <c r="AM70" s="50"/>
      <c r="AN70" s="50"/>
      <c r="AO70" s="50"/>
      <c r="AP70" s="50"/>
      <c r="AQ70" s="50"/>
      <c r="AR70" s="50"/>
      <c r="AS70" s="50"/>
      <c r="AT70" s="50"/>
      <c r="AU70" s="50"/>
      <c r="AV70" s="50"/>
      <c r="AW70" s="50"/>
      <c r="AX70" s="50"/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41"/>
      <c r="BZ70" s="41"/>
    </row>
    <row r="71" spans="1:78">
      <c r="A71" s="55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0"/>
      <c r="AT71" s="50"/>
      <c r="AU71" s="50"/>
      <c r="AV71" s="50"/>
      <c r="AW71" s="50"/>
      <c r="AX71" s="50"/>
      <c r="AY71" s="50"/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41"/>
      <c r="BZ71" s="41"/>
    </row>
    <row r="72" spans="1:78">
      <c r="A72" s="55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  <c r="AJ72" s="50"/>
      <c r="AK72" s="50"/>
      <c r="AL72" s="50"/>
      <c r="AM72" s="50"/>
      <c r="AN72" s="50"/>
      <c r="AO72" s="50"/>
      <c r="AP72" s="50"/>
      <c r="AQ72" s="50"/>
      <c r="AR72" s="50"/>
      <c r="AS72" s="50"/>
      <c r="AT72" s="50"/>
      <c r="AU72" s="50"/>
      <c r="AV72" s="50"/>
      <c r="AW72" s="50"/>
      <c r="AX72" s="50"/>
      <c r="AY72" s="50"/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41"/>
      <c r="BZ72" s="41"/>
    </row>
    <row r="73" spans="1:78">
      <c r="A73" s="55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  <c r="AJ73" s="50"/>
      <c r="AK73" s="50"/>
      <c r="AL73" s="50"/>
      <c r="AM73" s="50"/>
      <c r="AN73" s="50"/>
      <c r="AO73" s="50"/>
      <c r="AP73" s="50"/>
      <c r="AQ73" s="50"/>
      <c r="AR73" s="50"/>
      <c r="AS73" s="50"/>
      <c r="AT73" s="50"/>
      <c r="AU73" s="50"/>
      <c r="AV73" s="50"/>
      <c r="AW73" s="50"/>
      <c r="AX73" s="50"/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41"/>
      <c r="BZ73" s="41"/>
    </row>
    <row r="74" spans="1:78">
      <c r="A74" s="55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41"/>
      <c r="BZ74" s="41"/>
    </row>
    <row r="75" spans="1:78">
      <c r="A75" s="55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  <c r="AB75" s="50"/>
      <c r="AC75" s="50"/>
      <c r="AD75" s="50"/>
      <c r="AE75" s="50"/>
      <c r="AF75" s="50"/>
      <c r="AG75" s="50"/>
      <c r="AH75" s="50"/>
      <c r="AI75" s="50"/>
      <c r="AJ75" s="50"/>
      <c r="AK75" s="50"/>
      <c r="AL75" s="50"/>
      <c r="AM75" s="50"/>
      <c r="AN75" s="50"/>
      <c r="AO75" s="50"/>
      <c r="AP75" s="50"/>
      <c r="AQ75" s="50"/>
      <c r="AR75" s="50"/>
      <c r="AS75" s="50"/>
      <c r="AT75" s="50"/>
      <c r="AU75" s="50"/>
      <c r="AV75" s="50"/>
      <c r="AW75" s="50"/>
      <c r="AX75" s="50"/>
      <c r="AY75" s="50"/>
      <c r="AZ75" s="50"/>
      <c r="BA75" s="50"/>
      <c r="BB75" s="50"/>
      <c r="BC75" s="50"/>
      <c r="BD75" s="50"/>
      <c r="BE75" s="50"/>
      <c r="BF75" s="50"/>
      <c r="BG75" s="50"/>
      <c r="BH75" s="50"/>
      <c r="BI75" s="50"/>
      <c r="BJ75" s="50"/>
      <c r="BK75" s="50"/>
      <c r="BL75" s="50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41"/>
      <c r="BZ75" s="41"/>
    </row>
    <row r="76" spans="1:78">
      <c r="A76" s="55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  <c r="AJ76" s="50"/>
      <c r="AK76" s="50"/>
      <c r="AL76" s="50"/>
      <c r="AM76" s="50"/>
      <c r="AN76" s="50"/>
      <c r="AO76" s="50"/>
      <c r="AP76" s="50"/>
      <c r="AQ76" s="50"/>
      <c r="AR76" s="50"/>
      <c r="AS76" s="50"/>
      <c r="AT76" s="50"/>
      <c r="AU76" s="50"/>
      <c r="AV76" s="50"/>
      <c r="AW76" s="50"/>
      <c r="AX76" s="50"/>
      <c r="AY76" s="50"/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41"/>
      <c r="BZ76" s="41"/>
    </row>
    <row r="77" spans="1:78">
      <c r="A77" s="55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  <c r="AQ77" s="50"/>
      <c r="AR77" s="50"/>
      <c r="AS77" s="50"/>
      <c r="AT77" s="50"/>
      <c r="AU77" s="50"/>
      <c r="AV77" s="50"/>
      <c r="AW77" s="50"/>
      <c r="AX77" s="50"/>
      <c r="AY77" s="50"/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41"/>
      <c r="BZ77" s="41"/>
    </row>
    <row r="78" spans="1:78">
      <c r="A78" s="55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50"/>
      <c r="AG78" s="50"/>
      <c r="AH78" s="50"/>
      <c r="AI78" s="50"/>
      <c r="AJ78" s="50"/>
      <c r="AK78" s="50"/>
      <c r="AL78" s="50"/>
      <c r="AM78" s="50"/>
      <c r="AN78" s="50"/>
      <c r="AO78" s="50"/>
      <c r="AP78" s="50"/>
      <c r="AQ78" s="50"/>
      <c r="AR78" s="50"/>
      <c r="AS78" s="50"/>
      <c r="AT78" s="50"/>
      <c r="AU78" s="50"/>
      <c r="AV78" s="50"/>
      <c r="AW78" s="50"/>
      <c r="AX78" s="50"/>
      <c r="AY78" s="50"/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41"/>
      <c r="BZ78" s="41"/>
    </row>
    <row r="79" spans="1:78">
      <c r="A79" s="55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  <c r="AK79" s="50"/>
      <c r="AL79" s="50"/>
      <c r="AM79" s="50"/>
      <c r="AN79" s="50"/>
      <c r="AO79" s="50"/>
      <c r="AP79" s="50"/>
      <c r="AQ79" s="50"/>
      <c r="AR79" s="50"/>
      <c r="AS79" s="50"/>
      <c r="AT79" s="50"/>
      <c r="AU79" s="50"/>
      <c r="AV79" s="50"/>
      <c r="AW79" s="50"/>
      <c r="AX79" s="50"/>
      <c r="AY79" s="50"/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41"/>
      <c r="BZ79" s="41"/>
    </row>
    <row r="80" spans="1:78">
      <c r="A80" s="55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  <c r="AB80" s="50"/>
      <c r="AC80" s="50"/>
      <c r="AD80" s="50"/>
      <c r="AE80" s="50"/>
      <c r="AF80" s="50"/>
      <c r="AG80" s="50"/>
      <c r="AH80" s="50"/>
      <c r="AI80" s="50"/>
      <c r="AJ80" s="50"/>
      <c r="AK80" s="50"/>
      <c r="AL80" s="50"/>
      <c r="AM80" s="50"/>
      <c r="AN80" s="50"/>
      <c r="AO80" s="50"/>
      <c r="AP80" s="50"/>
      <c r="AQ80" s="50"/>
      <c r="AR80" s="50"/>
      <c r="AS80" s="50"/>
      <c r="AT80" s="50"/>
      <c r="AU80" s="50"/>
      <c r="AV80" s="50"/>
      <c r="AW80" s="50"/>
      <c r="AX80" s="50"/>
      <c r="AY80" s="50"/>
      <c r="AZ80" s="50"/>
      <c r="BA80" s="50"/>
      <c r="BB80" s="50"/>
      <c r="BC80" s="50"/>
      <c r="BD80" s="50"/>
      <c r="BE80" s="50"/>
      <c r="BF80" s="50"/>
      <c r="BG80" s="50"/>
      <c r="BH80" s="50"/>
      <c r="BI80" s="50"/>
      <c r="BJ80" s="50"/>
      <c r="BK80" s="50"/>
      <c r="BL80" s="50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41"/>
      <c r="BZ80" s="41"/>
    </row>
    <row r="81" spans="1:78">
      <c r="A81" s="55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  <c r="AK81" s="50"/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0"/>
      <c r="AW81" s="50"/>
      <c r="AX81" s="50"/>
      <c r="AY81" s="50"/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41"/>
      <c r="BZ81" s="41"/>
    </row>
    <row r="82" spans="1:78">
      <c r="A82" s="55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50"/>
      <c r="AJ82" s="50"/>
      <c r="AK82" s="50"/>
      <c r="AL82" s="50"/>
      <c r="AM82" s="50"/>
      <c r="AN82" s="50"/>
      <c r="AO82" s="50"/>
      <c r="AP82" s="50"/>
      <c r="AQ82" s="50"/>
      <c r="AR82" s="50"/>
      <c r="AS82" s="50"/>
      <c r="AT82" s="50"/>
      <c r="AU82" s="50"/>
      <c r="AV82" s="50"/>
      <c r="AW82" s="50"/>
      <c r="AX82" s="50"/>
      <c r="AY82" s="50"/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41"/>
      <c r="BZ82" s="41"/>
    </row>
    <row r="83" spans="1:78">
      <c r="A83" s="55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41"/>
      <c r="BZ83" s="41"/>
    </row>
    <row r="84" spans="1:78">
      <c r="A84" s="55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  <c r="AG84" s="50"/>
      <c r="AH84" s="50"/>
      <c r="AI84" s="50"/>
      <c r="AJ84" s="50"/>
      <c r="AK84" s="50"/>
      <c r="AL84" s="50"/>
      <c r="AM84" s="50"/>
      <c r="AN84" s="50"/>
      <c r="AO84" s="50"/>
      <c r="AP84" s="50"/>
      <c r="AQ84" s="50"/>
      <c r="AR84" s="50"/>
      <c r="AS84" s="50"/>
      <c r="AT84" s="50"/>
      <c r="AU84" s="50"/>
      <c r="AV84" s="50"/>
      <c r="AW84" s="50"/>
      <c r="AX84" s="50"/>
      <c r="AY84" s="50"/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41"/>
      <c r="BZ84" s="41"/>
    </row>
    <row r="85" spans="1:78">
      <c r="A85" s="55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50"/>
      <c r="AG85" s="50"/>
      <c r="AH85" s="50"/>
      <c r="AI85" s="50"/>
      <c r="AJ85" s="50"/>
      <c r="AK85" s="50"/>
      <c r="AL85" s="50"/>
      <c r="AM85" s="50"/>
      <c r="AN85" s="50"/>
      <c r="AO85" s="50"/>
      <c r="AP85" s="50"/>
      <c r="AQ85" s="50"/>
      <c r="AR85" s="50"/>
      <c r="AS85" s="50"/>
      <c r="AT85" s="50"/>
      <c r="AU85" s="50"/>
      <c r="AV85" s="50"/>
      <c r="AW85" s="50"/>
      <c r="AX85" s="50"/>
      <c r="AY85" s="50"/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41"/>
      <c r="BZ85" s="41"/>
    </row>
    <row r="86" spans="1:78">
      <c r="A86" s="55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  <c r="AK86" s="50"/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0"/>
      <c r="AW86" s="50"/>
      <c r="AX86" s="50"/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41"/>
      <c r="BZ86" s="41"/>
    </row>
    <row r="87" spans="1:78">
      <c r="A87" s="55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0"/>
      <c r="AW87" s="50"/>
      <c r="AX87" s="50"/>
      <c r="AY87" s="50"/>
      <c r="AZ87" s="50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41"/>
      <c r="BZ87" s="41"/>
    </row>
    <row r="88" spans="1:78">
      <c r="A88" s="55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  <c r="AM88" s="50"/>
      <c r="AN88" s="50"/>
      <c r="AO88" s="50"/>
      <c r="AP88" s="50"/>
      <c r="AQ88" s="50"/>
      <c r="AR88" s="50"/>
      <c r="AS88" s="50"/>
      <c r="AT88" s="50"/>
      <c r="AU88" s="50"/>
      <c r="AV88" s="50"/>
      <c r="AW88" s="50"/>
      <c r="AX88" s="50"/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41"/>
      <c r="BZ88" s="41"/>
    </row>
    <row r="89" spans="1:78">
      <c r="A89" s="55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0"/>
      <c r="AR89" s="50"/>
      <c r="AS89" s="50"/>
      <c r="AT89" s="50"/>
      <c r="AU89" s="50"/>
      <c r="AV89" s="50"/>
      <c r="AW89" s="50"/>
      <c r="AX89" s="50"/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41"/>
      <c r="BZ89" s="41"/>
    </row>
    <row r="90" spans="1:78">
      <c r="A90" s="55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  <c r="AM90" s="50"/>
      <c r="AN90" s="50"/>
      <c r="AO90" s="50"/>
      <c r="AP90" s="50"/>
      <c r="AQ90" s="50"/>
      <c r="AR90" s="50"/>
      <c r="AS90" s="50"/>
      <c r="AT90" s="50"/>
      <c r="AU90" s="50"/>
      <c r="AV90" s="50"/>
      <c r="AW90" s="50"/>
      <c r="AX90" s="50"/>
      <c r="AY90" s="50"/>
      <c r="AZ90" s="50"/>
      <c r="BA90" s="50"/>
      <c r="BB90" s="50"/>
      <c r="BC90" s="50"/>
      <c r="BD90" s="50"/>
      <c r="BE90" s="50"/>
      <c r="BF90" s="50"/>
      <c r="BG90" s="50"/>
      <c r="BH90" s="50"/>
      <c r="BI90" s="50"/>
      <c r="BJ90" s="50"/>
      <c r="BK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41"/>
      <c r="BZ90" s="41"/>
    </row>
    <row r="91" spans="1:78">
      <c r="A91" s="55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  <c r="AB91" s="50"/>
      <c r="AC91" s="50"/>
      <c r="AD91" s="50"/>
      <c r="AE91" s="50"/>
      <c r="AF91" s="50"/>
      <c r="AG91" s="50"/>
      <c r="AH91" s="50"/>
      <c r="AI91" s="50"/>
      <c r="AJ91" s="50"/>
      <c r="AK91" s="50"/>
      <c r="AL91" s="50"/>
      <c r="AM91" s="50"/>
      <c r="AN91" s="50"/>
      <c r="AO91" s="50"/>
      <c r="AP91" s="50"/>
      <c r="AQ91" s="50"/>
      <c r="AR91" s="50"/>
      <c r="AS91" s="50"/>
      <c r="AT91" s="50"/>
      <c r="AU91" s="50"/>
      <c r="AV91" s="50"/>
      <c r="AW91" s="50"/>
      <c r="AX91" s="50"/>
      <c r="AY91" s="50"/>
      <c r="AZ91" s="50"/>
      <c r="BA91" s="50"/>
      <c r="BB91" s="50"/>
      <c r="BC91" s="50"/>
      <c r="BD91" s="50"/>
      <c r="BE91" s="50"/>
      <c r="BF91" s="50"/>
      <c r="BG91" s="50"/>
      <c r="BH91" s="50"/>
      <c r="BI91" s="50"/>
      <c r="BJ91" s="50"/>
      <c r="BK91" s="50"/>
      <c r="BL91" s="50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41"/>
      <c r="BZ91" s="41"/>
    </row>
    <row r="92" spans="1:78">
      <c r="A92" s="55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  <c r="AO92" s="50"/>
      <c r="AP92" s="50"/>
      <c r="AQ92" s="50"/>
      <c r="AR92" s="50"/>
      <c r="AS92" s="50"/>
      <c r="AT92" s="50"/>
      <c r="AU92" s="50"/>
      <c r="AV92" s="50"/>
      <c r="AW92" s="50"/>
      <c r="AX92" s="50"/>
      <c r="AY92" s="50"/>
      <c r="AZ92" s="50"/>
      <c r="BA92" s="50"/>
      <c r="BB92" s="50"/>
      <c r="BC92" s="50"/>
      <c r="BD92" s="50"/>
      <c r="BE92" s="50"/>
      <c r="BF92" s="50"/>
      <c r="BG92" s="50"/>
      <c r="BH92" s="50"/>
      <c r="BI92" s="50"/>
      <c r="BJ92" s="50"/>
      <c r="BK92" s="50"/>
      <c r="BL92" s="50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41"/>
      <c r="BZ92" s="41"/>
    </row>
    <row r="93" spans="1:78">
      <c r="A93" s="55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  <c r="AG93" s="50"/>
      <c r="AH93" s="50"/>
      <c r="AI93" s="50"/>
      <c r="AJ93" s="50"/>
      <c r="AK93" s="50"/>
      <c r="AL93" s="50"/>
      <c r="AM93" s="50"/>
      <c r="AN93" s="50"/>
      <c r="AO93" s="50"/>
      <c r="AP93" s="50"/>
      <c r="AQ93" s="50"/>
      <c r="AR93" s="50"/>
      <c r="AS93" s="50"/>
      <c r="AT93" s="50"/>
      <c r="AU93" s="50"/>
      <c r="AV93" s="50"/>
      <c r="AW93" s="50"/>
      <c r="AX93" s="50"/>
      <c r="AY93" s="50"/>
      <c r="AZ93" s="50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  <c r="BL93" s="50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41"/>
      <c r="BZ93" s="41"/>
    </row>
    <row r="94" spans="1:78">
      <c r="A94" s="55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41"/>
      <c r="BZ94" s="41"/>
    </row>
    <row r="95" spans="1:78">
      <c r="A95" s="55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  <c r="AK95" s="50"/>
      <c r="AL95" s="50"/>
      <c r="AM95" s="50"/>
      <c r="AN95" s="50"/>
      <c r="AO95" s="50"/>
      <c r="AP95" s="50"/>
      <c r="AQ95" s="50"/>
      <c r="AR95" s="50"/>
      <c r="AS95" s="50"/>
      <c r="AT95" s="50"/>
      <c r="AU95" s="50"/>
      <c r="AV95" s="50"/>
      <c r="AW95" s="50"/>
      <c r="AX95" s="50"/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41"/>
      <c r="BZ95" s="41"/>
    </row>
    <row r="96" spans="1:78">
      <c r="A96" s="55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  <c r="AK96" s="50"/>
      <c r="AL96" s="50"/>
      <c r="AM96" s="50"/>
      <c r="AN96" s="50"/>
      <c r="AO96" s="50"/>
      <c r="AP96" s="50"/>
      <c r="AQ96" s="50"/>
      <c r="AR96" s="50"/>
      <c r="AS96" s="50"/>
      <c r="AT96" s="50"/>
      <c r="AU96" s="50"/>
      <c r="AV96" s="50"/>
      <c r="AW96" s="50"/>
      <c r="AX96" s="50"/>
      <c r="AY96" s="50"/>
      <c r="AZ96" s="50"/>
      <c r="BA96" s="50"/>
      <c r="BB96" s="50"/>
      <c r="BC96" s="50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41"/>
      <c r="BZ96" s="41"/>
    </row>
    <row r="97" spans="1:78">
      <c r="A97" s="55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50"/>
      <c r="AW97" s="50"/>
      <c r="AX97" s="50"/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41"/>
      <c r="BZ97" s="41"/>
    </row>
    <row r="98" spans="1:78">
      <c r="A98" s="55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0"/>
      <c r="AK98" s="50"/>
      <c r="AL98" s="50"/>
      <c r="AM98" s="50"/>
      <c r="AN98" s="50"/>
      <c r="AO98" s="50"/>
      <c r="AP98" s="50"/>
      <c r="AQ98" s="50"/>
      <c r="AR98" s="50"/>
      <c r="AS98" s="50"/>
      <c r="AT98" s="50"/>
      <c r="AU98" s="50"/>
      <c r="AV98" s="50"/>
      <c r="AW98" s="50"/>
      <c r="AX98" s="50"/>
      <c r="AY98" s="50"/>
      <c r="AZ98" s="50"/>
      <c r="BA98" s="50"/>
      <c r="BB98" s="50"/>
      <c r="BC98" s="50"/>
      <c r="BD98" s="50"/>
      <c r="BE98" s="50"/>
      <c r="BF98" s="50"/>
      <c r="BG98" s="50"/>
      <c r="BH98" s="50"/>
      <c r="BI98" s="50"/>
      <c r="BJ98" s="50"/>
      <c r="BK98" s="50"/>
      <c r="BL98" s="50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41"/>
      <c r="BZ98" s="41"/>
    </row>
    <row r="99" spans="1:78">
      <c r="A99" s="55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0"/>
      <c r="AM99" s="50"/>
      <c r="AN99" s="50"/>
      <c r="AO99" s="50"/>
      <c r="AP99" s="50"/>
      <c r="AQ99" s="50"/>
      <c r="AR99" s="50"/>
      <c r="AS99" s="50"/>
      <c r="AT99" s="50"/>
      <c r="AU99" s="50"/>
      <c r="AV99" s="50"/>
      <c r="AW99" s="50"/>
      <c r="AX99" s="50"/>
      <c r="AY99" s="50"/>
      <c r="AZ99" s="50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41"/>
      <c r="BZ99" s="41"/>
    </row>
    <row r="100" spans="1:78">
      <c r="A100" s="55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0"/>
      <c r="AW100" s="50"/>
      <c r="AX100" s="50"/>
      <c r="AY100" s="50"/>
      <c r="AZ100" s="50"/>
      <c r="BA100" s="50"/>
      <c r="BB100" s="50"/>
      <c r="BC100" s="50"/>
      <c r="BD100" s="50"/>
      <c r="BE100" s="50"/>
      <c r="BF100" s="50"/>
      <c r="BG100" s="50"/>
      <c r="BH100" s="50"/>
      <c r="BI100" s="50"/>
      <c r="BJ100" s="50"/>
      <c r="BK100" s="50"/>
      <c r="BL100" s="50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41"/>
      <c r="BZ100" s="41"/>
    </row>
    <row r="101" spans="1:78">
      <c r="A101" s="55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50"/>
      <c r="AQ101" s="50"/>
      <c r="AR101" s="50"/>
      <c r="AS101" s="50"/>
      <c r="AT101" s="50"/>
      <c r="AU101" s="50"/>
      <c r="AV101" s="50"/>
      <c r="AW101" s="50"/>
      <c r="AX101" s="50"/>
      <c r="AY101" s="50"/>
      <c r="AZ101" s="50"/>
      <c r="BA101" s="50"/>
      <c r="BB101" s="50"/>
      <c r="BC101" s="50"/>
      <c r="BD101" s="50"/>
      <c r="BE101" s="50"/>
      <c r="BF101" s="50"/>
      <c r="BG101" s="50"/>
      <c r="BH101" s="50"/>
      <c r="BI101" s="50"/>
      <c r="BJ101" s="50"/>
      <c r="BK101" s="50"/>
      <c r="BL101" s="50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41"/>
      <c r="BZ101" s="41"/>
    </row>
    <row r="102" spans="1:78">
      <c r="A102" s="55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0"/>
      <c r="AK102" s="50"/>
      <c r="AL102" s="50"/>
      <c r="AM102" s="50"/>
      <c r="AN102" s="50"/>
      <c r="AO102" s="50"/>
      <c r="AP102" s="50"/>
      <c r="AQ102" s="50"/>
      <c r="AR102" s="50"/>
      <c r="AS102" s="50"/>
      <c r="AT102" s="50"/>
      <c r="AU102" s="50"/>
      <c r="AV102" s="50"/>
      <c r="AW102" s="50"/>
      <c r="AX102" s="50"/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41"/>
      <c r="BZ102" s="41"/>
    </row>
    <row r="103" spans="1:78">
      <c r="A103" s="55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50"/>
      <c r="AG103" s="50"/>
      <c r="AH103" s="50"/>
      <c r="AI103" s="50"/>
      <c r="AJ103" s="50"/>
      <c r="AK103" s="50"/>
      <c r="AL103" s="50"/>
      <c r="AM103" s="50"/>
      <c r="AN103" s="50"/>
      <c r="AO103" s="50"/>
      <c r="AP103" s="50"/>
      <c r="AQ103" s="50"/>
      <c r="AR103" s="50"/>
      <c r="AS103" s="50"/>
      <c r="AT103" s="50"/>
      <c r="AU103" s="50"/>
      <c r="AV103" s="50"/>
      <c r="AW103" s="50"/>
      <c r="AX103" s="50"/>
      <c r="AY103" s="50"/>
      <c r="AZ103" s="50"/>
      <c r="BA103" s="50"/>
      <c r="BB103" s="50"/>
      <c r="BC103" s="50"/>
      <c r="BD103" s="50"/>
      <c r="BE103" s="50"/>
      <c r="BF103" s="50"/>
      <c r="BG103" s="50"/>
      <c r="BH103" s="50"/>
      <c r="BI103" s="50"/>
      <c r="BJ103" s="50"/>
      <c r="BK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41"/>
      <c r="BZ103" s="41"/>
    </row>
    <row r="104" spans="1:78">
      <c r="A104" s="55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  <c r="AC104" s="50"/>
      <c r="AD104" s="50"/>
      <c r="AE104" s="50"/>
      <c r="AF104" s="50"/>
      <c r="AG104" s="50"/>
      <c r="AH104" s="50"/>
      <c r="AI104" s="50"/>
      <c r="AJ104" s="50"/>
      <c r="AK104" s="50"/>
      <c r="AL104" s="50"/>
      <c r="AM104" s="50"/>
      <c r="AN104" s="50"/>
      <c r="AO104" s="50"/>
      <c r="AP104" s="50"/>
      <c r="AQ104" s="50"/>
      <c r="AR104" s="50"/>
      <c r="AS104" s="50"/>
      <c r="AT104" s="50"/>
      <c r="AU104" s="50"/>
      <c r="AV104" s="50"/>
      <c r="AW104" s="50"/>
      <c r="AX104" s="50"/>
      <c r="AY104" s="50"/>
      <c r="AZ104" s="50"/>
      <c r="BA104" s="50"/>
      <c r="BB104" s="50"/>
      <c r="BC104" s="50"/>
      <c r="BD104" s="50"/>
      <c r="BE104" s="50"/>
      <c r="BF104" s="50"/>
      <c r="BG104" s="50"/>
      <c r="BH104" s="50"/>
      <c r="BI104" s="50"/>
      <c r="BJ104" s="50"/>
      <c r="BK104" s="50"/>
      <c r="BL104" s="50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41"/>
      <c r="BZ104" s="41"/>
    </row>
    <row r="105" spans="1:78">
      <c r="A105" s="55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50"/>
      <c r="AQ105" s="50"/>
      <c r="AR105" s="50"/>
      <c r="AS105" s="50"/>
      <c r="AT105" s="50"/>
      <c r="AU105" s="50"/>
      <c r="AV105" s="50"/>
      <c r="AW105" s="50"/>
      <c r="AX105" s="50"/>
      <c r="AY105" s="50"/>
      <c r="AZ105" s="50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41"/>
      <c r="BZ105" s="41"/>
    </row>
    <row r="106" spans="1:78">
      <c r="A106" s="55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0"/>
      <c r="AK106" s="50"/>
      <c r="AL106" s="50"/>
      <c r="AM106" s="50"/>
      <c r="AN106" s="50"/>
      <c r="AO106" s="50"/>
      <c r="AP106" s="50"/>
      <c r="AQ106" s="50"/>
      <c r="AR106" s="50"/>
      <c r="AS106" s="50"/>
      <c r="AT106" s="50"/>
      <c r="AU106" s="50"/>
      <c r="AV106" s="50"/>
      <c r="AW106" s="50"/>
      <c r="AX106" s="50"/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41"/>
      <c r="BZ106" s="41"/>
    </row>
    <row r="107" spans="1:78">
      <c r="A107" s="55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0"/>
      <c r="AW107" s="50"/>
      <c r="AX107" s="50"/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41"/>
      <c r="BZ107" s="41"/>
    </row>
    <row r="108" spans="1:78">
      <c r="A108" s="55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0"/>
      <c r="AK108" s="50"/>
      <c r="AL108" s="50"/>
      <c r="AM108" s="50"/>
      <c r="AN108" s="50"/>
      <c r="AO108" s="50"/>
      <c r="AP108" s="50"/>
      <c r="AQ108" s="50"/>
      <c r="AR108" s="50"/>
      <c r="AS108" s="50"/>
      <c r="AT108" s="50"/>
      <c r="AU108" s="50"/>
      <c r="AV108" s="50"/>
      <c r="AW108" s="50"/>
      <c r="AX108" s="50"/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41"/>
      <c r="BZ108" s="41"/>
    </row>
    <row r="109" spans="1:78">
      <c r="A109" s="55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41"/>
      <c r="BZ109" s="41"/>
    </row>
    <row r="110" spans="1:78">
      <c r="A110" s="55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50"/>
      <c r="AJ110" s="50"/>
      <c r="AK110" s="50"/>
      <c r="AL110" s="50"/>
      <c r="AM110" s="50"/>
      <c r="AN110" s="50"/>
      <c r="AO110" s="50"/>
      <c r="AP110" s="50"/>
      <c r="AQ110" s="50"/>
      <c r="AR110" s="50"/>
      <c r="AS110" s="50"/>
      <c r="AT110" s="50"/>
      <c r="AU110" s="50"/>
      <c r="AV110" s="50"/>
      <c r="AW110" s="50"/>
      <c r="AX110" s="50"/>
      <c r="AY110" s="50"/>
      <c r="AZ110" s="50"/>
      <c r="BA110" s="50"/>
      <c r="BB110" s="50"/>
      <c r="BC110" s="50"/>
      <c r="BD110" s="50"/>
      <c r="BE110" s="50"/>
      <c r="BF110" s="50"/>
      <c r="BG110" s="50"/>
      <c r="BH110" s="50"/>
      <c r="BI110" s="50"/>
      <c r="BJ110" s="50"/>
      <c r="BK110" s="50"/>
      <c r="BL110" s="50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41"/>
      <c r="BZ110" s="41"/>
    </row>
    <row r="111" spans="1:78">
      <c r="A111" s="55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0"/>
      <c r="AK111" s="50"/>
      <c r="AL111" s="50"/>
      <c r="AM111" s="50"/>
      <c r="AN111" s="50"/>
      <c r="AO111" s="50"/>
      <c r="AP111" s="50"/>
      <c r="AQ111" s="50"/>
      <c r="AR111" s="50"/>
      <c r="AS111" s="50"/>
      <c r="AT111" s="50"/>
      <c r="AU111" s="50"/>
      <c r="AV111" s="50"/>
      <c r="AW111" s="50"/>
      <c r="AX111" s="50"/>
      <c r="AY111" s="50"/>
      <c r="AZ111" s="50"/>
      <c r="BA111" s="50"/>
      <c r="BB111" s="50"/>
      <c r="BC111" s="50"/>
      <c r="BD111" s="50"/>
      <c r="BE111" s="50"/>
      <c r="BF111" s="50"/>
      <c r="BG111" s="50"/>
      <c r="BH111" s="50"/>
      <c r="BI111" s="50"/>
      <c r="BJ111" s="50"/>
      <c r="BK111" s="50"/>
      <c r="BL111" s="50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41"/>
      <c r="BZ111" s="41"/>
    </row>
    <row r="112" spans="1:78">
      <c r="A112" s="55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0"/>
      <c r="AK112" s="50"/>
      <c r="AL112" s="50"/>
      <c r="AM112" s="50"/>
      <c r="AN112" s="50"/>
      <c r="AO112" s="50"/>
      <c r="AP112" s="50"/>
      <c r="AQ112" s="50"/>
      <c r="AR112" s="50"/>
      <c r="AS112" s="50"/>
      <c r="AT112" s="50"/>
      <c r="AU112" s="50"/>
      <c r="AV112" s="50"/>
      <c r="AW112" s="50"/>
      <c r="AX112" s="50"/>
      <c r="AY112" s="50"/>
      <c r="AZ112" s="50"/>
      <c r="BA112" s="50"/>
      <c r="BB112" s="50"/>
      <c r="BC112" s="50"/>
      <c r="BD112" s="50"/>
      <c r="BE112" s="50"/>
      <c r="BF112" s="50"/>
      <c r="BG112" s="50"/>
      <c r="BH112" s="50"/>
      <c r="BI112" s="50"/>
      <c r="BJ112" s="50"/>
      <c r="BK112" s="50"/>
      <c r="BL112" s="50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41"/>
      <c r="BZ112" s="41"/>
    </row>
    <row r="113" spans="1:78">
      <c r="A113" s="55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  <c r="AQ113" s="50"/>
      <c r="AR113" s="50"/>
      <c r="AS113" s="50"/>
      <c r="AT113" s="50"/>
      <c r="AU113" s="50"/>
      <c r="AV113" s="50"/>
      <c r="AW113" s="50"/>
      <c r="AX113" s="50"/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41"/>
      <c r="BZ113" s="41"/>
    </row>
    <row r="114" spans="1:78">
      <c r="A114" s="55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0"/>
      <c r="AK114" s="50"/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0"/>
      <c r="AW114" s="50"/>
      <c r="AX114" s="50"/>
      <c r="AY114" s="50"/>
      <c r="AZ114" s="50"/>
      <c r="BA114" s="50"/>
      <c r="BB114" s="50"/>
      <c r="BC114" s="50"/>
      <c r="BD114" s="50"/>
      <c r="BE114" s="50"/>
      <c r="BF114" s="50"/>
      <c r="BG114" s="50"/>
      <c r="BH114" s="50"/>
      <c r="BI114" s="50"/>
      <c r="BJ114" s="50"/>
      <c r="BK114" s="50"/>
      <c r="BL114" s="50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41"/>
      <c r="BZ114" s="41"/>
    </row>
    <row r="115" spans="1:78">
      <c r="A115" s="55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41"/>
      <c r="BZ115" s="41"/>
    </row>
    <row r="116" spans="1:78">
      <c r="A116" s="55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  <c r="AQ116" s="50"/>
      <c r="AR116" s="50"/>
      <c r="AS116" s="50"/>
      <c r="AT116" s="50"/>
      <c r="AU116" s="50"/>
      <c r="AV116" s="50"/>
      <c r="AW116" s="50"/>
      <c r="AX116" s="50"/>
      <c r="AY116" s="50"/>
      <c r="AZ116" s="50"/>
      <c r="BA116" s="50"/>
      <c r="BB116" s="50"/>
      <c r="BC116" s="50"/>
      <c r="BD116" s="50"/>
      <c r="BE116" s="50"/>
      <c r="BF116" s="50"/>
      <c r="BG116" s="50"/>
      <c r="BH116" s="50"/>
      <c r="BI116" s="50"/>
      <c r="BJ116" s="50"/>
      <c r="BK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41"/>
      <c r="BZ116" s="41"/>
    </row>
    <row r="117" spans="1:78">
      <c r="A117" s="55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50"/>
      <c r="AQ117" s="50"/>
      <c r="AR117" s="50"/>
      <c r="AS117" s="50"/>
      <c r="AT117" s="50"/>
      <c r="AU117" s="50"/>
      <c r="AV117" s="50"/>
      <c r="AW117" s="50"/>
      <c r="AX117" s="50"/>
      <c r="AY117" s="50"/>
      <c r="AZ117" s="50"/>
      <c r="BA117" s="50"/>
      <c r="BB117" s="50"/>
      <c r="BC117" s="50"/>
      <c r="BD117" s="50"/>
      <c r="BE117" s="50"/>
      <c r="BF117" s="50"/>
      <c r="BG117" s="50"/>
      <c r="BH117" s="50"/>
      <c r="BI117" s="50"/>
      <c r="BJ117" s="50"/>
      <c r="BK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41"/>
      <c r="BZ117" s="41"/>
    </row>
    <row r="118" spans="1:78">
      <c r="A118" s="55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0"/>
      <c r="AK118" s="50"/>
      <c r="AL118" s="50"/>
      <c r="AM118" s="50"/>
      <c r="AN118" s="50"/>
      <c r="AO118" s="50"/>
      <c r="AP118" s="50"/>
      <c r="AQ118" s="50"/>
      <c r="AR118" s="50"/>
      <c r="AS118" s="50"/>
      <c r="AT118" s="50"/>
      <c r="AU118" s="50"/>
      <c r="AV118" s="50"/>
      <c r="AW118" s="50"/>
      <c r="AX118" s="50"/>
      <c r="AY118" s="50"/>
      <c r="AZ118" s="50"/>
      <c r="BA118" s="50"/>
      <c r="BB118" s="50"/>
      <c r="BC118" s="50"/>
      <c r="BD118" s="50"/>
      <c r="BE118" s="50"/>
      <c r="BF118" s="50"/>
      <c r="BG118" s="50"/>
      <c r="BH118" s="50"/>
      <c r="BI118" s="50"/>
      <c r="BJ118" s="50"/>
      <c r="BK118" s="50"/>
      <c r="BL118" s="50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41"/>
      <c r="BZ118" s="41"/>
    </row>
    <row r="119" spans="1:78">
      <c r="A119" s="55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0"/>
      <c r="AK119" s="50"/>
      <c r="AL119" s="50"/>
      <c r="AM119" s="50"/>
      <c r="AN119" s="50"/>
      <c r="AO119" s="50"/>
      <c r="AP119" s="50"/>
      <c r="AQ119" s="50"/>
      <c r="AR119" s="50"/>
      <c r="AS119" s="50"/>
      <c r="AT119" s="50"/>
      <c r="AU119" s="50"/>
      <c r="AV119" s="50"/>
      <c r="AW119" s="50"/>
      <c r="AX119" s="50"/>
      <c r="AY119" s="50"/>
      <c r="AZ119" s="50"/>
      <c r="BA119" s="50"/>
      <c r="BB119" s="50"/>
      <c r="BC119" s="50"/>
      <c r="BD119" s="50"/>
      <c r="BE119" s="50"/>
      <c r="BF119" s="50"/>
      <c r="BG119" s="50"/>
      <c r="BH119" s="50"/>
      <c r="BI119" s="50"/>
      <c r="BJ119" s="50"/>
      <c r="BK119" s="50"/>
      <c r="BL119" s="50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41"/>
      <c r="BZ119" s="41"/>
    </row>
    <row r="120" spans="1:78">
      <c r="A120" s="55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41"/>
      <c r="BZ120" s="41"/>
    </row>
    <row r="121" spans="1:78">
      <c r="A121" s="55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0"/>
      <c r="AK121" s="50"/>
      <c r="AL121" s="50"/>
      <c r="AM121" s="50"/>
      <c r="AN121" s="50"/>
      <c r="AO121" s="50"/>
      <c r="AP121" s="50"/>
      <c r="AQ121" s="50"/>
      <c r="AR121" s="50"/>
      <c r="AS121" s="50"/>
      <c r="AT121" s="50"/>
      <c r="AU121" s="50"/>
      <c r="AV121" s="50"/>
      <c r="AW121" s="50"/>
      <c r="AX121" s="50"/>
      <c r="AY121" s="50"/>
      <c r="AZ121" s="50"/>
      <c r="BA121" s="50"/>
      <c r="BB121" s="50"/>
      <c r="BC121" s="50"/>
      <c r="BD121" s="50"/>
      <c r="BE121" s="50"/>
      <c r="BF121" s="50"/>
      <c r="BG121" s="50"/>
      <c r="BH121" s="50"/>
      <c r="BI121" s="50"/>
      <c r="BJ121" s="50"/>
      <c r="BK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41"/>
      <c r="BZ121" s="41"/>
    </row>
    <row r="122" spans="1:78">
      <c r="A122" s="55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0"/>
      <c r="AK122" s="50"/>
      <c r="AL122" s="50"/>
      <c r="AM122" s="50"/>
      <c r="AN122" s="50"/>
      <c r="AO122" s="50"/>
      <c r="AP122" s="50"/>
      <c r="AQ122" s="50"/>
      <c r="AR122" s="50"/>
      <c r="AS122" s="50"/>
      <c r="AT122" s="50"/>
      <c r="AU122" s="50"/>
      <c r="AV122" s="50"/>
      <c r="AW122" s="50"/>
      <c r="AX122" s="50"/>
      <c r="AY122" s="50"/>
      <c r="AZ122" s="50"/>
      <c r="BA122" s="50"/>
      <c r="BB122" s="50"/>
      <c r="BC122" s="50"/>
      <c r="BD122" s="50"/>
      <c r="BE122" s="50"/>
      <c r="BF122" s="50"/>
      <c r="BG122" s="50"/>
      <c r="BH122" s="50"/>
      <c r="BI122" s="50"/>
      <c r="BJ122" s="50"/>
      <c r="BK122" s="50"/>
      <c r="BL122" s="50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41"/>
      <c r="BZ122" s="41"/>
    </row>
    <row r="123" spans="1:78">
      <c r="A123" s="55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50"/>
      <c r="AQ123" s="50"/>
      <c r="AR123" s="50"/>
      <c r="AS123" s="50"/>
      <c r="AT123" s="50"/>
      <c r="AU123" s="50"/>
      <c r="AV123" s="50"/>
      <c r="AW123" s="50"/>
      <c r="AX123" s="50"/>
      <c r="AY123" s="50"/>
      <c r="AZ123" s="50"/>
      <c r="BA123" s="50"/>
      <c r="BB123" s="50"/>
      <c r="BC123" s="50"/>
      <c r="BD123" s="50"/>
      <c r="BE123" s="50"/>
      <c r="BF123" s="50"/>
      <c r="BG123" s="50"/>
      <c r="BH123" s="50"/>
      <c r="BI123" s="50"/>
      <c r="BJ123" s="50"/>
      <c r="BK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41"/>
      <c r="BZ123" s="41"/>
    </row>
    <row r="124" spans="1:78">
      <c r="A124" s="55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0"/>
      <c r="AK124" s="50"/>
      <c r="AL124" s="50"/>
      <c r="AM124" s="50"/>
      <c r="AN124" s="50"/>
      <c r="AO124" s="50"/>
      <c r="AP124" s="50"/>
      <c r="AQ124" s="50"/>
      <c r="AR124" s="50"/>
      <c r="AS124" s="50"/>
      <c r="AT124" s="50"/>
      <c r="AU124" s="50"/>
      <c r="AV124" s="50"/>
      <c r="AW124" s="50"/>
      <c r="AX124" s="50"/>
      <c r="AY124" s="50"/>
      <c r="AZ124" s="50"/>
      <c r="BA124" s="50"/>
      <c r="BB124" s="50"/>
      <c r="BC124" s="50"/>
      <c r="BD124" s="50"/>
      <c r="BE124" s="50"/>
      <c r="BF124" s="50"/>
      <c r="BG124" s="50"/>
      <c r="BH124" s="50"/>
      <c r="BI124" s="50"/>
      <c r="BJ124" s="50"/>
      <c r="BK124" s="50"/>
      <c r="BL124" s="50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41"/>
      <c r="BZ124" s="41"/>
    </row>
    <row r="125" spans="1:78">
      <c r="A125" s="55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  <c r="AQ125" s="50"/>
      <c r="AR125" s="50"/>
      <c r="AS125" s="50"/>
      <c r="AT125" s="50"/>
      <c r="AU125" s="50"/>
      <c r="AV125" s="50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  <c r="BL125" s="50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41"/>
      <c r="BZ125" s="41"/>
    </row>
    <row r="126" spans="1:78">
      <c r="A126" s="55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41"/>
      <c r="BZ126" s="41"/>
    </row>
    <row r="127" spans="1:78">
      <c r="A127" s="55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41"/>
      <c r="BZ127" s="41"/>
    </row>
    <row r="128" spans="1:78">
      <c r="A128" s="55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0"/>
      <c r="AW128" s="50"/>
      <c r="AX128" s="50"/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41"/>
      <c r="BZ128" s="41"/>
    </row>
    <row r="129" spans="1:78">
      <c r="A129" s="55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  <c r="AK129" s="50"/>
      <c r="AL129" s="50"/>
      <c r="AM129" s="50"/>
      <c r="AN129" s="50"/>
      <c r="AO129" s="50"/>
      <c r="AP129" s="50"/>
      <c r="AQ129" s="50"/>
      <c r="AR129" s="50"/>
      <c r="AS129" s="50"/>
      <c r="AT129" s="50"/>
      <c r="AU129" s="50"/>
      <c r="AV129" s="50"/>
      <c r="AW129" s="50"/>
      <c r="AX129" s="50"/>
      <c r="AY129" s="50"/>
      <c r="AZ129" s="50"/>
      <c r="BA129" s="50"/>
      <c r="BB129" s="50"/>
      <c r="BC129" s="50"/>
      <c r="BD129" s="50"/>
      <c r="BE129" s="50"/>
      <c r="BF129" s="50"/>
      <c r="BG129" s="50"/>
      <c r="BH129" s="50"/>
      <c r="BI129" s="50"/>
      <c r="BJ129" s="50"/>
      <c r="BK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41"/>
      <c r="BZ129" s="41"/>
    </row>
    <row r="130" spans="1:78">
      <c r="A130" s="55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50"/>
      <c r="AJ130" s="50"/>
      <c r="AK130" s="50"/>
      <c r="AL130" s="50"/>
      <c r="AM130" s="50"/>
      <c r="AN130" s="50"/>
      <c r="AO130" s="50"/>
      <c r="AP130" s="50"/>
      <c r="AQ130" s="50"/>
      <c r="AR130" s="50"/>
      <c r="AS130" s="50"/>
      <c r="AT130" s="50"/>
      <c r="AU130" s="50"/>
      <c r="AV130" s="50"/>
      <c r="AW130" s="50"/>
      <c r="AX130" s="50"/>
      <c r="AY130" s="50"/>
      <c r="AZ130" s="50"/>
      <c r="BA130" s="50"/>
      <c r="BB130" s="50"/>
      <c r="BC130" s="50"/>
      <c r="BD130" s="50"/>
      <c r="BE130" s="50"/>
      <c r="BF130" s="50"/>
      <c r="BG130" s="50"/>
      <c r="BH130" s="50"/>
      <c r="BI130" s="50"/>
      <c r="BJ130" s="50"/>
      <c r="BK130" s="50"/>
      <c r="BL130" s="50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41"/>
      <c r="BZ130" s="41"/>
    </row>
    <row r="131" spans="1:78">
      <c r="A131" s="55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0"/>
      <c r="AK131" s="50"/>
      <c r="AL131" s="50"/>
      <c r="AM131" s="50"/>
      <c r="AN131" s="50"/>
      <c r="AO131" s="50"/>
      <c r="AP131" s="50"/>
      <c r="AQ131" s="50"/>
      <c r="AR131" s="50"/>
      <c r="AS131" s="50"/>
      <c r="AT131" s="50"/>
      <c r="AU131" s="50"/>
      <c r="AV131" s="50"/>
      <c r="AW131" s="50"/>
      <c r="AX131" s="50"/>
      <c r="AY131" s="50"/>
      <c r="AZ131" s="50"/>
      <c r="BA131" s="50"/>
      <c r="BB131" s="50"/>
      <c r="BC131" s="50"/>
      <c r="BD131" s="50"/>
      <c r="BE131" s="50"/>
      <c r="BF131" s="50"/>
      <c r="BG131" s="50"/>
      <c r="BH131" s="50"/>
      <c r="BI131" s="50"/>
      <c r="BJ131" s="50"/>
      <c r="BK131" s="50"/>
      <c r="BL131" s="50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41"/>
      <c r="BZ131" s="41"/>
    </row>
    <row r="132" spans="1:78">
      <c r="A132" s="55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50"/>
      <c r="AG132" s="50"/>
      <c r="AH132" s="50"/>
      <c r="AI132" s="50"/>
      <c r="AJ132" s="50"/>
      <c r="AK132" s="50"/>
      <c r="AL132" s="50"/>
      <c r="AM132" s="50"/>
      <c r="AN132" s="50"/>
      <c r="AO132" s="50"/>
      <c r="AP132" s="50"/>
      <c r="AQ132" s="50"/>
      <c r="AR132" s="50"/>
      <c r="AS132" s="50"/>
      <c r="AT132" s="50"/>
      <c r="AU132" s="50"/>
      <c r="AV132" s="50"/>
      <c r="AW132" s="50"/>
      <c r="AX132" s="50"/>
      <c r="AY132" s="50"/>
      <c r="AZ132" s="50"/>
      <c r="BA132" s="50"/>
      <c r="BB132" s="50"/>
      <c r="BC132" s="50"/>
      <c r="BD132" s="50"/>
      <c r="BE132" s="50"/>
      <c r="BF132" s="50"/>
      <c r="BG132" s="50"/>
      <c r="BH132" s="50"/>
      <c r="BI132" s="50"/>
      <c r="BJ132" s="50"/>
      <c r="BK132" s="50"/>
      <c r="BL132" s="50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41"/>
      <c r="BZ132" s="41"/>
    </row>
    <row r="133" spans="1:78">
      <c r="A133" s="55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50"/>
      <c r="AG133" s="50"/>
      <c r="AH133" s="50"/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0"/>
      <c r="AT133" s="50"/>
      <c r="AU133" s="50"/>
      <c r="AV133" s="50"/>
      <c r="AW133" s="50"/>
      <c r="AX133" s="50"/>
      <c r="AY133" s="50"/>
      <c r="AZ133" s="50"/>
      <c r="BA133" s="50"/>
      <c r="BB133" s="50"/>
      <c r="BC133" s="50"/>
      <c r="BD133" s="50"/>
      <c r="BE133" s="50"/>
      <c r="BF133" s="50"/>
      <c r="BG133" s="50"/>
      <c r="BH133" s="50"/>
      <c r="BI133" s="50"/>
      <c r="BJ133" s="50"/>
      <c r="BK133" s="50"/>
      <c r="BL133" s="50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41"/>
      <c r="BZ133" s="41"/>
    </row>
    <row r="134" spans="1:78">
      <c r="A134" s="55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50"/>
      <c r="AG134" s="50"/>
      <c r="AH134" s="50"/>
      <c r="AI134" s="50"/>
      <c r="AJ134" s="50"/>
      <c r="AK134" s="50"/>
      <c r="AL134" s="50"/>
      <c r="AM134" s="50"/>
      <c r="AN134" s="50"/>
      <c r="AO134" s="50"/>
      <c r="AP134" s="50"/>
      <c r="AQ134" s="50"/>
      <c r="AR134" s="50"/>
      <c r="AS134" s="50"/>
      <c r="AT134" s="50"/>
      <c r="AU134" s="50"/>
      <c r="AV134" s="50"/>
      <c r="AW134" s="50"/>
      <c r="AX134" s="50"/>
      <c r="AY134" s="50"/>
      <c r="AZ134" s="50"/>
      <c r="BA134" s="50"/>
      <c r="BB134" s="50"/>
      <c r="BC134" s="50"/>
      <c r="BD134" s="50"/>
      <c r="BE134" s="50"/>
      <c r="BF134" s="50"/>
      <c r="BG134" s="50"/>
      <c r="BH134" s="50"/>
      <c r="BI134" s="50"/>
      <c r="BJ134" s="50"/>
      <c r="BK134" s="50"/>
      <c r="BL134" s="50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41"/>
      <c r="BZ134" s="41"/>
    </row>
    <row r="135" spans="1:78">
      <c r="A135" s="55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50"/>
      <c r="AE135" s="50"/>
      <c r="AF135" s="50"/>
      <c r="AG135" s="50"/>
      <c r="AH135" s="50"/>
      <c r="AI135" s="50"/>
      <c r="AJ135" s="50"/>
      <c r="AK135" s="50"/>
      <c r="AL135" s="50"/>
      <c r="AM135" s="50"/>
      <c r="AN135" s="50"/>
      <c r="AO135" s="50"/>
      <c r="AP135" s="50"/>
      <c r="AQ135" s="50"/>
      <c r="AR135" s="50"/>
      <c r="AS135" s="50"/>
      <c r="AT135" s="50"/>
      <c r="AU135" s="50"/>
      <c r="AV135" s="50"/>
      <c r="AW135" s="50"/>
      <c r="AX135" s="50"/>
      <c r="AY135" s="50"/>
      <c r="AZ135" s="50"/>
      <c r="BA135" s="50"/>
      <c r="BB135" s="50"/>
      <c r="BC135" s="50"/>
      <c r="BD135" s="50"/>
      <c r="BE135" s="50"/>
      <c r="BF135" s="50"/>
      <c r="BG135" s="50"/>
      <c r="BH135" s="50"/>
      <c r="BI135" s="50"/>
      <c r="BJ135" s="50"/>
      <c r="BK135" s="50"/>
      <c r="BL135" s="50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41"/>
      <c r="BZ135" s="41"/>
    </row>
    <row r="136" spans="1:78">
      <c r="A136" s="55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  <c r="AA136" s="50"/>
      <c r="AB136" s="50"/>
      <c r="AC136" s="50"/>
      <c r="AD136" s="50"/>
      <c r="AE136" s="50"/>
      <c r="AF136" s="50"/>
      <c r="AG136" s="50"/>
      <c r="AH136" s="50"/>
      <c r="AI136" s="50"/>
      <c r="AJ136" s="50"/>
      <c r="AK136" s="50"/>
      <c r="AL136" s="50"/>
      <c r="AM136" s="50"/>
      <c r="AN136" s="50"/>
      <c r="AO136" s="50"/>
      <c r="AP136" s="50"/>
      <c r="AQ136" s="50"/>
      <c r="AR136" s="50"/>
      <c r="AS136" s="50"/>
      <c r="AT136" s="50"/>
      <c r="AU136" s="50"/>
      <c r="AV136" s="50"/>
      <c r="AW136" s="50"/>
      <c r="AX136" s="50"/>
      <c r="AY136" s="50"/>
      <c r="AZ136" s="50"/>
      <c r="BA136" s="50"/>
      <c r="BB136" s="50"/>
      <c r="BC136" s="50"/>
      <c r="BD136" s="50"/>
      <c r="BE136" s="50"/>
      <c r="BF136" s="50"/>
      <c r="BG136" s="50"/>
      <c r="BH136" s="50"/>
      <c r="BI136" s="50"/>
      <c r="BJ136" s="50"/>
      <c r="BK136" s="50"/>
      <c r="BL136" s="50"/>
      <c r="BM136" s="50"/>
      <c r="BN136" s="50"/>
      <c r="BO136" s="50"/>
      <c r="BP136" s="50"/>
      <c r="BQ136" s="50"/>
      <c r="BR136" s="50"/>
      <c r="BS136" s="50"/>
      <c r="BT136" s="50"/>
      <c r="BU136" s="50"/>
      <c r="BV136" s="50"/>
      <c r="BW136" s="50"/>
      <c r="BX136" s="50"/>
      <c r="BY136" s="41"/>
      <c r="BZ136" s="41"/>
    </row>
    <row r="137" spans="1:78">
      <c r="A137" s="55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  <c r="AA137" s="50"/>
      <c r="AB137" s="50"/>
      <c r="AC137" s="50"/>
      <c r="AD137" s="50"/>
      <c r="AE137" s="50"/>
      <c r="AF137" s="50"/>
      <c r="AG137" s="50"/>
      <c r="AH137" s="50"/>
      <c r="AI137" s="50"/>
      <c r="AJ137" s="50"/>
      <c r="AK137" s="50"/>
      <c r="AL137" s="50"/>
      <c r="AM137" s="50"/>
      <c r="AN137" s="50"/>
      <c r="AO137" s="50"/>
      <c r="AP137" s="50"/>
      <c r="AQ137" s="50"/>
      <c r="AR137" s="50"/>
      <c r="AS137" s="50"/>
      <c r="AT137" s="50"/>
      <c r="AU137" s="50"/>
      <c r="AV137" s="50"/>
      <c r="AW137" s="50"/>
      <c r="AX137" s="50"/>
      <c r="AY137" s="50"/>
      <c r="AZ137" s="50"/>
      <c r="BA137" s="50"/>
      <c r="BB137" s="50"/>
      <c r="BC137" s="50"/>
      <c r="BD137" s="50"/>
      <c r="BE137" s="50"/>
      <c r="BF137" s="50"/>
      <c r="BG137" s="50"/>
      <c r="BH137" s="50"/>
      <c r="BI137" s="50"/>
      <c r="BJ137" s="50"/>
      <c r="BK137" s="50"/>
      <c r="BL137" s="50"/>
      <c r="BM137" s="50"/>
      <c r="BN137" s="50"/>
      <c r="BO137" s="50"/>
      <c r="BP137" s="50"/>
      <c r="BQ137" s="50"/>
      <c r="BR137" s="50"/>
      <c r="BS137" s="50"/>
      <c r="BT137" s="50"/>
      <c r="BU137" s="50"/>
      <c r="BV137" s="50"/>
      <c r="BW137" s="50"/>
      <c r="BX137" s="50"/>
      <c r="BY137" s="41"/>
      <c r="BZ137" s="41"/>
    </row>
    <row r="138" spans="1:78">
      <c r="A138" s="55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  <c r="AA138" s="50"/>
      <c r="AB138" s="50"/>
      <c r="AC138" s="50"/>
      <c r="AD138" s="50"/>
      <c r="AE138" s="50"/>
      <c r="AF138" s="50"/>
      <c r="AG138" s="50"/>
      <c r="AH138" s="50"/>
      <c r="AI138" s="50"/>
      <c r="AJ138" s="50"/>
      <c r="AK138" s="50"/>
      <c r="AL138" s="50"/>
      <c r="AM138" s="50"/>
      <c r="AN138" s="50"/>
      <c r="AO138" s="50"/>
      <c r="AP138" s="50"/>
      <c r="AQ138" s="50"/>
      <c r="AR138" s="50"/>
      <c r="AS138" s="50"/>
      <c r="AT138" s="50"/>
      <c r="AU138" s="50"/>
      <c r="AV138" s="50"/>
      <c r="AW138" s="50"/>
      <c r="AX138" s="50"/>
      <c r="AY138" s="50"/>
      <c r="AZ138" s="50"/>
      <c r="BA138" s="50"/>
      <c r="BB138" s="50"/>
      <c r="BC138" s="50"/>
      <c r="BD138" s="50"/>
      <c r="BE138" s="50"/>
      <c r="BF138" s="50"/>
      <c r="BG138" s="50"/>
      <c r="BH138" s="50"/>
      <c r="BI138" s="50"/>
      <c r="BJ138" s="50"/>
      <c r="BK138" s="50"/>
      <c r="BL138" s="50"/>
      <c r="BM138" s="50"/>
      <c r="BN138" s="50"/>
      <c r="BO138" s="50"/>
      <c r="BP138" s="50"/>
      <c r="BQ138" s="50"/>
      <c r="BR138" s="50"/>
      <c r="BS138" s="50"/>
      <c r="BT138" s="50"/>
      <c r="BU138" s="50"/>
      <c r="BV138" s="50"/>
      <c r="BW138" s="50"/>
      <c r="BX138" s="50"/>
      <c r="BY138" s="41"/>
      <c r="BZ138" s="41"/>
    </row>
    <row r="139" spans="1:78">
      <c r="A139" s="55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  <c r="AA139" s="50"/>
      <c r="AB139" s="50"/>
      <c r="AC139" s="50"/>
      <c r="AD139" s="50"/>
      <c r="AE139" s="50"/>
      <c r="AF139" s="50"/>
      <c r="AG139" s="50"/>
      <c r="AH139" s="50"/>
      <c r="AI139" s="50"/>
      <c r="AJ139" s="50"/>
      <c r="AK139" s="50"/>
      <c r="AL139" s="50"/>
      <c r="AM139" s="50"/>
      <c r="AN139" s="50"/>
      <c r="AO139" s="50"/>
      <c r="AP139" s="50"/>
      <c r="AQ139" s="50"/>
      <c r="AR139" s="50"/>
      <c r="AS139" s="50"/>
      <c r="AT139" s="50"/>
      <c r="AU139" s="50"/>
      <c r="AV139" s="50"/>
      <c r="AW139" s="50"/>
      <c r="AX139" s="50"/>
      <c r="AY139" s="50"/>
      <c r="AZ139" s="50"/>
      <c r="BA139" s="50"/>
      <c r="BB139" s="50"/>
      <c r="BC139" s="50"/>
      <c r="BD139" s="50"/>
      <c r="BE139" s="50"/>
      <c r="BF139" s="50"/>
      <c r="BG139" s="50"/>
      <c r="BH139" s="50"/>
      <c r="BI139" s="50"/>
      <c r="BJ139" s="50"/>
      <c r="BK139" s="50"/>
      <c r="BL139" s="50"/>
      <c r="BM139" s="50"/>
      <c r="BN139" s="50"/>
      <c r="BO139" s="50"/>
      <c r="BP139" s="50"/>
      <c r="BQ139" s="50"/>
      <c r="BR139" s="50"/>
      <c r="BS139" s="50"/>
      <c r="BT139" s="50"/>
      <c r="BU139" s="50"/>
      <c r="BV139" s="50"/>
      <c r="BW139" s="50"/>
      <c r="BX139" s="50"/>
      <c r="BY139" s="41"/>
      <c r="BZ139" s="41"/>
    </row>
    <row r="140" spans="1:78">
      <c r="A140" s="55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  <c r="AA140" s="50"/>
      <c r="AB140" s="50"/>
      <c r="AC140" s="50"/>
      <c r="AD140" s="50"/>
      <c r="AE140" s="50"/>
      <c r="AF140" s="50"/>
      <c r="AG140" s="50"/>
      <c r="AH140" s="50"/>
      <c r="AI140" s="50"/>
      <c r="AJ140" s="50"/>
      <c r="AK140" s="50"/>
      <c r="AL140" s="50"/>
      <c r="AM140" s="50"/>
      <c r="AN140" s="50"/>
      <c r="AO140" s="50"/>
      <c r="AP140" s="50"/>
      <c r="AQ140" s="50"/>
      <c r="AR140" s="50"/>
      <c r="AS140" s="50"/>
      <c r="AT140" s="50"/>
      <c r="AU140" s="50"/>
      <c r="AV140" s="50"/>
      <c r="AW140" s="50"/>
      <c r="AX140" s="50"/>
      <c r="AY140" s="50"/>
      <c r="AZ140" s="50"/>
      <c r="BA140" s="50"/>
      <c r="BB140" s="50"/>
      <c r="BC140" s="50"/>
      <c r="BD140" s="50"/>
      <c r="BE140" s="50"/>
      <c r="BF140" s="50"/>
      <c r="BG140" s="50"/>
      <c r="BH140" s="50"/>
      <c r="BI140" s="50"/>
      <c r="BJ140" s="50"/>
      <c r="BK140" s="50"/>
      <c r="BL140" s="50"/>
      <c r="BM140" s="50"/>
      <c r="BN140" s="50"/>
      <c r="BO140" s="50"/>
      <c r="BP140" s="50"/>
      <c r="BQ140" s="50"/>
      <c r="BR140" s="50"/>
      <c r="BS140" s="50"/>
      <c r="BT140" s="50"/>
      <c r="BU140" s="50"/>
      <c r="BV140" s="50"/>
      <c r="BW140" s="50"/>
      <c r="BX140" s="50"/>
      <c r="BY140" s="41"/>
      <c r="BZ140" s="41"/>
    </row>
    <row r="141" spans="1:78">
      <c r="A141" s="55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  <c r="AA141" s="50"/>
      <c r="AB141" s="50"/>
      <c r="AC141" s="50"/>
      <c r="AD141" s="50"/>
      <c r="AE141" s="50"/>
      <c r="AF141" s="50"/>
      <c r="AG141" s="50"/>
      <c r="AH141" s="50"/>
      <c r="AI141" s="50"/>
      <c r="AJ141" s="50"/>
      <c r="AK141" s="50"/>
      <c r="AL141" s="50"/>
      <c r="AM141" s="50"/>
      <c r="AN141" s="50"/>
      <c r="AO141" s="50"/>
      <c r="AP141" s="50"/>
      <c r="AQ141" s="50"/>
      <c r="AR141" s="50"/>
      <c r="AS141" s="50"/>
      <c r="AT141" s="50"/>
      <c r="AU141" s="50"/>
      <c r="AV141" s="50"/>
      <c r="AW141" s="50"/>
      <c r="AX141" s="50"/>
      <c r="AY141" s="50"/>
      <c r="AZ141" s="50"/>
      <c r="BA141" s="50"/>
      <c r="BB141" s="50"/>
      <c r="BC141" s="50"/>
      <c r="BD141" s="50"/>
      <c r="BE141" s="50"/>
      <c r="BF141" s="50"/>
      <c r="BG141" s="50"/>
      <c r="BH141" s="50"/>
      <c r="BI141" s="50"/>
      <c r="BJ141" s="50"/>
      <c r="BK141" s="50"/>
      <c r="BL141" s="50"/>
      <c r="BM141" s="50"/>
      <c r="BN141" s="50"/>
      <c r="BO141" s="50"/>
      <c r="BP141" s="50"/>
      <c r="BQ141" s="50"/>
      <c r="BR141" s="50"/>
      <c r="BS141" s="50"/>
      <c r="BT141" s="50"/>
      <c r="BU141" s="50"/>
      <c r="BV141" s="50"/>
      <c r="BW141" s="50"/>
      <c r="BX141" s="50"/>
      <c r="BY141" s="41"/>
      <c r="BZ141" s="41"/>
    </row>
    <row r="142" spans="1:78">
      <c r="A142" s="55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50"/>
      <c r="AG142" s="50"/>
      <c r="AH142" s="50"/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0"/>
      <c r="AT142" s="50"/>
      <c r="AU142" s="50"/>
      <c r="AV142" s="50"/>
      <c r="AW142" s="50"/>
      <c r="AX142" s="50"/>
      <c r="AY142" s="50"/>
      <c r="AZ142" s="50"/>
      <c r="BA142" s="50"/>
      <c r="BB142" s="50"/>
      <c r="BC142" s="50"/>
      <c r="BD142" s="50"/>
      <c r="BE142" s="50"/>
      <c r="BF142" s="50"/>
      <c r="BG142" s="50"/>
      <c r="BH142" s="50"/>
      <c r="BI142" s="50"/>
      <c r="BJ142" s="50"/>
      <c r="BK142" s="50"/>
      <c r="BL142" s="50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41"/>
      <c r="BZ142" s="41"/>
    </row>
    <row r="143" spans="1:78">
      <c r="A143" s="55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50"/>
      <c r="AB143" s="50"/>
      <c r="AC143" s="50"/>
      <c r="AD143" s="50"/>
      <c r="AE143" s="50"/>
      <c r="AF143" s="50"/>
      <c r="AG143" s="50"/>
      <c r="AH143" s="50"/>
      <c r="AI143" s="50"/>
      <c r="AJ143" s="50"/>
      <c r="AK143" s="50"/>
      <c r="AL143" s="50"/>
      <c r="AM143" s="50"/>
      <c r="AN143" s="50"/>
      <c r="AO143" s="50"/>
      <c r="AP143" s="50"/>
      <c r="AQ143" s="50"/>
      <c r="AR143" s="50"/>
      <c r="AS143" s="50"/>
      <c r="AT143" s="50"/>
      <c r="AU143" s="50"/>
      <c r="AV143" s="50"/>
      <c r="AW143" s="50"/>
      <c r="AX143" s="50"/>
      <c r="AY143" s="50"/>
      <c r="AZ143" s="50"/>
      <c r="BA143" s="50"/>
      <c r="BB143" s="50"/>
      <c r="BC143" s="50"/>
      <c r="BD143" s="50"/>
      <c r="BE143" s="50"/>
      <c r="BF143" s="50"/>
      <c r="BG143" s="50"/>
      <c r="BH143" s="50"/>
      <c r="BI143" s="50"/>
      <c r="BJ143" s="50"/>
      <c r="BK143" s="50"/>
      <c r="BL143" s="50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41"/>
      <c r="BZ143" s="41"/>
    </row>
    <row r="144" spans="1:78">
      <c r="A144" s="55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  <c r="AA144" s="50"/>
      <c r="AB144" s="50"/>
      <c r="AC144" s="50"/>
      <c r="AD144" s="50"/>
      <c r="AE144" s="50"/>
      <c r="AF144" s="50"/>
      <c r="AG144" s="50"/>
      <c r="AH144" s="50"/>
      <c r="AI144" s="50"/>
      <c r="AJ144" s="50"/>
      <c r="AK144" s="50"/>
      <c r="AL144" s="50"/>
      <c r="AM144" s="50"/>
      <c r="AN144" s="50"/>
      <c r="AO144" s="50"/>
      <c r="AP144" s="50"/>
      <c r="AQ144" s="50"/>
      <c r="AR144" s="50"/>
      <c r="AS144" s="50"/>
      <c r="AT144" s="50"/>
      <c r="AU144" s="50"/>
      <c r="AV144" s="50"/>
      <c r="AW144" s="50"/>
      <c r="AX144" s="50"/>
      <c r="AY144" s="50"/>
      <c r="AZ144" s="50"/>
      <c r="BA144" s="50"/>
      <c r="BB144" s="50"/>
      <c r="BC144" s="50"/>
      <c r="BD144" s="50"/>
      <c r="BE144" s="50"/>
      <c r="BF144" s="50"/>
      <c r="BG144" s="50"/>
      <c r="BH144" s="50"/>
      <c r="BI144" s="50"/>
      <c r="BJ144" s="50"/>
      <c r="BK144" s="50"/>
      <c r="BL144" s="50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  <c r="BW144" s="50"/>
      <c r="BX144" s="50"/>
      <c r="BY144" s="41"/>
      <c r="BZ144" s="41"/>
    </row>
    <row r="145" spans="1:78">
      <c r="A145" s="55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  <c r="AA145" s="50"/>
      <c r="AB145" s="50"/>
      <c r="AC145" s="50"/>
      <c r="AD145" s="50"/>
      <c r="AE145" s="50"/>
      <c r="AF145" s="50"/>
      <c r="AG145" s="50"/>
      <c r="AH145" s="50"/>
      <c r="AI145" s="50"/>
      <c r="AJ145" s="50"/>
      <c r="AK145" s="50"/>
      <c r="AL145" s="50"/>
      <c r="AM145" s="50"/>
      <c r="AN145" s="50"/>
      <c r="AO145" s="50"/>
      <c r="AP145" s="50"/>
      <c r="AQ145" s="50"/>
      <c r="AR145" s="50"/>
      <c r="AS145" s="50"/>
      <c r="AT145" s="50"/>
      <c r="AU145" s="50"/>
      <c r="AV145" s="50"/>
      <c r="AW145" s="50"/>
      <c r="AX145" s="50"/>
      <c r="AY145" s="50"/>
      <c r="AZ145" s="50"/>
      <c r="BA145" s="50"/>
      <c r="BB145" s="50"/>
      <c r="BC145" s="50"/>
      <c r="BD145" s="50"/>
      <c r="BE145" s="50"/>
      <c r="BF145" s="50"/>
      <c r="BG145" s="50"/>
      <c r="BH145" s="50"/>
      <c r="BI145" s="50"/>
      <c r="BJ145" s="50"/>
      <c r="BK145" s="50"/>
      <c r="BL145" s="50"/>
      <c r="BM145" s="50"/>
      <c r="BN145" s="50"/>
      <c r="BO145" s="50"/>
      <c r="BP145" s="50"/>
      <c r="BQ145" s="50"/>
      <c r="BR145" s="50"/>
      <c r="BS145" s="50"/>
      <c r="BT145" s="50"/>
      <c r="BU145" s="50"/>
      <c r="BV145" s="50"/>
      <c r="BW145" s="50"/>
      <c r="BX145" s="50"/>
      <c r="BY145" s="41"/>
      <c r="BZ145" s="41"/>
    </row>
    <row r="146" spans="1:78">
      <c r="A146" s="55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  <c r="AA146" s="50"/>
      <c r="AB146" s="50"/>
      <c r="AC146" s="50"/>
      <c r="AD146" s="50"/>
      <c r="AE146" s="50"/>
      <c r="AF146" s="50"/>
      <c r="AG146" s="50"/>
      <c r="AH146" s="50"/>
      <c r="AI146" s="50"/>
      <c r="AJ146" s="50"/>
      <c r="AK146" s="50"/>
      <c r="AL146" s="50"/>
      <c r="AM146" s="50"/>
      <c r="AN146" s="50"/>
      <c r="AO146" s="50"/>
      <c r="AP146" s="50"/>
      <c r="AQ146" s="50"/>
      <c r="AR146" s="50"/>
      <c r="AS146" s="50"/>
      <c r="AT146" s="50"/>
      <c r="AU146" s="50"/>
      <c r="AV146" s="50"/>
      <c r="AW146" s="50"/>
      <c r="AX146" s="50"/>
      <c r="AY146" s="50"/>
      <c r="AZ146" s="50"/>
      <c r="BA146" s="50"/>
      <c r="BB146" s="50"/>
      <c r="BC146" s="50"/>
      <c r="BD146" s="50"/>
      <c r="BE146" s="50"/>
      <c r="BF146" s="50"/>
      <c r="BG146" s="50"/>
      <c r="BH146" s="50"/>
      <c r="BI146" s="50"/>
      <c r="BJ146" s="50"/>
      <c r="BK146" s="50"/>
      <c r="BL146" s="50"/>
      <c r="BM146" s="50"/>
      <c r="BN146" s="50"/>
      <c r="BO146" s="50"/>
      <c r="BP146" s="50"/>
      <c r="BQ146" s="50"/>
      <c r="BR146" s="50"/>
      <c r="BS146" s="50"/>
      <c r="BT146" s="50"/>
      <c r="BU146" s="50"/>
      <c r="BV146" s="50"/>
      <c r="BW146" s="50"/>
      <c r="BX146" s="50"/>
      <c r="BY146" s="41"/>
      <c r="BZ146" s="41"/>
    </row>
    <row r="147" spans="1:78">
      <c r="A147" s="55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  <c r="AA147" s="50"/>
      <c r="AB147" s="50"/>
      <c r="AC147" s="50"/>
      <c r="AD147" s="50"/>
      <c r="AE147" s="50"/>
      <c r="AF147" s="50"/>
      <c r="AG147" s="50"/>
      <c r="AH147" s="50"/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0"/>
      <c r="AT147" s="50"/>
      <c r="AU147" s="50"/>
      <c r="AV147" s="50"/>
      <c r="AW147" s="50"/>
      <c r="AX147" s="50"/>
      <c r="AY147" s="50"/>
      <c r="AZ147" s="50"/>
      <c r="BA147" s="50"/>
      <c r="BB147" s="50"/>
      <c r="BC147" s="50"/>
      <c r="BD147" s="50"/>
      <c r="BE147" s="50"/>
      <c r="BF147" s="50"/>
      <c r="BG147" s="50"/>
      <c r="BH147" s="50"/>
      <c r="BI147" s="50"/>
      <c r="BJ147" s="50"/>
      <c r="BK147" s="50"/>
      <c r="BL147" s="50"/>
      <c r="BM147" s="50"/>
      <c r="BN147" s="50"/>
      <c r="BO147" s="50"/>
      <c r="BP147" s="50"/>
      <c r="BQ147" s="50"/>
      <c r="BR147" s="50"/>
      <c r="BS147" s="50"/>
      <c r="BT147" s="50"/>
      <c r="BU147" s="50"/>
      <c r="BV147" s="50"/>
      <c r="BW147" s="50"/>
      <c r="BX147" s="50"/>
      <c r="BY147" s="41"/>
      <c r="BZ147" s="41"/>
    </row>
    <row r="148" spans="1:78">
      <c r="A148" s="55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  <c r="AA148" s="50"/>
      <c r="AB148" s="50"/>
      <c r="AC148" s="50"/>
      <c r="AD148" s="50"/>
      <c r="AE148" s="50"/>
      <c r="AF148" s="50"/>
      <c r="AG148" s="50"/>
      <c r="AH148" s="50"/>
      <c r="AI148" s="50"/>
      <c r="AJ148" s="50"/>
      <c r="AK148" s="50"/>
      <c r="AL148" s="50"/>
      <c r="AM148" s="50"/>
      <c r="AN148" s="50"/>
      <c r="AO148" s="50"/>
      <c r="AP148" s="50"/>
      <c r="AQ148" s="50"/>
      <c r="AR148" s="50"/>
      <c r="AS148" s="50"/>
      <c r="AT148" s="50"/>
      <c r="AU148" s="50"/>
      <c r="AV148" s="50"/>
      <c r="AW148" s="50"/>
      <c r="AX148" s="50"/>
      <c r="AY148" s="50"/>
      <c r="AZ148" s="50"/>
      <c r="BA148" s="50"/>
      <c r="BB148" s="50"/>
      <c r="BC148" s="50"/>
      <c r="BD148" s="50"/>
      <c r="BE148" s="50"/>
      <c r="BF148" s="50"/>
      <c r="BG148" s="50"/>
      <c r="BH148" s="50"/>
      <c r="BI148" s="50"/>
      <c r="BJ148" s="50"/>
      <c r="BK148" s="50"/>
      <c r="BL148" s="50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41"/>
      <c r="BZ148" s="41"/>
    </row>
    <row r="149" spans="1:78">
      <c r="A149" s="55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50"/>
      <c r="AB149" s="50"/>
      <c r="AC149" s="50"/>
      <c r="AD149" s="50"/>
      <c r="AE149" s="50"/>
      <c r="AF149" s="50"/>
      <c r="AG149" s="50"/>
      <c r="AH149" s="50"/>
      <c r="AI149" s="50"/>
      <c r="AJ149" s="50"/>
      <c r="AK149" s="50"/>
      <c r="AL149" s="50"/>
      <c r="AM149" s="50"/>
      <c r="AN149" s="50"/>
      <c r="AO149" s="50"/>
      <c r="AP149" s="50"/>
      <c r="AQ149" s="50"/>
      <c r="AR149" s="50"/>
      <c r="AS149" s="50"/>
      <c r="AT149" s="50"/>
      <c r="AU149" s="50"/>
      <c r="AV149" s="50"/>
      <c r="AW149" s="50"/>
      <c r="AX149" s="50"/>
      <c r="AY149" s="50"/>
      <c r="AZ149" s="50"/>
      <c r="BA149" s="50"/>
      <c r="BB149" s="50"/>
      <c r="BC149" s="50"/>
      <c r="BD149" s="50"/>
      <c r="BE149" s="50"/>
      <c r="BF149" s="50"/>
      <c r="BG149" s="50"/>
      <c r="BH149" s="50"/>
      <c r="BI149" s="50"/>
      <c r="BJ149" s="50"/>
      <c r="BK149" s="50"/>
      <c r="BL149" s="50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41"/>
      <c r="BZ149" s="41"/>
    </row>
    <row r="150" spans="1:78">
      <c r="A150" s="55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  <c r="AA150" s="50"/>
      <c r="AB150" s="50"/>
      <c r="AC150" s="50"/>
      <c r="AD150" s="50"/>
      <c r="AE150" s="50"/>
      <c r="AF150" s="50"/>
      <c r="AG150" s="50"/>
      <c r="AH150" s="50"/>
      <c r="AI150" s="50"/>
      <c r="AJ150" s="50"/>
      <c r="AK150" s="50"/>
      <c r="AL150" s="50"/>
      <c r="AM150" s="50"/>
      <c r="AN150" s="50"/>
      <c r="AO150" s="50"/>
      <c r="AP150" s="50"/>
      <c r="AQ150" s="50"/>
      <c r="AR150" s="50"/>
      <c r="AS150" s="50"/>
      <c r="AT150" s="50"/>
      <c r="AU150" s="50"/>
      <c r="AV150" s="50"/>
      <c r="AW150" s="50"/>
      <c r="AX150" s="50"/>
      <c r="AY150" s="50"/>
      <c r="AZ150" s="50"/>
      <c r="BA150" s="50"/>
      <c r="BB150" s="50"/>
      <c r="BC150" s="50"/>
      <c r="BD150" s="50"/>
      <c r="BE150" s="50"/>
      <c r="BF150" s="50"/>
      <c r="BG150" s="50"/>
      <c r="BH150" s="50"/>
      <c r="BI150" s="50"/>
      <c r="BJ150" s="50"/>
      <c r="BK150" s="50"/>
      <c r="BL150" s="50"/>
      <c r="BM150" s="50"/>
      <c r="BN150" s="50"/>
      <c r="BO150" s="50"/>
      <c r="BP150" s="50"/>
      <c r="BQ150" s="50"/>
      <c r="BR150" s="50"/>
      <c r="BS150" s="50"/>
      <c r="BT150" s="50"/>
      <c r="BU150" s="50"/>
      <c r="BV150" s="50"/>
      <c r="BW150" s="50"/>
      <c r="BX150" s="50"/>
      <c r="BY150" s="41"/>
      <c r="BZ150" s="41"/>
    </row>
    <row r="151" spans="1:78">
      <c r="A151" s="55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  <c r="AA151" s="50"/>
      <c r="AB151" s="50"/>
      <c r="AC151" s="50"/>
      <c r="AD151" s="50"/>
      <c r="AE151" s="50"/>
      <c r="AF151" s="50"/>
      <c r="AG151" s="50"/>
      <c r="AH151" s="50"/>
      <c r="AI151" s="50"/>
      <c r="AJ151" s="50"/>
      <c r="AK151" s="50"/>
      <c r="AL151" s="50"/>
      <c r="AM151" s="50"/>
      <c r="AN151" s="50"/>
      <c r="AO151" s="50"/>
      <c r="AP151" s="50"/>
      <c r="AQ151" s="50"/>
      <c r="AR151" s="50"/>
      <c r="AS151" s="50"/>
      <c r="AT151" s="50"/>
      <c r="AU151" s="50"/>
      <c r="AV151" s="50"/>
      <c r="AW151" s="50"/>
      <c r="AX151" s="50"/>
      <c r="AY151" s="50"/>
      <c r="AZ151" s="50"/>
      <c r="BA151" s="50"/>
      <c r="BB151" s="50"/>
      <c r="BC151" s="50"/>
      <c r="BD151" s="50"/>
      <c r="BE151" s="50"/>
      <c r="BF151" s="50"/>
      <c r="BG151" s="50"/>
      <c r="BH151" s="50"/>
      <c r="BI151" s="50"/>
      <c r="BJ151" s="50"/>
      <c r="BK151" s="50"/>
      <c r="BL151" s="50"/>
      <c r="BM151" s="50"/>
      <c r="BN151" s="50"/>
      <c r="BO151" s="50"/>
      <c r="BP151" s="50"/>
      <c r="BQ151" s="50"/>
      <c r="BR151" s="50"/>
      <c r="BS151" s="50"/>
      <c r="BT151" s="50"/>
      <c r="BU151" s="50"/>
      <c r="BV151" s="50"/>
      <c r="BW151" s="50"/>
      <c r="BX151" s="50"/>
      <c r="BY151" s="41"/>
      <c r="BZ151" s="41"/>
    </row>
    <row r="152" spans="1:78">
      <c r="A152" s="55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  <c r="AA152" s="50"/>
      <c r="AB152" s="50"/>
      <c r="AC152" s="50"/>
      <c r="AD152" s="50"/>
      <c r="AE152" s="50"/>
      <c r="AF152" s="50"/>
      <c r="AG152" s="50"/>
      <c r="AH152" s="50"/>
      <c r="AI152" s="50"/>
      <c r="AJ152" s="50"/>
      <c r="AK152" s="50"/>
      <c r="AL152" s="50"/>
      <c r="AM152" s="50"/>
      <c r="AN152" s="50"/>
      <c r="AO152" s="50"/>
      <c r="AP152" s="50"/>
      <c r="AQ152" s="50"/>
      <c r="AR152" s="50"/>
      <c r="AS152" s="50"/>
      <c r="AT152" s="50"/>
      <c r="AU152" s="50"/>
      <c r="AV152" s="50"/>
      <c r="AW152" s="50"/>
      <c r="AX152" s="50"/>
      <c r="AY152" s="50"/>
      <c r="AZ152" s="50"/>
      <c r="BA152" s="50"/>
      <c r="BB152" s="50"/>
      <c r="BC152" s="50"/>
      <c r="BD152" s="50"/>
      <c r="BE152" s="50"/>
      <c r="BF152" s="50"/>
      <c r="BG152" s="50"/>
      <c r="BH152" s="50"/>
      <c r="BI152" s="50"/>
      <c r="BJ152" s="50"/>
      <c r="BK152" s="50"/>
      <c r="BL152" s="50"/>
      <c r="BM152" s="50"/>
      <c r="BN152" s="50"/>
      <c r="BO152" s="50"/>
      <c r="BP152" s="50"/>
      <c r="BQ152" s="50"/>
      <c r="BR152" s="50"/>
      <c r="BS152" s="50"/>
      <c r="BT152" s="50"/>
      <c r="BU152" s="50"/>
      <c r="BV152" s="50"/>
      <c r="BW152" s="50"/>
      <c r="BX152" s="50"/>
      <c r="BY152" s="41"/>
      <c r="BZ152" s="41"/>
    </row>
  </sheetData>
  <mergeCells count="57">
    <mergeCell ref="BK3:BK4"/>
    <mergeCell ref="BC1:BV1"/>
    <mergeCell ref="BW1:BZ1"/>
    <mergeCell ref="BC2:BK2"/>
    <mergeCell ref="BL2:BP3"/>
    <mergeCell ref="BQ2:BR3"/>
    <mergeCell ref="BU2:BU4"/>
    <mergeCell ref="BV2:BV4"/>
    <mergeCell ref="BW2:BW4"/>
    <mergeCell ref="BX2:BX4"/>
    <mergeCell ref="BY2:BY4"/>
    <mergeCell ref="BZ2:BZ4"/>
    <mergeCell ref="BC3:BC4"/>
    <mergeCell ref="BD3:BD4"/>
    <mergeCell ref="BE3:BE4"/>
    <mergeCell ref="BG3:BH3"/>
    <mergeCell ref="AT3:AT4"/>
    <mergeCell ref="AP3:AQ3"/>
    <mergeCell ref="BI3:BJ3"/>
    <mergeCell ref="M3:M4"/>
    <mergeCell ref="AC3:AF3"/>
    <mergeCell ref="AG3:AJ3"/>
    <mergeCell ref="V2:V4"/>
    <mergeCell ref="BF3:BF4"/>
    <mergeCell ref="U3:U4"/>
    <mergeCell ref="BT2:BT4"/>
    <mergeCell ref="AU2:AX3"/>
    <mergeCell ref="BS2:BS4"/>
    <mergeCell ref="G3:I3"/>
    <mergeCell ref="J3:L3"/>
    <mergeCell ref="C2:L2"/>
    <mergeCell ref="AR3:AR4"/>
    <mergeCell ref="N3:N4"/>
    <mergeCell ref="O3:P3"/>
    <mergeCell ref="Q3:R3"/>
    <mergeCell ref="S3:S4"/>
    <mergeCell ref="T3:T4"/>
    <mergeCell ref="M2:R2"/>
    <mergeCell ref="AK3:AN3"/>
    <mergeCell ref="AC2:AN2"/>
    <mergeCell ref="AS3:AS4"/>
    <mergeCell ref="Y1:BB1"/>
    <mergeCell ref="AY2:BB3"/>
    <mergeCell ref="A1:A5"/>
    <mergeCell ref="B2:B5"/>
    <mergeCell ref="W1:X1"/>
    <mergeCell ref="W2:W4"/>
    <mergeCell ref="X2:X4"/>
    <mergeCell ref="Y2:AB3"/>
    <mergeCell ref="S2:U2"/>
    <mergeCell ref="C1:V1"/>
    <mergeCell ref="C3:C4"/>
    <mergeCell ref="D3:D4"/>
    <mergeCell ref="E3:E4"/>
    <mergeCell ref="F3:F4"/>
    <mergeCell ref="AO2:AT2"/>
    <mergeCell ref="AO3:AO4"/>
  </mergeCells>
  <dataValidations count="1">
    <dataValidation type="decimal" operator="greaterThanOrEqual" allowBlank="1" showInputMessage="1" showErrorMessage="1" sqref="M5:V5 W4 X4:Y5 C6 C7:BZ152 E6:BZ6" xr:uid="{00000000-0002-0000-0200-000000000000}">
      <formula1>0</formula1>
      <formula2>0</formula2>
    </dataValidation>
  </dataValidations>
  <pageMargins left="0.7" right="0.7" top="0.75" bottom="0.75" header="0.511811023622047" footer="0.511811023622047"/>
  <pageSetup paperSize="9" scale="13" orientation="portrait" horizontalDpi="300" verticalDpi="300" r:id="rId1"/>
  <colBreaks count="1" manualBreakCount="1">
    <brk id="36" max="151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xr:uid="{00000000-0002-0000-0200-000001000000}">
          <x14:formula1>
            <xm:f>Справочники!$H$3:$H$78</xm:f>
          </x14:formula1>
          <xm:sqref>B6:B152</xm:sqref>
        </x14:dataValidation>
        <x14:dataValidation type="list" allowBlank="1" showInputMessage="1" showErrorMessage="1" xr:uid="{00000000-0002-0000-0200-000002000000}">
          <x14:formula1>
            <xm:f>Справочники!$O$4:$O$19</xm:f>
          </x14:formula1>
          <x14:formula2>
            <xm:f>0</xm:f>
          </x14:formula2>
          <xm:sqref>A4:A152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AI380"/>
  <sheetViews>
    <sheetView view="pageBreakPreview" topLeftCell="X1" zoomScale="70" zoomScaleNormal="100" zoomScaleSheetLayoutView="70" workbookViewId="0">
      <selection activeCell="AH12" sqref="AH12"/>
    </sheetView>
  </sheetViews>
  <sheetFormatPr defaultColWidth="12.42578125" defaultRowHeight="12.75"/>
  <cols>
    <col min="1" max="1" width="29.140625" style="14" customWidth="1"/>
    <col min="2" max="2" width="39.7109375" style="14" customWidth="1"/>
    <col min="3" max="3" width="12.42578125" style="14"/>
    <col min="4" max="4" width="41" style="14" customWidth="1"/>
    <col min="5" max="5" width="17.85546875" style="14" customWidth="1"/>
    <col min="6" max="6" width="31.140625" style="14" customWidth="1"/>
    <col min="7" max="9" width="12.42578125" style="14"/>
    <col min="10" max="10" width="46.140625" style="14" customWidth="1"/>
    <col min="11" max="11" width="18.85546875" style="14" customWidth="1"/>
    <col min="12" max="12" width="12.42578125" style="14"/>
    <col min="13" max="13" width="37.7109375" style="14" customWidth="1"/>
    <col min="14" max="16" width="12.42578125" style="14"/>
    <col min="17" max="17" width="32.7109375" style="14" customWidth="1"/>
    <col min="18" max="18" width="87.5703125" style="15" customWidth="1"/>
    <col min="19" max="19" width="12.42578125" style="14"/>
    <col min="20" max="20" width="20.42578125" style="14" customWidth="1"/>
    <col min="21" max="21" width="27.28515625" style="14" customWidth="1"/>
    <col min="22" max="22" width="12.42578125" style="14"/>
    <col min="23" max="23" width="31.28515625" style="14" customWidth="1"/>
    <col min="24" max="24" width="36" style="14" customWidth="1"/>
    <col min="25" max="25" width="12.42578125" style="14"/>
    <col min="26" max="26" width="41.42578125" style="14" customWidth="1"/>
    <col min="27" max="27" width="28.7109375" style="14" bestFit="1" customWidth="1"/>
    <col min="28" max="28" width="12.42578125" style="14"/>
    <col min="29" max="29" width="33.28515625" style="14" customWidth="1"/>
    <col min="30" max="30" width="60.42578125" style="14" customWidth="1"/>
    <col min="31" max="31" width="12.42578125" style="14"/>
    <col min="32" max="32" width="48.5703125" style="14" customWidth="1"/>
    <col min="33" max="34" width="12.42578125" style="14"/>
    <col min="35" max="35" width="42.42578125" style="14" customWidth="1"/>
    <col min="36" max="16384" width="12.42578125" style="14"/>
  </cols>
  <sheetData>
    <row r="1" spans="1:35" ht="13.5" thickBot="1">
      <c r="A1" s="23" t="s">
        <v>395</v>
      </c>
      <c r="B1" s="23" t="s">
        <v>392</v>
      </c>
      <c r="F1" s="24" t="s">
        <v>393</v>
      </c>
    </row>
    <row r="2" spans="1:35" ht="26.25" thickBot="1">
      <c r="A2" t="s">
        <v>161</v>
      </c>
      <c r="B2" t="s">
        <v>13</v>
      </c>
      <c r="C2" s="17"/>
      <c r="D2" s="24" t="s">
        <v>394</v>
      </c>
      <c r="E2" s="17"/>
      <c r="F2" s="14" t="s">
        <v>28</v>
      </c>
      <c r="G2" s="17"/>
      <c r="H2" s="38" t="s">
        <v>16</v>
      </c>
      <c r="I2" s="17"/>
      <c r="J2" s="30" t="s">
        <v>395</v>
      </c>
      <c r="K2" s="30" t="s">
        <v>30</v>
      </c>
      <c r="M2" s="24" t="s">
        <v>10</v>
      </c>
      <c r="Q2" s="23" t="s">
        <v>395</v>
      </c>
      <c r="R2" s="25" t="s">
        <v>15</v>
      </c>
      <c r="T2" s="23" t="s">
        <v>395</v>
      </c>
      <c r="U2" s="24" t="s">
        <v>390</v>
      </c>
      <c r="W2" s="24" t="s">
        <v>395</v>
      </c>
      <c r="X2" s="24" t="s">
        <v>29</v>
      </c>
    </row>
    <row r="3" spans="1:35" ht="26.25" thickBot="1">
      <c r="A3" t="s">
        <v>98</v>
      </c>
      <c r="B3" t="s">
        <v>13</v>
      </c>
      <c r="C3" s="17"/>
      <c r="D3" s="17" t="s">
        <v>27</v>
      </c>
      <c r="E3" s="17"/>
      <c r="F3" s="14" t="s">
        <v>33</v>
      </c>
      <c r="G3" s="17"/>
      <c r="H3" s="17">
        <v>2025</v>
      </c>
      <c r="I3" s="17"/>
      <c r="J3" s="17" t="s">
        <v>27</v>
      </c>
      <c r="K3" s="26" t="s">
        <v>31</v>
      </c>
      <c r="L3" s="17"/>
      <c r="M3" s="17" t="s">
        <v>673</v>
      </c>
      <c r="O3" s="24" t="s">
        <v>32</v>
      </c>
      <c r="P3" s="15"/>
      <c r="Q3" s="14" t="s">
        <v>402</v>
      </c>
      <c r="R3" s="15" t="s">
        <v>178</v>
      </c>
      <c r="T3" s="17" t="s">
        <v>161</v>
      </c>
      <c r="U3" s="18" t="s">
        <v>36</v>
      </c>
      <c r="V3" s="18"/>
      <c r="W3" s="18" t="s">
        <v>396</v>
      </c>
      <c r="X3" s="18" t="s">
        <v>170</v>
      </c>
      <c r="Y3" s="17"/>
      <c r="Z3" s="23" t="s">
        <v>395</v>
      </c>
      <c r="AA3" s="23" t="s">
        <v>25</v>
      </c>
      <c r="AC3" s="23" t="s">
        <v>395</v>
      </c>
      <c r="AD3" s="23" t="s">
        <v>814</v>
      </c>
      <c r="AF3" s="23" t="s">
        <v>662</v>
      </c>
      <c r="AH3" s="23" t="s">
        <v>822</v>
      </c>
      <c r="AI3" s="23" t="s">
        <v>823</v>
      </c>
    </row>
    <row r="4" spans="1:35" ht="25.5">
      <c r="A4" t="s">
        <v>559</v>
      </c>
      <c r="B4" t="s">
        <v>13</v>
      </c>
      <c r="C4" s="16"/>
      <c r="D4" s="17" t="s">
        <v>633</v>
      </c>
      <c r="E4" s="17"/>
      <c r="F4" s="14" t="s">
        <v>41</v>
      </c>
      <c r="G4" s="17"/>
      <c r="H4" s="17">
        <v>2026</v>
      </c>
      <c r="I4" s="17"/>
      <c r="J4" s="17" t="s">
        <v>27</v>
      </c>
      <c r="K4" s="26" t="s">
        <v>38</v>
      </c>
      <c r="L4" s="17"/>
      <c r="M4" s="17" t="s">
        <v>11</v>
      </c>
      <c r="O4" s="17" t="s">
        <v>24</v>
      </c>
      <c r="Q4" s="14" t="s">
        <v>402</v>
      </c>
      <c r="R4" s="15" t="s">
        <v>179</v>
      </c>
      <c r="T4" s="14" t="s">
        <v>161</v>
      </c>
      <c r="U4" s="18" t="s">
        <v>92</v>
      </c>
      <c r="V4" s="18"/>
      <c r="W4" s="18" t="s">
        <v>396</v>
      </c>
      <c r="X4" s="18" t="s">
        <v>168</v>
      </c>
      <c r="Z4" s="14" t="s">
        <v>397</v>
      </c>
      <c r="AA4" s="18" t="s">
        <v>398</v>
      </c>
      <c r="AC4" s="14" t="s">
        <v>681</v>
      </c>
      <c r="AD4" s="14" t="s">
        <v>682</v>
      </c>
      <c r="AF4" s="14" t="s">
        <v>821</v>
      </c>
      <c r="AH4" s="17" t="s">
        <v>613</v>
      </c>
      <c r="AI4" s="17" t="s">
        <v>585</v>
      </c>
    </row>
    <row r="5" spans="1:35" ht="25.5">
      <c r="A5" t="s">
        <v>560</v>
      </c>
      <c r="B5" t="s">
        <v>13</v>
      </c>
      <c r="C5" s="17"/>
      <c r="D5" s="17" t="s">
        <v>668</v>
      </c>
      <c r="E5" s="17"/>
      <c r="F5" s="14" t="s">
        <v>45</v>
      </c>
      <c r="G5" s="17"/>
      <c r="H5" s="17">
        <v>2027</v>
      </c>
      <c r="I5" s="17"/>
      <c r="J5" s="17" t="s">
        <v>27</v>
      </c>
      <c r="K5" s="26" t="s">
        <v>42</v>
      </c>
      <c r="L5" s="17"/>
      <c r="M5" s="17" t="s">
        <v>39</v>
      </c>
      <c r="O5" s="17" t="s">
        <v>43</v>
      </c>
      <c r="Q5" s="14" t="s">
        <v>402</v>
      </c>
      <c r="R5" s="15" t="s">
        <v>180</v>
      </c>
      <c r="T5" s="14" t="s">
        <v>98</v>
      </c>
      <c r="U5" s="18" t="s">
        <v>36</v>
      </c>
      <c r="V5" s="18"/>
      <c r="W5" s="18" t="s">
        <v>396</v>
      </c>
      <c r="X5" s="18" t="s">
        <v>169</v>
      </c>
      <c r="Y5" s="17"/>
      <c r="Z5" s="14" t="s">
        <v>399</v>
      </c>
      <c r="AA5" s="18" t="s">
        <v>400</v>
      </c>
      <c r="AC5" s="14" t="s">
        <v>683</v>
      </c>
      <c r="AD5" s="14" t="s">
        <v>682</v>
      </c>
      <c r="AF5" s="14" t="s">
        <v>681</v>
      </c>
      <c r="AH5" s="17" t="s">
        <v>613</v>
      </c>
      <c r="AI5" s="17" t="s">
        <v>586</v>
      </c>
    </row>
    <row r="6" spans="1:35" ht="25.5">
      <c r="A6" t="s">
        <v>151</v>
      </c>
      <c r="B6" t="s">
        <v>71</v>
      </c>
      <c r="C6" s="17"/>
      <c r="D6" s="17" t="s">
        <v>669</v>
      </c>
      <c r="E6" s="17"/>
      <c r="F6" s="14" t="s">
        <v>49</v>
      </c>
      <c r="G6" s="17"/>
      <c r="H6" s="17">
        <v>2028</v>
      </c>
      <c r="I6" s="17"/>
      <c r="J6" s="17" t="s">
        <v>27</v>
      </c>
      <c r="K6" s="26" t="s">
        <v>46</v>
      </c>
      <c r="L6" s="17"/>
      <c r="M6" s="17" t="s">
        <v>674</v>
      </c>
      <c r="O6" s="17" t="s">
        <v>47</v>
      </c>
      <c r="Q6" s="14" t="s">
        <v>402</v>
      </c>
      <c r="R6" s="15" t="s">
        <v>181</v>
      </c>
      <c r="T6" s="14" t="s">
        <v>98</v>
      </c>
      <c r="U6" s="18" t="s">
        <v>92</v>
      </c>
      <c r="V6" s="18"/>
      <c r="W6" s="18" t="s">
        <v>396</v>
      </c>
      <c r="X6" s="18" t="s">
        <v>401</v>
      </c>
      <c r="Y6" s="17"/>
      <c r="Z6" s="14" t="s">
        <v>402</v>
      </c>
      <c r="AA6" s="18" t="s">
        <v>84</v>
      </c>
      <c r="AC6" s="14" t="s">
        <v>684</v>
      </c>
      <c r="AD6" s="14" t="s">
        <v>682</v>
      </c>
      <c r="AF6" s="14" t="s">
        <v>697</v>
      </c>
      <c r="AH6" s="17" t="s">
        <v>613</v>
      </c>
      <c r="AI6" s="17" t="s">
        <v>625</v>
      </c>
    </row>
    <row r="7" spans="1:35" ht="25.5">
      <c r="A7" t="s">
        <v>151</v>
      </c>
      <c r="B7" t="s">
        <v>82</v>
      </c>
      <c r="C7" s="17"/>
      <c r="D7" s="17" t="s">
        <v>670</v>
      </c>
      <c r="E7" s="17"/>
      <c r="F7" s="14" t="s">
        <v>34</v>
      </c>
      <c r="G7" s="17"/>
      <c r="H7" s="17">
        <v>2029</v>
      </c>
      <c r="I7" s="17"/>
      <c r="J7" s="17" t="s">
        <v>27</v>
      </c>
      <c r="K7" s="26" t="s">
        <v>50</v>
      </c>
      <c r="L7" s="17"/>
      <c r="M7" s="17" t="s">
        <v>675</v>
      </c>
      <c r="O7" s="17" t="s">
        <v>51</v>
      </c>
      <c r="Q7" s="14" t="s">
        <v>402</v>
      </c>
      <c r="R7" s="15" t="s">
        <v>182</v>
      </c>
      <c r="T7" s="14" t="s">
        <v>98</v>
      </c>
      <c r="U7" s="18" t="s">
        <v>167</v>
      </c>
      <c r="V7" s="18"/>
      <c r="W7" s="18" t="s">
        <v>403</v>
      </c>
      <c r="X7" s="18"/>
      <c r="Y7" s="17"/>
      <c r="Z7" s="14" t="s">
        <v>402</v>
      </c>
      <c r="AA7" s="18" t="s">
        <v>101</v>
      </c>
      <c r="AC7" s="14" t="s">
        <v>685</v>
      </c>
      <c r="AD7" s="14" t="s">
        <v>682</v>
      </c>
      <c r="AF7" s="14" t="s">
        <v>699</v>
      </c>
      <c r="AH7" s="17" t="s">
        <v>614</v>
      </c>
      <c r="AI7" s="17" t="s">
        <v>614</v>
      </c>
    </row>
    <row r="8" spans="1:35" ht="25.5">
      <c r="A8" t="s">
        <v>144</v>
      </c>
      <c r="B8" t="s">
        <v>71</v>
      </c>
      <c r="C8" s="17"/>
      <c r="D8" s="17"/>
      <c r="E8" s="17"/>
      <c r="F8" s="14" t="s">
        <v>56</v>
      </c>
      <c r="G8" s="17"/>
      <c r="H8" s="17">
        <v>2030</v>
      </c>
      <c r="I8" s="17"/>
      <c r="J8" s="17" t="s">
        <v>27</v>
      </c>
      <c r="K8" s="26" t="s">
        <v>53</v>
      </c>
      <c r="L8" s="17"/>
      <c r="M8" s="17" t="s">
        <v>626</v>
      </c>
      <c r="O8" s="17" t="s">
        <v>54</v>
      </c>
      <c r="Q8" s="14" t="s">
        <v>402</v>
      </c>
      <c r="R8" s="15" t="s">
        <v>183</v>
      </c>
      <c r="T8" s="14" t="s">
        <v>98</v>
      </c>
      <c r="U8" s="18" t="s">
        <v>404</v>
      </c>
      <c r="V8" s="18"/>
      <c r="W8" s="18" t="s">
        <v>405</v>
      </c>
      <c r="X8" s="18"/>
      <c r="Y8" s="17"/>
      <c r="Z8" s="14" t="s">
        <v>402</v>
      </c>
      <c r="AA8" s="18" t="s">
        <v>95</v>
      </c>
      <c r="AC8" s="14" t="s">
        <v>686</v>
      </c>
      <c r="AD8" s="14" t="s">
        <v>682</v>
      </c>
      <c r="AF8" s="14" t="s">
        <v>698</v>
      </c>
      <c r="AH8" s="17"/>
      <c r="AI8" s="17"/>
    </row>
    <row r="9" spans="1:35" ht="25.5">
      <c r="A9" t="s">
        <v>88</v>
      </c>
      <c r="B9" t="s">
        <v>71</v>
      </c>
      <c r="C9" s="17"/>
      <c r="D9" s="17"/>
      <c r="E9" s="17"/>
      <c r="F9" s="14" t="s">
        <v>60</v>
      </c>
      <c r="G9" s="17"/>
      <c r="H9" s="17">
        <v>2031</v>
      </c>
      <c r="I9" s="17"/>
      <c r="J9" s="17" t="s">
        <v>27</v>
      </c>
      <c r="K9" s="26" t="s">
        <v>57</v>
      </c>
      <c r="L9" s="17"/>
      <c r="M9" s="17"/>
      <c r="O9" s="17" t="s">
        <v>58</v>
      </c>
      <c r="Q9" s="14" t="s">
        <v>402</v>
      </c>
      <c r="R9" s="15" t="s">
        <v>184</v>
      </c>
      <c r="T9" s="14" t="s">
        <v>151</v>
      </c>
      <c r="U9" s="18" t="s">
        <v>406</v>
      </c>
      <c r="V9" s="18"/>
      <c r="W9" s="18" t="s">
        <v>407</v>
      </c>
      <c r="X9" s="18"/>
      <c r="Y9" s="17"/>
      <c r="Z9" s="14" t="s">
        <v>402</v>
      </c>
      <c r="AA9" s="18" t="s">
        <v>97</v>
      </c>
      <c r="AC9" s="14" t="s">
        <v>687</v>
      </c>
      <c r="AD9" s="14" t="s">
        <v>682</v>
      </c>
      <c r="AF9" s="14" t="s">
        <v>683</v>
      </c>
    </row>
    <row r="10" spans="1:35" ht="25.5">
      <c r="A10" t="s">
        <v>88</v>
      </c>
      <c r="B10" t="s">
        <v>82</v>
      </c>
      <c r="C10" s="17"/>
      <c r="D10" s="17"/>
      <c r="E10" s="17"/>
      <c r="F10" s="14" t="s">
        <v>64</v>
      </c>
      <c r="G10" s="17"/>
      <c r="H10" s="17">
        <v>2032</v>
      </c>
      <c r="I10" s="17"/>
      <c r="J10" s="17" t="s">
        <v>27</v>
      </c>
      <c r="K10" s="26" t="s">
        <v>61</v>
      </c>
      <c r="L10" s="17"/>
      <c r="M10" s="17"/>
      <c r="O10" s="17" t="s">
        <v>62</v>
      </c>
      <c r="Q10" s="14" t="s">
        <v>402</v>
      </c>
      <c r="R10" s="15" t="s">
        <v>185</v>
      </c>
      <c r="T10" s="14" t="s">
        <v>151</v>
      </c>
      <c r="U10" s="18" t="s">
        <v>36</v>
      </c>
      <c r="V10" s="18"/>
      <c r="W10" s="18" t="s">
        <v>408</v>
      </c>
      <c r="X10" s="18"/>
      <c r="Y10" s="17"/>
      <c r="Z10" s="14" t="s">
        <v>402</v>
      </c>
      <c r="AA10" s="18" t="s">
        <v>409</v>
      </c>
      <c r="AC10" s="14" t="s">
        <v>688</v>
      </c>
      <c r="AD10" s="14" t="s">
        <v>682</v>
      </c>
      <c r="AF10" s="14" t="s">
        <v>746</v>
      </c>
    </row>
    <row r="11" spans="1:35" ht="25.5">
      <c r="A11" t="s">
        <v>126</v>
      </c>
      <c r="B11" t="s">
        <v>71</v>
      </c>
      <c r="C11" s="17"/>
      <c r="D11" s="27" t="s">
        <v>611</v>
      </c>
      <c r="E11" s="17"/>
      <c r="F11" s="14" t="s">
        <v>68</v>
      </c>
      <c r="G11" s="17"/>
      <c r="H11" s="17">
        <v>2033</v>
      </c>
      <c r="I11" s="17"/>
      <c r="J11" s="17" t="s">
        <v>27</v>
      </c>
      <c r="K11" s="26" t="s">
        <v>65</v>
      </c>
      <c r="L11" s="17"/>
      <c r="M11" s="17"/>
      <c r="O11" s="17" t="s">
        <v>66</v>
      </c>
      <c r="Q11" s="14" t="s">
        <v>402</v>
      </c>
      <c r="R11" s="15" t="s">
        <v>186</v>
      </c>
      <c r="T11" s="14" t="s">
        <v>151</v>
      </c>
      <c r="U11" s="18" t="s">
        <v>92</v>
      </c>
      <c r="V11" s="18"/>
      <c r="W11" s="18" t="s">
        <v>410</v>
      </c>
      <c r="X11" s="18"/>
      <c r="Y11" s="17"/>
      <c r="Z11" s="14" t="s">
        <v>402</v>
      </c>
      <c r="AA11" s="18" t="s">
        <v>107</v>
      </c>
      <c r="AC11" s="14" t="s">
        <v>689</v>
      </c>
      <c r="AD11" s="14" t="s">
        <v>682</v>
      </c>
      <c r="AF11" s="14" t="s">
        <v>795</v>
      </c>
    </row>
    <row r="12" spans="1:35" ht="25.5">
      <c r="A12" t="s">
        <v>126</v>
      </c>
      <c r="B12" t="s">
        <v>82</v>
      </c>
      <c r="C12" s="17"/>
      <c r="D12" s="26" t="s">
        <v>573</v>
      </c>
      <c r="E12" s="17"/>
      <c r="F12" s="14" t="s">
        <v>72</v>
      </c>
      <c r="G12" s="17"/>
      <c r="H12" s="17">
        <v>2034</v>
      </c>
      <c r="I12" s="17"/>
      <c r="J12" s="17" t="s">
        <v>27</v>
      </c>
      <c r="K12" s="26" t="s">
        <v>69</v>
      </c>
      <c r="L12" s="17"/>
      <c r="M12" s="17"/>
      <c r="O12" s="17" t="s">
        <v>70</v>
      </c>
      <c r="Q12" s="14" t="s">
        <v>402</v>
      </c>
      <c r="R12" s="15" t="s">
        <v>187</v>
      </c>
      <c r="T12" s="14" t="s">
        <v>126</v>
      </c>
      <c r="U12" s="18" t="s">
        <v>411</v>
      </c>
      <c r="V12" s="18"/>
      <c r="W12" s="18" t="s">
        <v>412</v>
      </c>
      <c r="X12" s="18" t="s">
        <v>413</v>
      </c>
      <c r="Y12" s="17"/>
      <c r="Z12" s="14" t="s">
        <v>414</v>
      </c>
      <c r="AA12" s="18" t="s">
        <v>84</v>
      </c>
      <c r="AC12" s="14" t="s">
        <v>690</v>
      </c>
      <c r="AD12" s="14" t="s">
        <v>682</v>
      </c>
      <c r="AF12" s="14" t="s">
        <v>706</v>
      </c>
    </row>
    <row r="13" spans="1:35" ht="25.5">
      <c r="A13" t="s">
        <v>114</v>
      </c>
      <c r="B13" t="s">
        <v>55</v>
      </c>
      <c r="C13" s="17"/>
      <c r="D13" s="26" t="s">
        <v>616</v>
      </c>
      <c r="E13" s="17"/>
      <c r="F13" s="14" t="s">
        <v>75</v>
      </c>
      <c r="G13" s="17"/>
      <c r="H13" s="17">
        <v>2035</v>
      </c>
      <c r="I13" s="17"/>
      <c r="J13" s="17" t="s">
        <v>27</v>
      </c>
      <c r="K13" s="37" t="s">
        <v>626</v>
      </c>
      <c r="L13" s="17"/>
      <c r="M13" s="17"/>
      <c r="O13" s="17" t="s">
        <v>73</v>
      </c>
      <c r="Q13" s="14" t="s">
        <v>402</v>
      </c>
      <c r="R13" s="15" t="s">
        <v>188</v>
      </c>
      <c r="T13" s="14" t="s">
        <v>126</v>
      </c>
      <c r="U13" s="18" t="s">
        <v>415</v>
      </c>
      <c r="V13" s="18"/>
      <c r="W13" s="18" t="s">
        <v>412</v>
      </c>
      <c r="X13" s="18" t="s">
        <v>416</v>
      </c>
      <c r="Y13" s="17"/>
      <c r="Z13" s="14" t="s">
        <v>417</v>
      </c>
      <c r="AA13" s="18" t="s">
        <v>84</v>
      </c>
      <c r="AC13" s="14" t="s">
        <v>691</v>
      </c>
      <c r="AD13" s="14" t="s">
        <v>682</v>
      </c>
      <c r="AF13" s="14" t="s">
        <v>773</v>
      </c>
    </row>
    <row r="14" spans="1:35" ht="25.5">
      <c r="A14" t="s">
        <v>156</v>
      </c>
      <c r="B14" t="s">
        <v>55</v>
      </c>
      <c r="C14" s="17"/>
      <c r="D14" s="26" t="s">
        <v>617</v>
      </c>
      <c r="E14" s="17"/>
      <c r="F14" s="14" t="s">
        <v>77</v>
      </c>
      <c r="G14" s="17"/>
      <c r="H14" s="17">
        <v>2036</v>
      </c>
      <c r="I14" s="17"/>
      <c r="J14" s="17" t="s">
        <v>27</v>
      </c>
      <c r="K14" s="37" t="s">
        <v>627</v>
      </c>
      <c r="O14" s="17" t="s">
        <v>76</v>
      </c>
      <c r="Q14" s="14" t="s">
        <v>402</v>
      </c>
      <c r="R14" s="15" t="s">
        <v>189</v>
      </c>
      <c r="T14" s="14" t="s">
        <v>126</v>
      </c>
      <c r="U14" s="18" t="s">
        <v>418</v>
      </c>
      <c r="V14" s="18"/>
      <c r="W14" s="18" t="s">
        <v>412</v>
      </c>
      <c r="X14" s="18" t="s">
        <v>419</v>
      </c>
      <c r="Y14" s="17"/>
      <c r="Z14" s="14" t="s">
        <v>420</v>
      </c>
      <c r="AA14" s="18" t="s">
        <v>84</v>
      </c>
      <c r="AC14" s="14" t="s">
        <v>692</v>
      </c>
      <c r="AD14" s="14" t="s">
        <v>682</v>
      </c>
      <c r="AF14" s="14" t="s">
        <v>723</v>
      </c>
    </row>
    <row r="15" spans="1:35" ht="25.5">
      <c r="A15" t="s">
        <v>162</v>
      </c>
      <c r="B15" t="s">
        <v>55</v>
      </c>
      <c r="C15" s="17"/>
      <c r="D15" s="26" t="s">
        <v>598</v>
      </c>
      <c r="E15" s="17"/>
      <c r="F15" s="14" t="s">
        <v>80</v>
      </c>
      <c r="G15" s="17"/>
      <c r="H15" s="17">
        <v>2037</v>
      </c>
      <c r="I15" s="17"/>
      <c r="J15" s="17" t="s">
        <v>27</v>
      </c>
      <c r="K15" s="26" t="s">
        <v>608</v>
      </c>
      <c r="O15" s="17" t="s">
        <v>78</v>
      </c>
      <c r="Q15" s="14" t="s">
        <v>417</v>
      </c>
      <c r="R15" s="15" t="s">
        <v>224</v>
      </c>
      <c r="T15" s="14" t="s">
        <v>114</v>
      </c>
      <c r="U15" s="18" t="s">
        <v>92</v>
      </c>
      <c r="V15" s="18"/>
      <c r="W15" s="18" t="s">
        <v>412</v>
      </c>
      <c r="X15" s="18" t="s">
        <v>421</v>
      </c>
      <c r="Y15" s="17"/>
      <c r="Z15" s="14" t="s">
        <v>422</v>
      </c>
      <c r="AA15" s="18" t="s">
        <v>84</v>
      </c>
      <c r="AC15" s="14" t="s">
        <v>693</v>
      </c>
      <c r="AD15" s="14" t="s">
        <v>682</v>
      </c>
      <c r="AF15" s="14" t="s">
        <v>716</v>
      </c>
    </row>
    <row r="16" spans="1:35" ht="25.5">
      <c r="A16" t="s">
        <v>34</v>
      </c>
      <c r="B16" t="s">
        <v>55</v>
      </c>
      <c r="C16" s="17"/>
      <c r="D16" s="17"/>
      <c r="E16" s="17"/>
      <c r="F16" s="14" t="s">
        <v>83</v>
      </c>
      <c r="G16" s="17"/>
      <c r="H16" s="17">
        <v>2038</v>
      </c>
      <c r="I16" s="17"/>
      <c r="J16" s="17" t="s">
        <v>27</v>
      </c>
      <c r="K16" s="26" t="s">
        <v>634</v>
      </c>
      <c r="O16" s="17" t="s">
        <v>81</v>
      </c>
      <c r="Q16" s="14" t="s">
        <v>417</v>
      </c>
      <c r="R16" s="15" t="s">
        <v>225</v>
      </c>
      <c r="T16" s="14" t="s">
        <v>114</v>
      </c>
      <c r="U16" s="18" t="s">
        <v>131</v>
      </c>
      <c r="V16" s="18"/>
      <c r="W16" s="18" t="s">
        <v>412</v>
      </c>
      <c r="X16" s="18" t="s">
        <v>423</v>
      </c>
      <c r="Y16" s="17"/>
      <c r="Z16" s="14" t="s">
        <v>422</v>
      </c>
      <c r="AA16" s="18" t="s">
        <v>101</v>
      </c>
      <c r="AC16" s="14" t="s">
        <v>694</v>
      </c>
      <c r="AD16" s="14" t="s">
        <v>682</v>
      </c>
      <c r="AF16" s="14" t="s">
        <v>805</v>
      </c>
    </row>
    <row r="17" spans="1:32" ht="25.5">
      <c r="A17" t="s">
        <v>34</v>
      </c>
      <c r="B17" t="s">
        <v>82</v>
      </c>
      <c r="C17" s="17"/>
      <c r="D17" s="27" t="s">
        <v>612</v>
      </c>
      <c r="E17" s="17"/>
      <c r="F17" s="14" t="s">
        <v>86</v>
      </c>
      <c r="G17" s="17"/>
      <c r="H17" s="17">
        <v>2039</v>
      </c>
      <c r="I17" s="17"/>
      <c r="J17" s="17" t="s">
        <v>27</v>
      </c>
      <c r="K17" s="26" t="s">
        <v>609</v>
      </c>
      <c r="O17" s="17" t="s">
        <v>85</v>
      </c>
      <c r="Q17" s="14" t="s">
        <v>417</v>
      </c>
      <c r="R17" s="15" t="s">
        <v>247</v>
      </c>
      <c r="T17" s="14" t="s">
        <v>114</v>
      </c>
      <c r="U17" s="18" t="s">
        <v>36</v>
      </c>
      <c r="V17" s="18"/>
      <c r="W17" s="18" t="s">
        <v>424</v>
      </c>
      <c r="X17" s="18" t="s">
        <v>164</v>
      </c>
      <c r="Y17" s="17"/>
      <c r="Z17" s="14" t="s">
        <v>422</v>
      </c>
      <c r="AA17" s="18" t="s">
        <v>95</v>
      </c>
      <c r="AC17" s="14" t="s">
        <v>695</v>
      </c>
      <c r="AD17" s="14" t="s">
        <v>682</v>
      </c>
      <c r="AF17" s="14" t="s">
        <v>713</v>
      </c>
    </row>
    <row r="18" spans="1:32" ht="25.5">
      <c r="A18" t="s">
        <v>152</v>
      </c>
      <c r="B18" t="s">
        <v>55</v>
      </c>
      <c r="C18" s="17"/>
      <c r="D18" s="17" t="s">
        <v>613</v>
      </c>
      <c r="E18" s="17"/>
      <c r="F18" s="14" t="s">
        <v>88</v>
      </c>
      <c r="G18" s="17"/>
      <c r="H18" s="17">
        <v>2040</v>
      </c>
      <c r="I18" s="17"/>
      <c r="J18" s="17" t="s">
        <v>27</v>
      </c>
      <c r="K18" s="26" t="s">
        <v>610</v>
      </c>
      <c r="O18" s="17" t="s">
        <v>87</v>
      </c>
      <c r="Q18" s="14" t="s">
        <v>420</v>
      </c>
      <c r="R18" s="15" t="s">
        <v>171</v>
      </c>
      <c r="T18" s="14" t="s">
        <v>114</v>
      </c>
      <c r="U18" s="18" t="s">
        <v>138</v>
      </c>
      <c r="V18" s="18"/>
      <c r="W18" s="18" t="s">
        <v>424</v>
      </c>
      <c r="X18" s="18" t="s">
        <v>165</v>
      </c>
      <c r="Y18" s="17"/>
      <c r="Z18" s="14" t="s">
        <v>422</v>
      </c>
      <c r="AA18" s="18" t="s">
        <v>97</v>
      </c>
      <c r="AC18" s="14" t="s">
        <v>696</v>
      </c>
      <c r="AD18" s="14" t="s">
        <v>682</v>
      </c>
      <c r="AF18" s="14" t="s">
        <v>730</v>
      </c>
    </row>
    <row r="19" spans="1:32">
      <c r="A19" t="s">
        <v>152</v>
      </c>
      <c r="B19" t="s">
        <v>82</v>
      </c>
      <c r="C19" s="17"/>
      <c r="D19" s="17" t="s">
        <v>614</v>
      </c>
      <c r="E19" s="17"/>
      <c r="F19" s="14" t="s">
        <v>90</v>
      </c>
      <c r="G19" s="17"/>
      <c r="H19" s="17">
        <v>2041</v>
      </c>
      <c r="I19" s="17"/>
      <c r="J19" s="17" t="s">
        <v>633</v>
      </c>
      <c r="K19" s="26" t="s">
        <v>31</v>
      </c>
      <c r="O19" s="17" t="s">
        <v>89</v>
      </c>
      <c r="Q19" s="14" t="s">
        <v>420</v>
      </c>
      <c r="R19" s="15" t="s">
        <v>172</v>
      </c>
      <c r="T19" s="14" t="s">
        <v>162</v>
      </c>
      <c r="U19" s="18" t="s">
        <v>36</v>
      </c>
      <c r="V19" s="18"/>
      <c r="W19" s="18" t="s">
        <v>424</v>
      </c>
      <c r="X19" s="18" t="s">
        <v>166</v>
      </c>
      <c r="Y19" s="17"/>
      <c r="Z19" s="14" t="s">
        <v>425</v>
      </c>
      <c r="AA19" s="18" t="s">
        <v>84</v>
      </c>
      <c r="AC19" s="14" t="s">
        <v>697</v>
      </c>
      <c r="AD19" s="14" t="s">
        <v>682</v>
      </c>
      <c r="AF19" s="14" t="s">
        <v>715</v>
      </c>
    </row>
    <row r="20" spans="1:32">
      <c r="A20" t="s">
        <v>72</v>
      </c>
      <c r="B20" t="s">
        <v>59</v>
      </c>
      <c r="C20" s="17"/>
      <c r="D20" s="17"/>
      <c r="E20" s="17"/>
      <c r="F20" s="14" t="s">
        <v>91</v>
      </c>
      <c r="G20" s="17"/>
      <c r="H20" s="17">
        <v>2042</v>
      </c>
      <c r="I20" s="17"/>
      <c r="J20" s="17" t="s">
        <v>633</v>
      </c>
      <c r="K20" s="26" t="s">
        <v>38</v>
      </c>
      <c r="Q20" s="14" t="s">
        <v>420</v>
      </c>
      <c r="R20" s="15" t="s">
        <v>173</v>
      </c>
      <c r="T20" s="14" t="s">
        <v>162</v>
      </c>
      <c r="U20" s="18" t="s">
        <v>406</v>
      </c>
      <c r="V20" s="18"/>
      <c r="W20" s="18" t="s">
        <v>424</v>
      </c>
      <c r="X20" s="18" t="s">
        <v>426</v>
      </c>
      <c r="Y20" s="17"/>
      <c r="Z20" s="14" t="s">
        <v>427</v>
      </c>
      <c r="AA20" s="18" t="s">
        <v>428</v>
      </c>
      <c r="AC20" s="14" t="s">
        <v>698</v>
      </c>
      <c r="AD20" s="14" t="s">
        <v>682</v>
      </c>
      <c r="AF20" s="14" t="s">
        <v>711</v>
      </c>
    </row>
    <row r="21" spans="1:32">
      <c r="A21" t="s">
        <v>106</v>
      </c>
      <c r="B21" t="s">
        <v>59</v>
      </c>
      <c r="C21" s="17"/>
      <c r="D21" s="17"/>
      <c r="E21" s="17"/>
      <c r="F21" s="14" t="s">
        <v>93</v>
      </c>
      <c r="G21" s="17"/>
      <c r="H21" s="17">
        <v>2043</v>
      </c>
      <c r="I21" s="17"/>
      <c r="J21" s="17" t="s">
        <v>633</v>
      </c>
      <c r="K21" s="26" t="s">
        <v>42</v>
      </c>
      <c r="Q21" s="14" t="s">
        <v>420</v>
      </c>
      <c r="R21" s="15" t="s">
        <v>174</v>
      </c>
      <c r="T21" s="14" t="s">
        <v>34</v>
      </c>
      <c r="U21" s="18" t="s">
        <v>37</v>
      </c>
      <c r="V21" s="18"/>
      <c r="W21" s="18" t="s">
        <v>429</v>
      </c>
      <c r="X21" s="18"/>
      <c r="Y21" s="17"/>
      <c r="Z21" s="14" t="s">
        <v>430</v>
      </c>
      <c r="AA21" s="18" t="s">
        <v>101</v>
      </c>
      <c r="AC21" s="14" t="s">
        <v>699</v>
      </c>
      <c r="AD21" s="14" t="s">
        <v>682</v>
      </c>
      <c r="AF21" s="14" t="s">
        <v>804</v>
      </c>
    </row>
    <row r="22" spans="1:32">
      <c r="A22" t="s">
        <v>75</v>
      </c>
      <c r="B22" t="s">
        <v>59</v>
      </c>
      <c r="C22" s="17"/>
      <c r="D22" s="17"/>
      <c r="E22" s="17"/>
      <c r="F22" s="14" t="s">
        <v>94</v>
      </c>
      <c r="G22" s="17"/>
      <c r="H22" s="17">
        <v>2044</v>
      </c>
      <c r="I22" s="17"/>
      <c r="J22" s="17" t="s">
        <v>633</v>
      </c>
      <c r="K22" s="26" t="s">
        <v>46</v>
      </c>
      <c r="Q22" s="14" t="s">
        <v>420</v>
      </c>
      <c r="R22" s="15" t="s">
        <v>175</v>
      </c>
      <c r="T22" s="14" t="s">
        <v>34</v>
      </c>
      <c r="U22" s="18" t="s">
        <v>431</v>
      </c>
      <c r="V22" s="18"/>
      <c r="W22" s="18" t="s">
        <v>432</v>
      </c>
      <c r="X22" s="18"/>
      <c r="Y22" s="17"/>
      <c r="Z22" s="14" t="s">
        <v>430</v>
      </c>
      <c r="AA22" s="18" t="s">
        <v>95</v>
      </c>
      <c r="AC22" s="14" t="s">
        <v>700</v>
      </c>
      <c r="AD22" s="14" t="s">
        <v>599</v>
      </c>
      <c r="AF22" s="14" t="s">
        <v>729</v>
      </c>
    </row>
    <row r="23" spans="1:32">
      <c r="A23" t="s">
        <v>90</v>
      </c>
      <c r="B23" t="s">
        <v>59</v>
      </c>
      <c r="C23" s="17"/>
      <c r="D23" s="17"/>
      <c r="E23" s="17"/>
      <c r="F23" s="14" t="s">
        <v>96</v>
      </c>
      <c r="G23" s="17"/>
      <c r="H23" s="17">
        <v>2045</v>
      </c>
      <c r="I23" s="17"/>
      <c r="J23" s="17" t="s">
        <v>633</v>
      </c>
      <c r="K23" s="26" t="s">
        <v>50</v>
      </c>
      <c r="Q23" s="14" t="s">
        <v>420</v>
      </c>
      <c r="R23" s="15" t="s">
        <v>176</v>
      </c>
      <c r="T23" s="14" t="s">
        <v>152</v>
      </c>
      <c r="U23" s="18" t="s">
        <v>37</v>
      </c>
      <c r="V23" s="18"/>
      <c r="W23" s="18" t="s">
        <v>433</v>
      </c>
      <c r="X23" s="18"/>
      <c r="Y23" s="17"/>
      <c r="Z23" s="14" t="s">
        <v>430</v>
      </c>
      <c r="AA23" s="18" t="s">
        <v>97</v>
      </c>
      <c r="AC23" s="14" t="s">
        <v>701</v>
      </c>
      <c r="AD23" s="14" t="s">
        <v>599</v>
      </c>
      <c r="AF23" s="14" t="s">
        <v>740</v>
      </c>
    </row>
    <row r="24" spans="1:32">
      <c r="A24" t="s">
        <v>96</v>
      </c>
      <c r="B24" t="s">
        <v>59</v>
      </c>
      <c r="C24" s="17"/>
      <c r="D24" s="17"/>
      <c r="E24" s="17"/>
      <c r="F24" s="14" t="s">
        <v>98</v>
      </c>
      <c r="G24" s="17"/>
      <c r="H24" s="17">
        <v>2046</v>
      </c>
      <c r="I24" s="17"/>
      <c r="J24" s="17" t="s">
        <v>633</v>
      </c>
      <c r="K24" s="26" t="s">
        <v>53</v>
      </c>
      <c r="Q24" s="14" t="s">
        <v>420</v>
      </c>
      <c r="R24" s="15" t="s">
        <v>177</v>
      </c>
      <c r="T24" s="14" t="s">
        <v>90</v>
      </c>
      <c r="U24" s="18" t="s">
        <v>36</v>
      </c>
      <c r="V24" s="18"/>
      <c r="W24" s="18" t="s">
        <v>434</v>
      </c>
      <c r="X24" s="18"/>
      <c r="Y24" s="17"/>
      <c r="Z24" s="14" t="s">
        <v>430</v>
      </c>
      <c r="AA24" s="18" t="s">
        <v>409</v>
      </c>
      <c r="AC24" s="14" t="s">
        <v>702</v>
      </c>
      <c r="AD24" s="14" t="s">
        <v>599</v>
      </c>
      <c r="AF24" s="14" t="s">
        <v>754</v>
      </c>
    </row>
    <row r="25" spans="1:32" ht="25.5">
      <c r="A25" t="s">
        <v>153</v>
      </c>
      <c r="B25" t="s">
        <v>59</v>
      </c>
      <c r="C25" s="17"/>
      <c r="D25" s="17"/>
      <c r="E25" s="17"/>
      <c r="F25" s="14" t="s">
        <v>99</v>
      </c>
      <c r="G25" s="17"/>
      <c r="H25" s="17">
        <v>2047</v>
      </c>
      <c r="I25" s="17"/>
      <c r="J25" s="17" t="s">
        <v>633</v>
      </c>
      <c r="K25" s="26" t="s">
        <v>57</v>
      </c>
      <c r="Q25" s="14" t="s">
        <v>422</v>
      </c>
      <c r="R25" s="15" t="s">
        <v>309</v>
      </c>
      <c r="T25" s="14" t="s">
        <v>96</v>
      </c>
      <c r="U25" s="18" t="s">
        <v>36</v>
      </c>
      <c r="V25" s="18"/>
      <c r="W25" s="18" t="s">
        <v>435</v>
      </c>
      <c r="X25" s="18"/>
      <c r="Y25" s="17"/>
      <c r="Z25" s="14" t="s">
        <v>430</v>
      </c>
      <c r="AA25" s="18" t="s">
        <v>107</v>
      </c>
      <c r="AC25" s="14" t="s">
        <v>703</v>
      </c>
      <c r="AD25" s="14" t="s">
        <v>599</v>
      </c>
      <c r="AF25" s="14" t="s">
        <v>738</v>
      </c>
    </row>
    <row r="26" spans="1:32" ht="25.5">
      <c r="A26" t="s">
        <v>153</v>
      </c>
      <c r="B26" t="s">
        <v>82</v>
      </c>
      <c r="C26" s="17"/>
      <c r="D26" s="17"/>
      <c r="E26" s="17"/>
      <c r="F26" s="14" t="s">
        <v>100</v>
      </c>
      <c r="G26" s="17"/>
      <c r="H26" s="17">
        <v>2048</v>
      </c>
      <c r="I26" s="17"/>
      <c r="J26" s="17" t="s">
        <v>633</v>
      </c>
      <c r="K26" s="26" t="s">
        <v>61</v>
      </c>
      <c r="Q26" s="14" t="s">
        <v>422</v>
      </c>
      <c r="R26" s="15" t="s">
        <v>310</v>
      </c>
      <c r="T26" s="14" t="s">
        <v>96</v>
      </c>
      <c r="U26" s="18" t="s">
        <v>92</v>
      </c>
      <c r="V26" s="18"/>
      <c r="W26" s="18" t="s">
        <v>436</v>
      </c>
      <c r="X26" s="18"/>
      <c r="Y26" s="17"/>
      <c r="Z26" s="14" t="s">
        <v>430</v>
      </c>
      <c r="AA26" s="18" t="s">
        <v>110</v>
      </c>
      <c r="AC26" s="14" t="s">
        <v>704</v>
      </c>
      <c r="AD26" s="14" t="s">
        <v>599</v>
      </c>
      <c r="AF26" s="14" t="s">
        <v>752</v>
      </c>
    </row>
    <row r="27" spans="1:32">
      <c r="A27" t="s">
        <v>121</v>
      </c>
      <c r="B27" t="s">
        <v>59</v>
      </c>
      <c r="C27" s="17"/>
      <c r="D27" s="17"/>
      <c r="E27" s="17"/>
      <c r="F27" s="14" t="s">
        <v>102</v>
      </c>
      <c r="G27" s="17"/>
      <c r="H27" s="17">
        <v>2049</v>
      </c>
      <c r="I27" s="17"/>
      <c r="J27" s="17" t="s">
        <v>633</v>
      </c>
      <c r="K27" s="26" t="s">
        <v>65</v>
      </c>
      <c r="Q27" s="14" t="s">
        <v>422</v>
      </c>
      <c r="R27" s="15" t="s">
        <v>311</v>
      </c>
      <c r="T27" s="14" t="s">
        <v>437</v>
      </c>
      <c r="U27" s="19" t="s">
        <v>438</v>
      </c>
      <c r="V27" s="19"/>
      <c r="W27" s="19" t="s">
        <v>439</v>
      </c>
      <c r="X27" s="19"/>
      <c r="Y27" s="17"/>
      <c r="Z27" s="14" t="s">
        <v>430</v>
      </c>
      <c r="AA27" s="18" t="s">
        <v>440</v>
      </c>
      <c r="AC27" s="14" t="s">
        <v>705</v>
      </c>
      <c r="AD27" s="14" t="s">
        <v>599</v>
      </c>
      <c r="AF27" s="14" t="s">
        <v>755</v>
      </c>
    </row>
    <row r="28" spans="1:32">
      <c r="A28" t="s">
        <v>111</v>
      </c>
      <c r="B28" t="s">
        <v>59</v>
      </c>
      <c r="C28" s="17"/>
      <c r="D28" s="17"/>
      <c r="E28" s="17"/>
      <c r="F28" s="14" t="s">
        <v>103</v>
      </c>
      <c r="G28" s="17"/>
      <c r="H28" s="17">
        <v>2050</v>
      </c>
      <c r="I28" s="17"/>
      <c r="J28" s="17" t="s">
        <v>633</v>
      </c>
      <c r="K28" s="26" t="s">
        <v>69</v>
      </c>
      <c r="Q28" s="14" t="s">
        <v>422</v>
      </c>
      <c r="R28" s="15" t="s">
        <v>312</v>
      </c>
      <c r="T28" s="14" t="s">
        <v>437</v>
      </c>
      <c r="U28" s="19" t="s">
        <v>441</v>
      </c>
      <c r="V28" s="19"/>
      <c r="W28" s="19" t="s">
        <v>442</v>
      </c>
      <c r="X28" s="19"/>
      <c r="Y28" s="17"/>
      <c r="Z28" s="14" t="s">
        <v>443</v>
      </c>
      <c r="AA28" s="18" t="s">
        <v>84</v>
      </c>
      <c r="AC28" s="14" t="s">
        <v>706</v>
      </c>
      <c r="AD28" s="14" t="s">
        <v>599</v>
      </c>
      <c r="AF28" s="14" t="s">
        <v>709</v>
      </c>
    </row>
    <row r="29" spans="1:32">
      <c r="A29" t="s">
        <v>141</v>
      </c>
      <c r="B29" t="s">
        <v>59</v>
      </c>
      <c r="C29" s="17"/>
      <c r="D29" s="17"/>
      <c r="E29" s="17"/>
      <c r="F29" s="14" t="s">
        <v>104</v>
      </c>
      <c r="G29" s="17"/>
      <c r="H29" s="17">
        <v>2051</v>
      </c>
      <c r="I29" s="17"/>
      <c r="J29" s="17" t="s">
        <v>633</v>
      </c>
      <c r="K29" s="37" t="s">
        <v>626</v>
      </c>
      <c r="Q29" s="14" t="s">
        <v>422</v>
      </c>
      <c r="R29" s="15" t="s">
        <v>313</v>
      </c>
      <c r="T29" s="14" t="s">
        <v>437</v>
      </c>
      <c r="U29" s="19" t="s">
        <v>444</v>
      </c>
      <c r="V29" s="19"/>
      <c r="W29" s="19" t="s">
        <v>445</v>
      </c>
      <c r="X29" s="19"/>
      <c r="Y29" s="17"/>
      <c r="Z29" s="14" t="s">
        <v>446</v>
      </c>
      <c r="AA29" s="18" t="s">
        <v>447</v>
      </c>
      <c r="AC29" s="14" t="s">
        <v>707</v>
      </c>
      <c r="AD29" s="14" t="s">
        <v>708</v>
      </c>
      <c r="AF29" s="14" t="s">
        <v>781</v>
      </c>
    </row>
    <row r="30" spans="1:32">
      <c r="A30" t="s">
        <v>60</v>
      </c>
      <c r="B30" t="s">
        <v>59</v>
      </c>
      <c r="F30" s="14" t="s">
        <v>105</v>
      </c>
      <c r="H30" s="17">
        <v>2052</v>
      </c>
      <c r="J30" s="17" t="s">
        <v>633</v>
      </c>
      <c r="K30" s="37" t="s">
        <v>627</v>
      </c>
      <c r="Q30" s="14" t="s">
        <v>422</v>
      </c>
      <c r="R30" s="15" t="s">
        <v>314</v>
      </c>
      <c r="T30" s="14" t="s">
        <v>141</v>
      </c>
      <c r="U30" s="19" t="s">
        <v>448</v>
      </c>
      <c r="V30" s="19"/>
      <c r="W30" s="19" t="s">
        <v>449</v>
      </c>
      <c r="X30" s="19"/>
      <c r="Y30" s="17"/>
      <c r="Z30" s="14" t="s">
        <v>407</v>
      </c>
      <c r="AA30" s="18" t="s">
        <v>84</v>
      </c>
      <c r="AC30" s="14" t="s">
        <v>709</v>
      </c>
      <c r="AD30" s="14" t="s">
        <v>710</v>
      </c>
      <c r="AF30" s="14" t="s">
        <v>700</v>
      </c>
    </row>
    <row r="31" spans="1:32" ht="25.5">
      <c r="A31" t="s">
        <v>123</v>
      </c>
      <c r="B31" t="s">
        <v>63</v>
      </c>
      <c r="F31" s="14" t="s">
        <v>106</v>
      </c>
      <c r="H31" s="17">
        <v>2053</v>
      </c>
      <c r="J31" s="17" t="s">
        <v>633</v>
      </c>
      <c r="K31" s="26" t="s">
        <v>608</v>
      </c>
      <c r="Q31" s="14" t="s">
        <v>422</v>
      </c>
      <c r="R31" s="15" t="s">
        <v>315</v>
      </c>
      <c r="T31" s="14" t="s">
        <v>153</v>
      </c>
      <c r="U31" s="19" t="s">
        <v>450</v>
      </c>
      <c r="V31" s="19"/>
      <c r="W31" s="19" t="s">
        <v>402</v>
      </c>
      <c r="X31" s="19"/>
      <c r="Y31" s="17"/>
      <c r="Z31" s="14" t="s">
        <v>407</v>
      </c>
      <c r="AA31" s="18" t="s">
        <v>101</v>
      </c>
      <c r="AC31" s="14" t="s">
        <v>711</v>
      </c>
      <c r="AD31" s="14" t="s">
        <v>712</v>
      </c>
      <c r="AF31" s="14" t="s">
        <v>721</v>
      </c>
    </row>
    <row r="32" spans="1:32" ht="25.5">
      <c r="A32" t="s">
        <v>28</v>
      </c>
      <c r="B32" t="s">
        <v>40</v>
      </c>
      <c r="F32" s="14" t="s">
        <v>108</v>
      </c>
      <c r="H32" s="17">
        <v>2054</v>
      </c>
      <c r="J32" s="17" t="s">
        <v>633</v>
      </c>
      <c r="K32" s="26" t="s">
        <v>634</v>
      </c>
      <c r="Q32" s="14" t="s">
        <v>425</v>
      </c>
      <c r="R32" s="15" t="s">
        <v>226</v>
      </c>
      <c r="T32" s="14" t="s">
        <v>153</v>
      </c>
      <c r="U32" s="19" t="s">
        <v>451</v>
      </c>
      <c r="V32" s="19"/>
      <c r="W32" s="19" t="s">
        <v>452</v>
      </c>
      <c r="X32" s="19"/>
      <c r="Y32" s="17"/>
      <c r="Z32" s="14" t="s">
        <v>407</v>
      </c>
      <c r="AA32" s="18" t="s">
        <v>95</v>
      </c>
      <c r="AC32" s="14" t="s">
        <v>713</v>
      </c>
      <c r="AD32" s="14" t="s">
        <v>712</v>
      </c>
      <c r="AF32" s="14" t="s">
        <v>790</v>
      </c>
    </row>
    <row r="33" spans="1:32" ht="25.5">
      <c r="A33" t="s">
        <v>113</v>
      </c>
      <c r="B33" t="s">
        <v>48</v>
      </c>
      <c r="F33" s="14" t="s">
        <v>109</v>
      </c>
      <c r="H33" s="17">
        <v>2055</v>
      </c>
      <c r="J33" s="17" t="s">
        <v>633</v>
      </c>
      <c r="K33" s="26" t="s">
        <v>609</v>
      </c>
      <c r="Q33" s="14" t="s">
        <v>425</v>
      </c>
      <c r="R33" s="15" t="s">
        <v>227</v>
      </c>
      <c r="T33" s="14" t="s">
        <v>153</v>
      </c>
      <c r="U33" s="19" t="s">
        <v>453</v>
      </c>
      <c r="V33" s="19"/>
      <c r="W33" s="19" t="s">
        <v>454</v>
      </c>
      <c r="X33" s="19"/>
      <c r="Y33" s="17"/>
      <c r="Z33" s="14" t="s">
        <v>407</v>
      </c>
      <c r="AA33" s="18" t="s">
        <v>97</v>
      </c>
      <c r="AC33" s="14" t="s">
        <v>714</v>
      </c>
      <c r="AD33" s="14" t="s">
        <v>712</v>
      </c>
      <c r="AF33" s="14" t="s">
        <v>792</v>
      </c>
    </row>
    <row r="34" spans="1:32" ht="25.5">
      <c r="A34" t="s">
        <v>116</v>
      </c>
      <c r="B34" t="s">
        <v>48</v>
      </c>
      <c r="F34" s="14" t="s">
        <v>111</v>
      </c>
      <c r="H34" s="17">
        <v>2056</v>
      </c>
      <c r="J34" s="17" t="s">
        <v>633</v>
      </c>
      <c r="K34" s="26" t="s">
        <v>610</v>
      </c>
      <c r="Q34" s="14" t="s">
        <v>425</v>
      </c>
      <c r="R34" s="15" t="s">
        <v>245</v>
      </c>
      <c r="T34" s="14" t="s">
        <v>123</v>
      </c>
      <c r="U34" s="20" t="s">
        <v>455</v>
      </c>
      <c r="V34" s="20"/>
      <c r="W34" s="20" t="s">
        <v>425</v>
      </c>
      <c r="X34" s="20"/>
      <c r="Y34" s="17"/>
      <c r="Z34" s="14" t="s">
        <v>407</v>
      </c>
      <c r="AA34" s="18" t="s">
        <v>456</v>
      </c>
      <c r="AC34" s="14" t="s">
        <v>715</v>
      </c>
      <c r="AD34" s="14" t="s">
        <v>712</v>
      </c>
      <c r="AF34" s="14" t="s">
        <v>772</v>
      </c>
    </row>
    <row r="35" spans="1:32" ht="15">
      <c r="A35" t="s">
        <v>68</v>
      </c>
      <c r="B35" t="s">
        <v>48</v>
      </c>
      <c r="F35" s="14" t="s">
        <v>112</v>
      </c>
      <c r="H35" s="17">
        <v>2057</v>
      </c>
      <c r="J35" s="17" t="s">
        <v>668</v>
      </c>
      <c r="K35" s="26">
        <v>1.1000000000000001</v>
      </c>
      <c r="Q35" s="14" t="s">
        <v>425</v>
      </c>
      <c r="R35" s="15" t="s">
        <v>246</v>
      </c>
      <c r="T35" s="14" t="s">
        <v>123</v>
      </c>
      <c r="U35" s="20" t="s">
        <v>457</v>
      </c>
      <c r="V35" s="20"/>
      <c r="W35" s="20" t="s">
        <v>443</v>
      </c>
      <c r="X35" s="20"/>
      <c r="Y35" s="17"/>
      <c r="Z35" s="14" t="s">
        <v>405</v>
      </c>
      <c r="AA35" s="18" t="s">
        <v>35</v>
      </c>
      <c r="AC35" s="14" t="s">
        <v>716</v>
      </c>
      <c r="AD35" s="14" t="s">
        <v>712</v>
      </c>
      <c r="AF35" s="14" t="s">
        <v>707</v>
      </c>
    </row>
    <row r="36" spans="1:32" ht="15">
      <c r="A36" t="s">
        <v>94</v>
      </c>
      <c r="B36" t="s">
        <v>48</v>
      </c>
      <c r="F36" s="14" t="s">
        <v>113</v>
      </c>
      <c r="H36" s="17">
        <v>2058</v>
      </c>
      <c r="J36" s="17" t="s">
        <v>668</v>
      </c>
      <c r="K36" s="26">
        <v>1.2</v>
      </c>
      <c r="Q36" s="14" t="s">
        <v>425</v>
      </c>
      <c r="R36" s="15" t="s">
        <v>248</v>
      </c>
      <c r="T36" s="14" t="s">
        <v>123</v>
      </c>
      <c r="U36" s="20" t="s">
        <v>458</v>
      </c>
      <c r="V36" s="20"/>
      <c r="W36" s="20" t="s">
        <v>430</v>
      </c>
      <c r="X36" s="20"/>
      <c r="Y36" s="17"/>
      <c r="Z36" s="14" t="s">
        <v>408</v>
      </c>
      <c r="AA36" s="18" t="s">
        <v>459</v>
      </c>
      <c r="AC36" s="14" t="s">
        <v>717</v>
      </c>
      <c r="AD36" s="14" t="s">
        <v>599</v>
      </c>
      <c r="AF36" s="14" t="s">
        <v>741</v>
      </c>
    </row>
    <row r="37" spans="1:32" ht="25.5">
      <c r="A37" t="s">
        <v>157</v>
      </c>
      <c r="B37" t="s">
        <v>48</v>
      </c>
      <c r="F37" s="14" t="s">
        <v>114</v>
      </c>
      <c r="H37" s="17">
        <v>2059</v>
      </c>
      <c r="J37" s="17" t="s">
        <v>668</v>
      </c>
      <c r="K37" s="26">
        <v>2.1</v>
      </c>
      <c r="Q37" s="14" t="s">
        <v>430</v>
      </c>
      <c r="R37" s="15" t="s">
        <v>228</v>
      </c>
      <c r="T37" s="14" t="s">
        <v>123</v>
      </c>
      <c r="U37" s="14" t="s">
        <v>460</v>
      </c>
      <c r="V37" s="18"/>
      <c r="W37" s="18" t="s">
        <v>461</v>
      </c>
      <c r="X37" s="18"/>
      <c r="Y37" s="17"/>
      <c r="Z37" s="14" t="s">
        <v>410</v>
      </c>
      <c r="AA37" s="18" t="s">
        <v>400</v>
      </c>
      <c r="AC37" s="14" t="s">
        <v>718</v>
      </c>
      <c r="AD37" s="14" t="s">
        <v>599</v>
      </c>
      <c r="AF37" s="14" t="s">
        <v>732</v>
      </c>
    </row>
    <row r="38" spans="1:32">
      <c r="A38" t="s">
        <v>129</v>
      </c>
      <c r="B38" t="s">
        <v>48</v>
      </c>
      <c r="F38" s="14" t="s">
        <v>115</v>
      </c>
      <c r="H38" s="17">
        <v>2060</v>
      </c>
      <c r="J38" s="17" t="s">
        <v>668</v>
      </c>
      <c r="K38" s="26">
        <v>2.2000000000000002</v>
      </c>
      <c r="Q38" s="14" t="s">
        <v>430</v>
      </c>
      <c r="R38" s="15" t="s">
        <v>229</v>
      </c>
      <c r="T38" s="14" t="s">
        <v>123</v>
      </c>
      <c r="U38" s="14" t="s">
        <v>462</v>
      </c>
      <c r="V38" s="19"/>
      <c r="W38" s="19" t="s">
        <v>463</v>
      </c>
      <c r="X38" s="19"/>
      <c r="Y38" s="17"/>
      <c r="Z38" s="14" t="s">
        <v>464</v>
      </c>
      <c r="AA38" s="18" t="s">
        <v>84</v>
      </c>
      <c r="AC38" s="14" t="s">
        <v>719</v>
      </c>
      <c r="AD38" s="14" t="s">
        <v>712</v>
      </c>
      <c r="AF38" s="14" t="s">
        <v>759</v>
      </c>
    </row>
    <row r="39" spans="1:32">
      <c r="A39" t="s">
        <v>133</v>
      </c>
      <c r="B39" t="s">
        <v>48</v>
      </c>
      <c r="F39" s="14" t="s">
        <v>116</v>
      </c>
      <c r="H39" s="17">
        <v>2061</v>
      </c>
      <c r="J39" s="17" t="s">
        <v>668</v>
      </c>
      <c r="K39" s="26">
        <v>3.1</v>
      </c>
      <c r="Q39" s="14" t="s">
        <v>430</v>
      </c>
      <c r="R39" s="15" t="s">
        <v>230</v>
      </c>
      <c r="T39" s="14" t="s">
        <v>123</v>
      </c>
      <c r="U39" s="14" t="s">
        <v>465</v>
      </c>
      <c r="V39" s="19"/>
      <c r="W39" s="19" t="s">
        <v>466</v>
      </c>
      <c r="X39" s="19"/>
      <c r="Y39" s="17"/>
      <c r="Z39" s="14" t="s">
        <v>436</v>
      </c>
      <c r="AA39" s="18" t="s">
        <v>467</v>
      </c>
      <c r="AC39" s="14" t="s">
        <v>720</v>
      </c>
      <c r="AD39" s="14" t="s">
        <v>712</v>
      </c>
      <c r="AF39" s="14" t="s">
        <v>789</v>
      </c>
    </row>
    <row r="40" spans="1:32">
      <c r="A40" t="s">
        <v>33</v>
      </c>
      <c r="B40" t="s">
        <v>48</v>
      </c>
      <c r="F40" s="14" t="s">
        <v>117</v>
      </c>
      <c r="H40" s="17">
        <v>2062</v>
      </c>
      <c r="J40" s="17" t="s">
        <v>668</v>
      </c>
      <c r="K40" s="26">
        <v>3.2</v>
      </c>
      <c r="Q40" s="14" t="s">
        <v>430</v>
      </c>
      <c r="R40" s="15" t="s">
        <v>231</v>
      </c>
      <c r="T40" s="14" t="s">
        <v>123</v>
      </c>
      <c r="U40" s="14" t="s">
        <v>468</v>
      </c>
      <c r="V40" s="19"/>
      <c r="W40" s="19" t="s">
        <v>469</v>
      </c>
      <c r="X40" s="19"/>
      <c r="Y40" s="17"/>
      <c r="Z40" s="14" t="s">
        <v>436</v>
      </c>
      <c r="AA40" s="18" t="s">
        <v>470</v>
      </c>
      <c r="AC40" s="14" t="s">
        <v>721</v>
      </c>
      <c r="AD40" s="14" t="s">
        <v>599</v>
      </c>
      <c r="AF40" s="14" t="s">
        <v>734</v>
      </c>
    </row>
    <row r="41" spans="1:32">
      <c r="A41" t="s">
        <v>41</v>
      </c>
      <c r="B41" t="s">
        <v>48</v>
      </c>
      <c r="F41" s="14" t="s">
        <v>118</v>
      </c>
      <c r="H41" s="17">
        <v>2063</v>
      </c>
      <c r="J41" s="17" t="s">
        <v>668</v>
      </c>
      <c r="K41" s="26">
        <v>4.0999999999999996</v>
      </c>
      <c r="Q41" s="14" t="s">
        <v>443</v>
      </c>
      <c r="R41" s="15" t="s">
        <v>232</v>
      </c>
      <c r="T41" s="14" t="s">
        <v>123</v>
      </c>
      <c r="U41" s="14" t="s">
        <v>471</v>
      </c>
      <c r="V41" s="19"/>
      <c r="W41" s="19" t="s">
        <v>472</v>
      </c>
      <c r="X41" s="19"/>
      <c r="Y41" s="17"/>
      <c r="Z41" s="14" t="s">
        <v>435</v>
      </c>
      <c r="AA41" s="18" t="s">
        <v>84</v>
      </c>
      <c r="AC41" s="14" t="s">
        <v>722</v>
      </c>
      <c r="AD41" s="14" t="s">
        <v>599</v>
      </c>
      <c r="AF41" s="14" t="s">
        <v>780</v>
      </c>
    </row>
    <row r="42" spans="1:32">
      <c r="A42" t="s">
        <v>45</v>
      </c>
      <c r="B42" t="s">
        <v>48</v>
      </c>
      <c r="F42" s="14" t="s">
        <v>119</v>
      </c>
      <c r="H42" s="17">
        <v>2064</v>
      </c>
      <c r="J42" s="17" t="s">
        <v>668</v>
      </c>
      <c r="K42" s="26">
        <v>4.2</v>
      </c>
      <c r="Q42" s="14" t="s">
        <v>443</v>
      </c>
      <c r="R42" s="15" t="s">
        <v>233</v>
      </c>
      <c r="T42" s="14" t="s">
        <v>28</v>
      </c>
      <c r="U42" s="18" t="s">
        <v>389</v>
      </c>
      <c r="V42" s="19"/>
      <c r="W42" s="19" t="s">
        <v>473</v>
      </c>
      <c r="X42" s="19"/>
      <c r="Y42" s="17"/>
      <c r="Z42" s="14" t="s">
        <v>435</v>
      </c>
      <c r="AA42" s="18" t="s">
        <v>101</v>
      </c>
      <c r="AC42" s="14" t="s">
        <v>723</v>
      </c>
      <c r="AD42" s="14" t="s">
        <v>599</v>
      </c>
      <c r="AF42" s="14" t="s">
        <v>758</v>
      </c>
    </row>
    <row r="43" spans="1:32">
      <c r="A43" t="s">
        <v>64</v>
      </c>
      <c r="B43" t="s">
        <v>48</v>
      </c>
      <c r="F43" s="14" t="s">
        <v>120</v>
      </c>
      <c r="H43" s="17">
        <v>2065</v>
      </c>
      <c r="J43" s="17" t="s">
        <v>668</v>
      </c>
      <c r="K43" s="14" t="s">
        <v>626</v>
      </c>
      <c r="Q43" s="14" t="s">
        <v>443</v>
      </c>
      <c r="R43" s="15" t="s">
        <v>234</v>
      </c>
      <c r="T43" s="14" t="s">
        <v>129</v>
      </c>
      <c r="U43" s="19" t="s">
        <v>474</v>
      </c>
      <c r="V43" s="19"/>
      <c r="W43" s="19" t="s">
        <v>475</v>
      </c>
      <c r="X43" s="19"/>
      <c r="Y43" s="17"/>
      <c r="Z43" s="14" t="s">
        <v>435</v>
      </c>
      <c r="AA43" s="18" t="s">
        <v>95</v>
      </c>
      <c r="AC43" s="14" t="s">
        <v>724</v>
      </c>
      <c r="AD43" s="14" t="s">
        <v>599</v>
      </c>
      <c r="AF43" s="14" t="s">
        <v>725</v>
      </c>
    </row>
    <row r="44" spans="1:32">
      <c r="A44" t="s">
        <v>80</v>
      </c>
      <c r="B44" t="s">
        <v>48</v>
      </c>
      <c r="F44" s="14" t="s">
        <v>121</v>
      </c>
      <c r="H44" s="17">
        <v>2066</v>
      </c>
      <c r="J44" s="17" t="s">
        <v>669</v>
      </c>
      <c r="K44" s="26">
        <v>1.1000000000000001</v>
      </c>
      <c r="Q44" s="14" t="s">
        <v>443</v>
      </c>
      <c r="R44" s="15" t="s">
        <v>235</v>
      </c>
      <c r="T44" s="14" t="s">
        <v>129</v>
      </c>
      <c r="U44" s="19" t="s">
        <v>476</v>
      </c>
      <c r="V44" s="19"/>
      <c r="W44" s="19" t="s">
        <v>477</v>
      </c>
      <c r="X44" s="19"/>
      <c r="Y44" s="17"/>
      <c r="Z44" s="14" t="s">
        <v>435</v>
      </c>
      <c r="AA44" s="18" t="s">
        <v>478</v>
      </c>
      <c r="AC44" s="14" t="s">
        <v>725</v>
      </c>
      <c r="AD44" s="14" t="s">
        <v>599</v>
      </c>
      <c r="AF44" s="14" t="s">
        <v>760</v>
      </c>
    </row>
    <row r="45" spans="1:32">
      <c r="A45" t="s">
        <v>154</v>
      </c>
      <c r="B45" t="s">
        <v>48</v>
      </c>
      <c r="F45" s="14" t="s">
        <v>122</v>
      </c>
      <c r="H45" s="17">
        <v>2067</v>
      </c>
      <c r="J45" s="17" t="s">
        <v>669</v>
      </c>
      <c r="K45" s="26">
        <v>1.2</v>
      </c>
      <c r="Q45" s="14" t="s">
        <v>443</v>
      </c>
      <c r="R45" s="15" t="s">
        <v>241</v>
      </c>
      <c r="T45" s="14" t="s">
        <v>129</v>
      </c>
      <c r="U45" s="19" t="s">
        <v>479</v>
      </c>
      <c r="V45" s="19"/>
      <c r="W45" s="19" t="s">
        <v>480</v>
      </c>
      <c r="X45" s="19"/>
      <c r="Y45" s="17"/>
      <c r="Z45" s="14" t="s">
        <v>435</v>
      </c>
      <c r="AA45" s="18" t="s">
        <v>97</v>
      </c>
      <c r="AC45" s="14" t="s">
        <v>726</v>
      </c>
      <c r="AD45" s="14" t="s">
        <v>599</v>
      </c>
      <c r="AF45" s="14" t="s">
        <v>750</v>
      </c>
    </row>
    <row r="46" spans="1:32">
      <c r="A46" t="s">
        <v>150</v>
      </c>
      <c r="B46" t="s">
        <v>48</v>
      </c>
      <c r="F46" s="14" t="s">
        <v>123</v>
      </c>
      <c r="H46" s="17">
        <v>2068</v>
      </c>
      <c r="J46" s="17" t="s">
        <v>669</v>
      </c>
      <c r="K46" s="26">
        <v>1.3</v>
      </c>
      <c r="Q46" s="14" t="s">
        <v>443</v>
      </c>
      <c r="R46" s="15" t="s">
        <v>242</v>
      </c>
      <c r="T46" s="14" t="s">
        <v>86</v>
      </c>
      <c r="U46" s="19" t="s">
        <v>481</v>
      </c>
      <c r="V46" s="19"/>
      <c r="W46" s="19" t="s">
        <v>482</v>
      </c>
      <c r="X46" s="19"/>
      <c r="Y46" s="17"/>
      <c r="Z46" s="14" t="s">
        <v>435</v>
      </c>
      <c r="AA46" s="18" t="s">
        <v>447</v>
      </c>
      <c r="AC46" s="14" t="s">
        <v>727</v>
      </c>
      <c r="AD46" s="14" t="s">
        <v>599</v>
      </c>
      <c r="AF46" s="14" t="s">
        <v>751</v>
      </c>
    </row>
    <row r="47" spans="1:32">
      <c r="A47" t="s">
        <v>147</v>
      </c>
      <c r="B47" t="s">
        <v>48</v>
      </c>
      <c r="F47" s="14" t="s">
        <v>124</v>
      </c>
      <c r="H47" s="17">
        <v>2069</v>
      </c>
      <c r="J47" s="17" t="s">
        <v>669</v>
      </c>
      <c r="K47" s="26">
        <v>1.4</v>
      </c>
      <c r="Q47" s="14" t="s">
        <v>407</v>
      </c>
      <c r="R47" s="15" t="s">
        <v>327</v>
      </c>
      <c r="T47" s="14" t="s">
        <v>86</v>
      </c>
      <c r="U47" s="19" t="s">
        <v>483</v>
      </c>
      <c r="V47" s="19"/>
      <c r="W47" s="19" t="s">
        <v>397</v>
      </c>
      <c r="X47" s="19"/>
      <c r="Y47" s="17"/>
      <c r="Z47" s="14" t="s">
        <v>435</v>
      </c>
      <c r="AA47" s="18" t="s">
        <v>456</v>
      </c>
      <c r="AC47" s="14" t="s">
        <v>728</v>
      </c>
      <c r="AD47" s="14" t="s">
        <v>599</v>
      </c>
      <c r="AF47" s="14" t="s">
        <v>776</v>
      </c>
    </row>
    <row r="48" spans="1:32">
      <c r="A48" t="s">
        <v>146</v>
      </c>
      <c r="B48" t="s">
        <v>48</v>
      </c>
      <c r="F48" s="14" t="s">
        <v>125</v>
      </c>
      <c r="H48" s="17">
        <v>2070</v>
      </c>
      <c r="J48" s="17" t="s">
        <v>670</v>
      </c>
      <c r="K48" s="26">
        <v>1.1000000000000001</v>
      </c>
      <c r="Q48" s="14" t="s">
        <v>407</v>
      </c>
      <c r="R48" s="15" t="s">
        <v>328</v>
      </c>
      <c r="T48" s="14" t="s">
        <v>160</v>
      </c>
      <c r="U48" s="19" t="s">
        <v>484</v>
      </c>
      <c r="V48" s="19"/>
      <c r="W48" s="19" t="s">
        <v>485</v>
      </c>
      <c r="X48" s="19"/>
      <c r="Y48" s="17"/>
      <c r="Z48" s="14" t="s">
        <v>435</v>
      </c>
      <c r="AA48" s="18" t="s">
        <v>486</v>
      </c>
      <c r="AC48" s="14" t="s">
        <v>729</v>
      </c>
      <c r="AD48" s="14" t="s">
        <v>712</v>
      </c>
      <c r="AF48" s="14" t="s">
        <v>742</v>
      </c>
    </row>
    <row r="49" spans="1:32">
      <c r="A49" t="s">
        <v>135</v>
      </c>
      <c r="B49" t="s">
        <v>48</v>
      </c>
      <c r="F49" s="14" t="s">
        <v>126</v>
      </c>
      <c r="H49" s="17">
        <v>2071</v>
      </c>
      <c r="J49" s="17" t="s">
        <v>670</v>
      </c>
      <c r="K49" s="26">
        <v>1.2</v>
      </c>
      <c r="Q49" s="14" t="s">
        <v>407</v>
      </c>
      <c r="R49" s="15" t="s">
        <v>329</v>
      </c>
      <c r="T49" s="14" t="s">
        <v>160</v>
      </c>
      <c r="U49" s="19" t="s">
        <v>487</v>
      </c>
      <c r="V49" s="19"/>
      <c r="W49" s="19" t="s">
        <v>488</v>
      </c>
      <c r="X49" s="19"/>
      <c r="Y49" s="17"/>
      <c r="Z49" s="14" t="s">
        <v>435</v>
      </c>
      <c r="AA49" s="18" t="s">
        <v>489</v>
      </c>
      <c r="AC49" s="14" t="s">
        <v>730</v>
      </c>
      <c r="AD49" s="14" t="s">
        <v>712</v>
      </c>
      <c r="AF49" s="14" t="s">
        <v>791</v>
      </c>
    </row>
    <row r="50" spans="1:32">
      <c r="A50" t="s">
        <v>102</v>
      </c>
      <c r="B50" t="s">
        <v>48</v>
      </c>
      <c r="F50" s="14" t="s">
        <v>127</v>
      </c>
      <c r="H50" s="17">
        <v>2072</v>
      </c>
      <c r="J50" s="17" t="s">
        <v>670</v>
      </c>
      <c r="K50" s="26">
        <v>1.3</v>
      </c>
      <c r="Q50" s="14" t="s">
        <v>407</v>
      </c>
      <c r="R50" s="15" t="s">
        <v>330</v>
      </c>
      <c r="T50" s="14" t="s">
        <v>83</v>
      </c>
      <c r="U50" s="19" t="s">
        <v>36</v>
      </c>
      <c r="V50" s="19"/>
      <c r="W50" s="19" t="s">
        <v>490</v>
      </c>
      <c r="X50" s="19"/>
      <c r="Y50" s="17"/>
      <c r="Z50" s="14" t="s">
        <v>435</v>
      </c>
      <c r="AA50" s="18" t="s">
        <v>491</v>
      </c>
      <c r="AC50" s="14" t="s">
        <v>731</v>
      </c>
      <c r="AD50" s="14" t="s">
        <v>712</v>
      </c>
      <c r="AF50" s="14" t="s">
        <v>736</v>
      </c>
    </row>
    <row r="51" spans="1:32">
      <c r="A51" t="s">
        <v>99</v>
      </c>
      <c r="B51" t="s">
        <v>48</v>
      </c>
      <c r="F51" s="14" t="s">
        <v>128</v>
      </c>
      <c r="H51" s="17">
        <v>2073</v>
      </c>
      <c r="Q51" s="14" t="s">
        <v>407</v>
      </c>
      <c r="R51" s="15" t="s">
        <v>331</v>
      </c>
      <c r="T51" s="14" t="s">
        <v>119</v>
      </c>
      <c r="U51" s="19" t="s">
        <v>492</v>
      </c>
      <c r="V51" s="19"/>
      <c r="W51" s="19" t="s">
        <v>493</v>
      </c>
      <c r="X51" s="19"/>
      <c r="Y51" s="17"/>
      <c r="Z51" s="14" t="s">
        <v>435</v>
      </c>
      <c r="AA51" s="18" t="s">
        <v>110</v>
      </c>
      <c r="AC51" s="14" t="s">
        <v>732</v>
      </c>
      <c r="AD51" s="14" t="s">
        <v>712</v>
      </c>
      <c r="AF51" s="14" t="s">
        <v>775</v>
      </c>
    </row>
    <row r="52" spans="1:32">
      <c r="A52" t="s">
        <v>91</v>
      </c>
      <c r="B52" t="s">
        <v>48</v>
      </c>
      <c r="F52" s="14" t="s">
        <v>129</v>
      </c>
      <c r="H52" s="17">
        <v>2074</v>
      </c>
      <c r="Q52" s="14" t="s">
        <v>407</v>
      </c>
      <c r="R52" s="15" t="s">
        <v>332</v>
      </c>
      <c r="T52" s="14" t="s">
        <v>119</v>
      </c>
      <c r="U52" s="19" t="s">
        <v>494</v>
      </c>
      <c r="V52" s="19"/>
      <c r="W52" s="19" t="s">
        <v>495</v>
      </c>
      <c r="X52" s="19"/>
      <c r="Y52" s="17"/>
      <c r="Z52" s="14" t="s">
        <v>435</v>
      </c>
      <c r="AA52" s="18" t="s">
        <v>428</v>
      </c>
      <c r="AC52" s="14" t="s">
        <v>733</v>
      </c>
      <c r="AD52" s="14" t="s">
        <v>599</v>
      </c>
      <c r="AF52" s="14" t="s">
        <v>701</v>
      </c>
    </row>
    <row r="53" spans="1:32">
      <c r="A53" t="s">
        <v>93</v>
      </c>
      <c r="B53" t="s">
        <v>48</v>
      </c>
      <c r="F53" s="14" t="s">
        <v>130</v>
      </c>
      <c r="H53" s="17">
        <v>2075</v>
      </c>
      <c r="Q53" s="14" t="s">
        <v>407</v>
      </c>
      <c r="R53" s="15" t="s">
        <v>333</v>
      </c>
      <c r="T53" s="14" t="s">
        <v>119</v>
      </c>
      <c r="U53" s="19" t="s">
        <v>496</v>
      </c>
      <c r="V53" s="19"/>
      <c r="W53" s="19" t="s">
        <v>497</v>
      </c>
      <c r="X53" s="19"/>
      <c r="Y53" s="17"/>
      <c r="Z53" s="14" t="s">
        <v>435</v>
      </c>
      <c r="AA53" s="18" t="s">
        <v>498</v>
      </c>
      <c r="AC53" s="14" t="s">
        <v>734</v>
      </c>
      <c r="AD53" s="14" t="s">
        <v>735</v>
      </c>
      <c r="AF53" s="14" t="s">
        <v>703</v>
      </c>
    </row>
    <row r="54" spans="1:32">
      <c r="A54" t="s">
        <v>103</v>
      </c>
      <c r="B54" t="s">
        <v>48</v>
      </c>
      <c r="F54" s="14" t="s">
        <v>132</v>
      </c>
      <c r="H54" s="17">
        <v>2076</v>
      </c>
      <c r="Q54" s="14" t="s">
        <v>407</v>
      </c>
      <c r="R54" s="15" t="s">
        <v>334</v>
      </c>
      <c r="T54" s="14" t="s">
        <v>119</v>
      </c>
      <c r="U54" s="19" t="s">
        <v>499</v>
      </c>
      <c r="V54" s="19"/>
      <c r="W54" s="19" t="s">
        <v>500</v>
      </c>
      <c r="X54" s="19"/>
      <c r="Y54" s="17"/>
      <c r="Z54" s="14" t="s">
        <v>435</v>
      </c>
      <c r="AA54" s="18" t="s">
        <v>501</v>
      </c>
      <c r="AC54" s="14" t="s">
        <v>736</v>
      </c>
      <c r="AD54" s="14" t="s">
        <v>737</v>
      </c>
      <c r="AF54" s="14" t="s">
        <v>784</v>
      </c>
    </row>
    <row r="55" spans="1:32" ht="25.5">
      <c r="A55" t="s">
        <v>108</v>
      </c>
      <c r="B55" t="s">
        <v>48</v>
      </c>
      <c r="F55" s="14" t="s">
        <v>133</v>
      </c>
      <c r="H55" s="17">
        <v>2077</v>
      </c>
      <c r="J55" s="53"/>
      <c r="K55" s="51"/>
      <c r="Q55" s="14" t="s">
        <v>407</v>
      </c>
      <c r="R55" s="15" t="s">
        <v>335</v>
      </c>
      <c r="T55" s="14" t="s">
        <v>124</v>
      </c>
      <c r="U55" s="19" t="s">
        <v>502</v>
      </c>
      <c r="W55" s="14" t="s">
        <v>420</v>
      </c>
      <c r="Y55" s="17"/>
      <c r="Z55" s="14" t="s">
        <v>435</v>
      </c>
      <c r="AA55" s="18" t="s">
        <v>503</v>
      </c>
      <c r="AC55" s="14" t="s">
        <v>738</v>
      </c>
      <c r="AD55" s="14" t="s">
        <v>737</v>
      </c>
      <c r="AF55" s="14" t="s">
        <v>717</v>
      </c>
    </row>
    <row r="56" spans="1:32">
      <c r="A56" t="s">
        <v>115</v>
      </c>
      <c r="B56" t="s">
        <v>48</v>
      </c>
      <c r="F56" s="14" t="s">
        <v>134</v>
      </c>
      <c r="H56" s="17">
        <v>2078</v>
      </c>
      <c r="J56" s="53"/>
      <c r="K56" s="51"/>
      <c r="Q56" s="14" t="s">
        <v>407</v>
      </c>
      <c r="R56" s="15" t="s">
        <v>336</v>
      </c>
      <c r="T56" s="14" t="s">
        <v>124</v>
      </c>
      <c r="U56" s="19" t="s">
        <v>504</v>
      </c>
      <c r="W56" s="14" t="s">
        <v>505</v>
      </c>
      <c r="Y56" s="17"/>
      <c r="Z56" s="14" t="s">
        <v>439</v>
      </c>
      <c r="AA56" s="18" t="s">
        <v>409</v>
      </c>
      <c r="AC56" s="14" t="s">
        <v>739</v>
      </c>
      <c r="AD56" s="14" t="s">
        <v>599</v>
      </c>
      <c r="AF56" s="14" t="s">
        <v>777</v>
      </c>
    </row>
    <row r="57" spans="1:32">
      <c r="A57" t="s">
        <v>118</v>
      </c>
      <c r="B57" t="s">
        <v>48</v>
      </c>
      <c r="F57" s="14" t="s">
        <v>135</v>
      </c>
      <c r="H57" s="17">
        <v>2079</v>
      </c>
      <c r="J57" s="53"/>
      <c r="K57" s="51"/>
      <c r="Q57" s="14" t="s">
        <v>407</v>
      </c>
      <c r="R57" s="15" t="s">
        <v>337</v>
      </c>
      <c r="T57" s="14" t="s">
        <v>124</v>
      </c>
      <c r="U57" s="19" t="s">
        <v>506</v>
      </c>
      <c r="W57" s="14" t="s">
        <v>507</v>
      </c>
      <c r="Y57" s="17"/>
      <c r="Z57" s="14" t="s">
        <v>442</v>
      </c>
      <c r="AA57" s="18" t="s">
        <v>107</v>
      </c>
      <c r="AC57" s="14" t="s">
        <v>740</v>
      </c>
      <c r="AD57" s="14" t="s">
        <v>599</v>
      </c>
      <c r="AF57" s="14" t="s">
        <v>748</v>
      </c>
    </row>
    <row r="58" spans="1:32">
      <c r="A58" t="s">
        <v>136</v>
      </c>
      <c r="B58" t="s">
        <v>48</v>
      </c>
      <c r="F58" s="14" t="s">
        <v>136</v>
      </c>
      <c r="H58" s="17">
        <v>2080</v>
      </c>
      <c r="J58" s="53"/>
      <c r="K58" s="51"/>
      <c r="Q58" s="14" t="s">
        <v>407</v>
      </c>
      <c r="R58" s="15" t="s">
        <v>338</v>
      </c>
      <c r="T58" s="14" t="s">
        <v>124</v>
      </c>
      <c r="U58" s="19" t="s">
        <v>508</v>
      </c>
      <c r="W58" s="14" t="s">
        <v>509</v>
      </c>
      <c r="Y58" s="17"/>
      <c r="Z58" s="14" t="s">
        <v>510</v>
      </c>
      <c r="AA58" s="18" t="s">
        <v>511</v>
      </c>
      <c r="AC58" s="14" t="s">
        <v>741</v>
      </c>
      <c r="AD58" s="14" t="s">
        <v>599</v>
      </c>
      <c r="AF58" s="14" t="s">
        <v>770</v>
      </c>
    </row>
    <row r="59" spans="1:32">
      <c r="A59" t="s">
        <v>140</v>
      </c>
      <c r="B59" t="s">
        <v>48</v>
      </c>
      <c r="F59" s="14" t="s">
        <v>137</v>
      </c>
      <c r="H59" s="17">
        <v>2081</v>
      </c>
      <c r="J59" s="53"/>
      <c r="K59" s="51"/>
      <c r="Q59" s="14" t="s">
        <v>407</v>
      </c>
      <c r="R59" s="15" t="s">
        <v>339</v>
      </c>
      <c r="T59" s="14" t="s">
        <v>100</v>
      </c>
      <c r="U59" s="19" t="s">
        <v>481</v>
      </c>
      <c r="W59" s="14" t="s">
        <v>512</v>
      </c>
      <c r="Y59" s="17"/>
      <c r="Z59" s="14" t="s">
        <v>513</v>
      </c>
      <c r="AA59" s="18" t="s">
        <v>514</v>
      </c>
      <c r="AC59" s="14" t="s">
        <v>742</v>
      </c>
      <c r="AD59" s="14" t="s">
        <v>599</v>
      </c>
      <c r="AF59" s="14" t="s">
        <v>793</v>
      </c>
    </row>
    <row r="60" spans="1:32">
      <c r="A60" t="s">
        <v>143</v>
      </c>
      <c r="B60" t="s">
        <v>48</v>
      </c>
      <c r="F60" s="14" t="s">
        <v>139</v>
      </c>
      <c r="H60" s="17">
        <v>2082</v>
      </c>
      <c r="J60" s="53"/>
      <c r="K60" s="51"/>
      <c r="Q60" s="14" t="s">
        <v>407</v>
      </c>
      <c r="R60" s="15" t="s">
        <v>340</v>
      </c>
      <c r="T60" s="14" t="s">
        <v>88</v>
      </c>
      <c r="U60" s="14" t="s">
        <v>92</v>
      </c>
      <c r="W60" s="14" t="s">
        <v>515</v>
      </c>
      <c r="Y60" s="17"/>
      <c r="Z60" s="14" t="s">
        <v>516</v>
      </c>
      <c r="AA60" s="18" t="s">
        <v>514</v>
      </c>
      <c r="AC60" s="14" t="s">
        <v>743</v>
      </c>
      <c r="AD60" s="14" t="s">
        <v>712</v>
      </c>
      <c r="AF60" s="14" t="s">
        <v>778</v>
      </c>
    </row>
    <row r="61" spans="1:32">
      <c r="A61" t="s">
        <v>145</v>
      </c>
      <c r="B61" t="s">
        <v>48</v>
      </c>
      <c r="F61" s="14" t="s">
        <v>140</v>
      </c>
      <c r="H61" s="17">
        <v>2083</v>
      </c>
      <c r="J61" s="53"/>
      <c r="K61" s="51"/>
      <c r="Q61" s="14" t="s">
        <v>407</v>
      </c>
      <c r="R61" s="15" t="s">
        <v>341</v>
      </c>
      <c r="T61" s="14" t="s">
        <v>156</v>
      </c>
      <c r="U61" s="14" t="s">
        <v>36</v>
      </c>
      <c r="W61" s="14" t="s">
        <v>517</v>
      </c>
      <c r="Y61" s="17"/>
      <c r="Z61" s="14" t="s">
        <v>518</v>
      </c>
      <c r="AA61" s="18" t="s">
        <v>519</v>
      </c>
      <c r="AC61" s="14" t="s">
        <v>744</v>
      </c>
      <c r="AD61" s="14" t="s">
        <v>712</v>
      </c>
      <c r="AF61" s="14" t="s">
        <v>722</v>
      </c>
    </row>
    <row r="62" spans="1:32">
      <c r="A62" t="s">
        <v>155</v>
      </c>
      <c r="B62" t="s">
        <v>48</v>
      </c>
      <c r="F62" s="14" t="s">
        <v>141</v>
      </c>
      <c r="H62" s="17">
        <v>2084</v>
      </c>
      <c r="J62" s="53"/>
      <c r="K62" s="51"/>
      <c r="Q62" s="14" t="s">
        <v>405</v>
      </c>
      <c r="R62" s="15" t="s">
        <v>342</v>
      </c>
      <c r="T62" s="14" t="s">
        <v>156</v>
      </c>
      <c r="U62" s="14" t="s">
        <v>92</v>
      </c>
      <c r="W62" s="14" t="s">
        <v>520</v>
      </c>
      <c r="Y62" s="17"/>
      <c r="Z62" s="14" t="s">
        <v>521</v>
      </c>
      <c r="AA62" s="18" t="s">
        <v>522</v>
      </c>
      <c r="AC62" s="14" t="s">
        <v>745</v>
      </c>
      <c r="AD62" s="14" t="s">
        <v>712</v>
      </c>
      <c r="AF62" s="14" t="s">
        <v>762</v>
      </c>
    </row>
    <row r="63" spans="1:32" ht="25.5">
      <c r="A63" t="s">
        <v>159</v>
      </c>
      <c r="B63" t="s">
        <v>48</v>
      </c>
      <c r="F63" s="14" t="s">
        <v>142</v>
      </c>
      <c r="H63" s="17">
        <v>2085</v>
      </c>
      <c r="J63" s="51"/>
      <c r="K63" s="51"/>
      <c r="Q63" s="14" t="s">
        <v>405</v>
      </c>
      <c r="R63" s="15" t="s">
        <v>343</v>
      </c>
      <c r="T63" s="14" t="s">
        <v>72</v>
      </c>
      <c r="U63" s="14" t="s">
        <v>36</v>
      </c>
      <c r="W63" s="14" t="s">
        <v>523</v>
      </c>
      <c r="Y63" s="17"/>
      <c r="Z63" s="14" t="s">
        <v>477</v>
      </c>
      <c r="AA63" s="18" t="s">
        <v>163</v>
      </c>
      <c r="AC63" s="14" t="s">
        <v>746</v>
      </c>
      <c r="AD63" s="14" t="s">
        <v>712</v>
      </c>
      <c r="AF63" s="14" t="s">
        <v>724</v>
      </c>
    </row>
    <row r="64" spans="1:32" ht="25.5">
      <c r="A64" t="s">
        <v>128</v>
      </c>
      <c r="B64" t="s">
        <v>48</v>
      </c>
      <c r="F64" s="14" t="s">
        <v>143</v>
      </c>
      <c r="H64" s="17">
        <v>2086</v>
      </c>
      <c r="J64" s="51"/>
      <c r="K64" s="52"/>
      <c r="Q64" s="14" t="s">
        <v>405</v>
      </c>
      <c r="R64" s="15" t="s">
        <v>344</v>
      </c>
      <c r="T64" s="14" t="s">
        <v>106</v>
      </c>
      <c r="U64" s="14" t="s">
        <v>36</v>
      </c>
      <c r="W64" s="14" t="s">
        <v>524</v>
      </c>
      <c r="Y64" s="17"/>
      <c r="Z64" s="14" t="s">
        <v>482</v>
      </c>
      <c r="AA64" s="18" t="s">
        <v>525</v>
      </c>
      <c r="AC64" s="14" t="s">
        <v>747</v>
      </c>
      <c r="AD64" s="14" t="s">
        <v>599</v>
      </c>
      <c r="AF64" s="14" t="s">
        <v>702</v>
      </c>
    </row>
    <row r="65" spans="1:32" ht="25.5">
      <c r="A65" t="s">
        <v>109</v>
      </c>
      <c r="B65" t="s">
        <v>48</v>
      </c>
      <c r="F65" s="14" t="s">
        <v>144</v>
      </c>
      <c r="H65" s="17">
        <v>2087</v>
      </c>
      <c r="J65" s="51"/>
      <c r="K65" s="52"/>
      <c r="Q65" s="14" t="s">
        <v>405</v>
      </c>
      <c r="R65" s="15" t="s">
        <v>345</v>
      </c>
      <c r="T65" s="14" t="s">
        <v>75</v>
      </c>
      <c r="U65" s="14" t="s">
        <v>36</v>
      </c>
      <c r="W65" s="14" t="s">
        <v>422</v>
      </c>
      <c r="Y65" s="17"/>
      <c r="Z65" s="14" t="s">
        <v>480</v>
      </c>
      <c r="AA65" s="18" t="s">
        <v>526</v>
      </c>
      <c r="AC65" s="14" t="s">
        <v>748</v>
      </c>
      <c r="AD65" s="14" t="s">
        <v>599</v>
      </c>
      <c r="AF65" s="14" t="s">
        <v>785</v>
      </c>
    </row>
    <row r="66" spans="1:32">
      <c r="A66" t="s">
        <v>125</v>
      </c>
      <c r="B66" t="s">
        <v>48</v>
      </c>
      <c r="F66" s="14" t="s">
        <v>145</v>
      </c>
      <c r="H66" s="17">
        <v>2088</v>
      </c>
      <c r="J66" s="51"/>
      <c r="K66" s="52"/>
      <c r="Q66" s="14" t="s">
        <v>405</v>
      </c>
      <c r="R66" s="15" t="s">
        <v>346</v>
      </c>
      <c r="T66" s="14" t="s">
        <v>144</v>
      </c>
      <c r="U66" s="14" t="s">
        <v>36</v>
      </c>
      <c r="W66" s="14" t="s">
        <v>527</v>
      </c>
      <c r="Y66" s="17"/>
      <c r="Z66" s="14" t="s">
        <v>433</v>
      </c>
      <c r="AA66" s="18" t="s">
        <v>447</v>
      </c>
      <c r="AC66" s="14" t="s">
        <v>749</v>
      </c>
      <c r="AD66" s="14" t="s">
        <v>737</v>
      </c>
      <c r="AF66" s="14" t="s">
        <v>796</v>
      </c>
    </row>
    <row r="67" spans="1:32">
      <c r="A67" t="s">
        <v>122</v>
      </c>
      <c r="B67" t="s">
        <v>48</v>
      </c>
      <c r="F67" s="14" t="s">
        <v>146</v>
      </c>
      <c r="H67" s="17">
        <v>2089</v>
      </c>
      <c r="J67" s="51"/>
      <c r="K67" s="52"/>
      <c r="Q67" s="14" t="s">
        <v>405</v>
      </c>
      <c r="R67" s="15" t="s">
        <v>347</v>
      </c>
      <c r="T67" s="14" t="s">
        <v>68</v>
      </c>
      <c r="U67" s="14" t="s">
        <v>389</v>
      </c>
      <c r="W67" s="14" t="s">
        <v>528</v>
      </c>
      <c r="Y67" s="17"/>
      <c r="Z67" s="14" t="s">
        <v>433</v>
      </c>
      <c r="AA67" s="18" t="s">
        <v>428</v>
      </c>
      <c r="AC67" s="14" t="s">
        <v>750</v>
      </c>
      <c r="AD67" s="14" t="s">
        <v>599</v>
      </c>
      <c r="AF67" s="14" t="s">
        <v>757</v>
      </c>
    </row>
    <row r="68" spans="1:32">
      <c r="A68" t="s">
        <v>127</v>
      </c>
      <c r="B68" t="s">
        <v>48</v>
      </c>
      <c r="F68" s="14" t="s">
        <v>147</v>
      </c>
      <c r="H68" s="17">
        <v>2090</v>
      </c>
      <c r="J68" s="51"/>
      <c r="K68" s="52"/>
      <c r="Q68" s="14" t="s">
        <v>405</v>
      </c>
      <c r="R68" s="15" t="s">
        <v>348</v>
      </c>
      <c r="T68" s="14" t="s">
        <v>94</v>
      </c>
      <c r="U68" s="14" t="s">
        <v>529</v>
      </c>
      <c r="W68" s="14" t="s">
        <v>414</v>
      </c>
      <c r="Y68" s="17"/>
      <c r="Z68" s="14" t="s">
        <v>433</v>
      </c>
      <c r="AA68" s="18" t="s">
        <v>498</v>
      </c>
      <c r="AC68" s="14" t="s">
        <v>751</v>
      </c>
      <c r="AD68" s="14" t="s">
        <v>599</v>
      </c>
      <c r="AF68" s="14" t="s">
        <v>743</v>
      </c>
    </row>
    <row r="69" spans="1:32">
      <c r="A69" t="s">
        <v>77</v>
      </c>
      <c r="B69" t="s">
        <v>48</v>
      </c>
      <c r="F69" s="14" t="s">
        <v>148</v>
      </c>
      <c r="H69" s="17">
        <v>2091</v>
      </c>
      <c r="J69" s="51"/>
      <c r="K69" s="52"/>
      <c r="Q69" s="14" t="s">
        <v>405</v>
      </c>
      <c r="R69" s="15" t="s">
        <v>349</v>
      </c>
      <c r="T69" s="14" t="s">
        <v>157</v>
      </c>
      <c r="U69" s="14" t="s">
        <v>529</v>
      </c>
      <c r="W69" s="14" t="s">
        <v>464</v>
      </c>
      <c r="Y69" s="17"/>
      <c r="Z69" s="14" t="s">
        <v>432</v>
      </c>
      <c r="AA69" s="18" t="s">
        <v>84</v>
      </c>
      <c r="AC69" s="14" t="s">
        <v>752</v>
      </c>
      <c r="AD69" s="14" t="s">
        <v>753</v>
      </c>
      <c r="AF69" s="14" t="s">
        <v>714</v>
      </c>
    </row>
    <row r="70" spans="1:32">
      <c r="A70" t="s">
        <v>134</v>
      </c>
      <c r="B70" t="s">
        <v>48</v>
      </c>
      <c r="F70" s="14" t="s">
        <v>149</v>
      </c>
      <c r="H70" s="17">
        <v>2092</v>
      </c>
      <c r="Q70" s="14" t="s">
        <v>405</v>
      </c>
      <c r="R70" s="15" t="s">
        <v>350</v>
      </c>
      <c r="T70" s="14" t="s">
        <v>104</v>
      </c>
      <c r="U70" s="14" t="s">
        <v>530</v>
      </c>
      <c r="W70" s="14" t="s">
        <v>417</v>
      </c>
      <c r="Y70" s="17"/>
      <c r="Z70" s="14" t="s">
        <v>432</v>
      </c>
      <c r="AA70" s="18" t="s">
        <v>101</v>
      </c>
      <c r="AC70" s="14" t="s">
        <v>754</v>
      </c>
      <c r="AD70" s="14" t="s">
        <v>599</v>
      </c>
      <c r="AF70" s="14" t="s">
        <v>731</v>
      </c>
    </row>
    <row r="71" spans="1:32">
      <c r="A71" t="s">
        <v>104</v>
      </c>
      <c r="B71" t="s">
        <v>74</v>
      </c>
      <c r="F71" s="14" t="s">
        <v>150</v>
      </c>
      <c r="H71" s="17">
        <v>2093</v>
      </c>
      <c r="Q71" s="14" t="s">
        <v>405</v>
      </c>
      <c r="R71" s="15" t="s">
        <v>351</v>
      </c>
      <c r="T71" s="14" t="s">
        <v>105</v>
      </c>
      <c r="U71" s="14" t="s">
        <v>531</v>
      </c>
      <c r="W71" s="14" t="s">
        <v>532</v>
      </c>
      <c r="Y71" s="17"/>
      <c r="Z71" s="14" t="s">
        <v>432</v>
      </c>
      <c r="AA71" s="18" t="s">
        <v>95</v>
      </c>
      <c r="AC71" s="14" t="s">
        <v>755</v>
      </c>
      <c r="AD71" s="14" t="s">
        <v>599</v>
      </c>
      <c r="AF71" s="14" t="s">
        <v>798</v>
      </c>
    </row>
    <row r="72" spans="1:32">
      <c r="A72" t="s">
        <v>158</v>
      </c>
      <c r="B72" t="s">
        <v>74</v>
      </c>
      <c r="F72" s="14" t="s">
        <v>151</v>
      </c>
      <c r="H72" s="17">
        <v>2094</v>
      </c>
      <c r="Q72" s="14" t="s">
        <v>405</v>
      </c>
      <c r="R72" s="15" t="s">
        <v>352</v>
      </c>
      <c r="T72" s="14" t="s">
        <v>49</v>
      </c>
      <c r="U72" s="14" t="s">
        <v>533</v>
      </c>
      <c r="W72" s="14" t="s">
        <v>534</v>
      </c>
      <c r="Y72" s="17"/>
      <c r="Z72" s="14" t="s">
        <v>432</v>
      </c>
      <c r="AA72" s="18" t="s">
        <v>97</v>
      </c>
      <c r="AC72" s="14" t="s">
        <v>756</v>
      </c>
      <c r="AD72" s="14" t="s">
        <v>737</v>
      </c>
      <c r="AF72" s="14" t="s">
        <v>799</v>
      </c>
    </row>
    <row r="73" spans="1:32">
      <c r="A73" t="s">
        <v>105</v>
      </c>
      <c r="B73" t="s">
        <v>44</v>
      </c>
      <c r="F73" s="14" t="s">
        <v>152</v>
      </c>
      <c r="H73" s="17">
        <v>2095</v>
      </c>
      <c r="Q73" s="14" t="s">
        <v>405</v>
      </c>
      <c r="R73" s="15" t="s">
        <v>353</v>
      </c>
      <c r="T73" s="14" t="s">
        <v>56</v>
      </c>
      <c r="U73" s="14" t="s">
        <v>502</v>
      </c>
      <c r="W73" s="14" t="s">
        <v>535</v>
      </c>
      <c r="Y73" s="17"/>
      <c r="Z73" s="14" t="s">
        <v>432</v>
      </c>
      <c r="AA73" s="18" t="s">
        <v>409</v>
      </c>
      <c r="AC73" s="14" t="s">
        <v>757</v>
      </c>
      <c r="AD73" s="14" t="s">
        <v>599</v>
      </c>
      <c r="AF73" s="14" t="s">
        <v>756</v>
      </c>
    </row>
    <row r="74" spans="1:32">
      <c r="A74" t="s">
        <v>49</v>
      </c>
      <c r="B74" t="s">
        <v>79</v>
      </c>
      <c r="F74" s="14" t="s">
        <v>153</v>
      </c>
      <c r="H74" s="17">
        <v>2096</v>
      </c>
      <c r="Q74" s="14" t="s">
        <v>405</v>
      </c>
      <c r="R74" s="15" t="s">
        <v>354</v>
      </c>
      <c r="T74" s="14" t="s">
        <v>142</v>
      </c>
      <c r="U74" s="14" t="s">
        <v>536</v>
      </c>
      <c r="W74" s="14" t="s">
        <v>537</v>
      </c>
      <c r="Y74" s="17"/>
      <c r="Z74" s="14" t="s">
        <v>432</v>
      </c>
      <c r="AA74" s="18" t="s">
        <v>107</v>
      </c>
      <c r="AC74" s="14" t="s">
        <v>758</v>
      </c>
      <c r="AD74" s="14" t="s">
        <v>599</v>
      </c>
      <c r="AF74" s="14" t="s">
        <v>761</v>
      </c>
    </row>
    <row r="75" spans="1:32" ht="25.5">
      <c r="A75" t="s">
        <v>86</v>
      </c>
      <c r="B75" t="s">
        <v>79</v>
      </c>
      <c r="F75" s="14" t="s">
        <v>154</v>
      </c>
      <c r="H75" s="17">
        <v>2097</v>
      </c>
      <c r="Q75" s="14" t="s">
        <v>405</v>
      </c>
      <c r="R75" s="15" t="s">
        <v>355</v>
      </c>
      <c r="T75" s="14" t="s">
        <v>142</v>
      </c>
      <c r="U75" s="14" t="s">
        <v>538</v>
      </c>
      <c r="W75" s="14" t="s">
        <v>539</v>
      </c>
      <c r="Y75" s="17"/>
      <c r="Z75" s="14" t="s">
        <v>432</v>
      </c>
      <c r="AA75" s="18" t="s">
        <v>110</v>
      </c>
      <c r="AC75" s="14" t="s">
        <v>759</v>
      </c>
      <c r="AD75" s="14" t="s">
        <v>599</v>
      </c>
      <c r="AF75" s="14" t="s">
        <v>801</v>
      </c>
    </row>
    <row r="76" spans="1:32">
      <c r="A76" t="s">
        <v>160</v>
      </c>
      <c r="B76" t="s">
        <v>672</v>
      </c>
      <c r="F76" s="14" t="s">
        <v>155</v>
      </c>
      <c r="H76" s="17">
        <v>2098</v>
      </c>
      <c r="Q76" s="14" t="s">
        <v>408</v>
      </c>
      <c r="R76" s="15" t="s">
        <v>356</v>
      </c>
      <c r="T76" s="14" t="s">
        <v>117</v>
      </c>
      <c r="U76" s="14" t="s">
        <v>502</v>
      </c>
      <c r="W76" s="14" t="s">
        <v>540</v>
      </c>
      <c r="Y76" s="17"/>
      <c r="Z76" s="14" t="s">
        <v>434</v>
      </c>
      <c r="AA76" s="18" t="s">
        <v>501</v>
      </c>
      <c r="AC76" s="14" t="s">
        <v>760</v>
      </c>
      <c r="AD76" s="14" t="s">
        <v>599</v>
      </c>
      <c r="AF76" s="14" t="s">
        <v>719</v>
      </c>
    </row>
    <row r="77" spans="1:32" ht="25.5">
      <c r="A77" t="s">
        <v>83</v>
      </c>
      <c r="B77" t="s">
        <v>671</v>
      </c>
      <c r="F77" s="14" t="s">
        <v>156</v>
      </c>
      <c r="H77" s="17">
        <v>2099</v>
      </c>
      <c r="Q77" s="14" t="s">
        <v>408</v>
      </c>
      <c r="R77" s="15" t="s">
        <v>357</v>
      </c>
      <c r="T77" s="14" t="s">
        <v>132</v>
      </c>
      <c r="U77" s="14" t="s">
        <v>502</v>
      </c>
      <c r="W77" s="14" t="s">
        <v>541</v>
      </c>
      <c r="Y77" s="17"/>
      <c r="Z77" s="14" t="s">
        <v>532</v>
      </c>
      <c r="AA77" s="18" t="s">
        <v>35</v>
      </c>
      <c r="AC77" s="14" t="s">
        <v>761</v>
      </c>
      <c r="AD77" s="14" t="s">
        <v>712</v>
      </c>
      <c r="AF77" s="14" t="s">
        <v>720</v>
      </c>
    </row>
    <row r="78" spans="1:32" ht="25.5">
      <c r="A78" t="s">
        <v>100</v>
      </c>
      <c r="B78" t="s">
        <v>26</v>
      </c>
      <c r="F78" s="14" t="s">
        <v>157</v>
      </c>
      <c r="H78" s="17">
        <v>2100</v>
      </c>
      <c r="Q78" s="14" t="s">
        <v>408</v>
      </c>
      <c r="R78" s="15" t="s">
        <v>358</v>
      </c>
      <c r="T78" s="14" t="s">
        <v>137</v>
      </c>
      <c r="U78" s="14" t="s">
        <v>502</v>
      </c>
      <c r="W78" s="14" t="s">
        <v>542</v>
      </c>
      <c r="Y78" s="17"/>
      <c r="Z78" s="14" t="s">
        <v>412</v>
      </c>
      <c r="AA78" s="18" t="s">
        <v>543</v>
      </c>
      <c r="AC78" s="14" t="s">
        <v>762</v>
      </c>
      <c r="AD78" s="14" t="s">
        <v>599</v>
      </c>
      <c r="AF78" s="14" t="s">
        <v>774</v>
      </c>
    </row>
    <row r="79" spans="1:32">
      <c r="A79" t="s">
        <v>119</v>
      </c>
      <c r="B79" t="s">
        <v>26</v>
      </c>
      <c r="F79" s="14" t="s">
        <v>158</v>
      </c>
      <c r="Q79" s="14" t="s">
        <v>410</v>
      </c>
      <c r="R79" s="15" t="s">
        <v>359</v>
      </c>
      <c r="T79" s="14" t="s">
        <v>137</v>
      </c>
      <c r="U79" s="14" t="s">
        <v>504</v>
      </c>
      <c r="W79" s="14" t="s">
        <v>544</v>
      </c>
      <c r="Y79" s="17"/>
      <c r="Z79" s="14" t="s">
        <v>412</v>
      </c>
      <c r="AA79" s="18" t="s">
        <v>545</v>
      </c>
      <c r="AC79" s="14" t="s">
        <v>763</v>
      </c>
      <c r="AD79" s="14" t="s">
        <v>764</v>
      </c>
      <c r="AF79" s="14" t="s">
        <v>783</v>
      </c>
    </row>
    <row r="80" spans="1:32" ht="25.5">
      <c r="A80" t="s">
        <v>124</v>
      </c>
      <c r="B80" t="s">
        <v>26</v>
      </c>
      <c r="F80" s="14" t="s">
        <v>159</v>
      </c>
      <c r="Q80" s="14" t="s">
        <v>464</v>
      </c>
      <c r="R80" s="15" t="s">
        <v>236</v>
      </c>
      <c r="T80" s="14" t="s">
        <v>546</v>
      </c>
      <c r="U80" s="14" t="s">
        <v>479</v>
      </c>
      <c r="W80" s="14" t="s">
        <v>547</v>
      </c>
      <c r="Y80" s="17"/>
      <c r="Z80" s="14" t="s">
        <v>412</v>
      </c>
      <c r="AA80" s="18" t="s">
        <v>548</v>
      </c>
      <c r="AC80" s="14" t="s">
        <v>765</v>
      </c>
      <c r="AD80" s="14" t="s">
        <v>766</v>
      </c>
      <c r="AF80" s="14" t="s">
        <v>767</v>
      </c>
    </row>
    <row r="81" spans="1:32">
      <c r="A81" t="s">
        <v>139</v>
      </c>
      <c r="B81" t="s">
        <v>26</v>
      </c>
      <c r="F81" s="14" t="s">
        <v>160</v>
      </c>
      <c r="Q81" s="14" t="s">
        <v>464</v>
      </c>
      <c r="R81" s="15" t="s">
        <v>237</v>
      </c>
      <c r="W81" s="14" t="s">
        <v>549</v>
      </c>
      <c r="Y81" s="17"/>
      <c r="Z81" s="14" t="s">
        <v>429</v>
      </c>
      <c r="AA81" s="18" t="s">
        <v>84</v>
      </c>
      <c r="AC81" s="14" t="s">
        <v>767</v>
      </c>
      <c r="AD81" s="14" t="s">
        <v>766</v>
      </c>
      <c r="AF81" s="14" t="s">
        <v>765</v>
      </c>
    </row>
    <row r="82" spans="1:32">
      <c r="A82" t="s">
        <v>56</v>
      </c>
      <c r="B82" t="s">
        <v>26</v>
      </c>
      <c r="F82" s="14" t="s">
        <v>161</v>
      </c>
      <c r="Q82" s="14" t="s">
        <v>464</v>
      </c>
      <c r="R82" s="15" t="s">
        <v>238</v>
      </c>
      <c r="W82" s="14" t="s">
        <v>550</v>
      </c>
      <c r="Y82" s="17"/>
      <c r="Z82" s="14" t="s">
        <v>429</v>
      </c>
      <c r="AA82" s="18" t="s">
        <v>101</v>
      </c>
      <c r="AC82" s="14" t="s">
        <v>768</v>
      </c>
      <c r="AD82" s="14" t="s">
        <v>766</v>
      </c>
      <c r="AF82" s="14" t="s">
        <v>768</v>
      </c>
    </row>
    <row r="83" spans="1:32">
      <c r="A83" t="s">
        <v>117</v>
      </c>
      <c r="B83" t="s">
        <v>26</v>
      </c>
      <c r="F83" s="14" t="s">
        <v>162</v>
      </c>
      <c r="Q83" s="14" t="s">
        <v>464</v>
      </c>
      <c r="R83" s="15" t="s">
        <v>239</v>
      </c>
      <c r="W83" s="14" t="s">
        <v>551</v>
      </c>
      <c r="Y83" s="17"/>
      <c r="Z83" s="14" t="s">
        <v>429</v>
      </c>
      <c r="AA83" s="19" t="s">
        <v>95</v>
      </c>
      <c r="AC83" s="14" t="s">
        <v>769</v>
      </c>
      <c r="AD83" s="14" t="s">
        <v>599</v>
      </c>
      <c r="AF83" s="14" t="s">
        <v>745</v>
      </c>
    </row>
    <row r="84" spans="1:32">
      <c r="A84" t="s">
        <v>132</v>
      </c>
      <c r="B84" t="s">
        <v>26</v>
      </c>
      <c r="Q84" s="14" t="s">
        <v>464</v>
      </c>
      <c r="R84" s="15" t="s">
        <v>240</v>
      </c>
      <c r="W84" s="14" t="s">
        <v>552</v>
      </c>
      <c r="Y84" s="17"/>
      <c r="Z84" s="14" t="s">
        <v>429</v>
      </c>
      <c r="AA84" s="19" t="s">
        <v>97</v>
      </c>
      <c r="AC84" s="14" t="s">
        <v>770</v>
      </c>
      <c r="AD84" s="14" t="s">
        <v>771</v>
      </c>
      <c r="AF84" s="14" t="s">
        <v>704</v>
      </c>
    </row>
    <row r="85" spans="1:32" ht="38.25">
      <c r="A85" t="s">
        <v>137</v>
      </c>
      <c r="B85" t="s">
        <v>26</v>
      </c>
      <c r="Q85" s="14" t="s">
        <v>464</v>
      </c>
      <c r="R85" s="15" t="s">
        <v>243</v>
      </c>
      <c r="W85" s="14" t="s">
        <v>553</v>
      </c>
      <c r="Y85" s="17"/>
      <c r="Z85" s="14" t="s">
        <v>429</v>
      </c>
      <c r="AA85" s="19" t="s">
        <v>409</v>
      </c>
      <c r="AC85" s="14" t="s">
        <v>772</v>
      </c>
      <c r="AD85" s="14" t="s">
        <v>599</v>
      </c>
      <c r="AF85" s="14" t="s">
        <v>705</v>
      </c>
    </row>
    <row r="86" spans="1:32">
      <c r="A86" t="s">
        <v>142</v>
      </c>
      <c r="B86" t="s">
        <v>26</v>
      </c>
      <c r="Q86" s="14" t="s">
        <v>464</v>
      </c>
      <c r="R86" s="15" t="s">
        <v>244</v>
      </c>
      <c r="Y86" s="17"/>
      <c r="Z86" s="14" t="s">
        <v>424</v>
      </c>
      <c r="AA86" s="19" t="s">
        <v>84</v>
      </c>
      <c r="AC86" s="14" t="s">
        <v>773</v>
      </c>
      <c r="AD86" s="14" t="s">
        <v>737</v>
      </c>
      <c r="AF86" s="14" t="s">
        <v>769</v>
      </c>
    </row>
    <row r="87" spans="1:32">
      <c r="A87" t="s">
        <v>562</v>
      </c>
      <c r="B87" t="s">
        <v>561</v>
      </c>
      <c r="Q87" s="14" t="s">
        <v>435</v>
      </c>
      <c r="R87" s="15" t="s">
        <v>208</v>
      </c>
      <c r="Y87" s="17"/>
      <c r="Z87" s="14" t="s">
        <v>454</v>
      </c>
      <c r="AA87" s="19" t="s">
        <v>84</v>
      </c>
      <c r="AC87" s="14" t="s">
        <v>712</v>
      </c>
      <c r="AD87" s="14" t="s">
        <v>712</v>
      </c>
      <c r="AF87" s="14" t="s">
        <v>797</v>
      </c>
    </row>
    <row r="88" spans="1:32">
      <c r="A88" t="s">
        <v>563</v>
      </c>
      <c r="B88" t="s">
        <v>561</v>
      </c>
      <c r="Q88" s="14" t="s">
        <v>435</v>
      </c>
      <c r="R88" s="15" t="s">
        <v>209</v>
      </c>
      <c r="Y88" s="17"/>
      <c r="Z88" s="14" t="s">
        <v>454</v>
      </c>
      <c r="AA88" s="19" t="s">
        <v>101</v>
      </c>
      <c r="AC88" s="14" t="s">
        <v>772</v>
      </c>
      <c r="AD88" s="14" t="s">
        <v>599</v>
      </c>
      <c r="AF88" s="14" t="s">
        <v>787</v>
      </c>
    </row>
    <row r="89" spans="1:32" ht="25.5">
      <c r="A89" t="s">
        <v>565</v>
      </c>
      <c r="B89" t="s">
        <v>564</v>
      </c>
      <c r="Q89" s="14" t="s">
        <v>435</v>
      </c>
      <c r="R89" s="15" t="s">
        <v>210</v>
      </c>
      <c r="Y89" s="17"/>
      <c r="Z89" s="14" t="s">
        <v>454</v>
      </c>
      <c r="AA89" s="19" t="s">
        <v>95</v>
      </c>
      <c r="AC89" s="14" t="s">
        <v>774</v>
      </c>
      <c r="AD89" s="14" t="s">
        <v>712</v>
      </c>
      <c r="AF89" s="14" t="s">
        <v>802</v>
      </c>
    </row>
    <row r="90" spans="1:32" ht="15">
      <c r="A90" t="s">
        <v>566</v>
      </c>
      <c r="B90" t="s">
        <v>564</v>
      </c>
      <c r="Q90" s="14" t="s">
        <v>435</v>
      </c>
      <c r="R90" s="15" t="s">
        <v>211</v>
      </c>
      <c r="Y90" s="17"/>
      <c r="Z90" s="14" t="s">
        <v>454</v>
      </c>
      <c r="AA90" s="20" t="s">
        <v>97</v>
      </c>
      <c r="AC90" s="14" t="s">
        <v>775</v>
      </c>
      <c r="AD90" s="14" t="s">
        <v>599</v>
      </c>
      <c r="AF90" s="14" t="s">
        <v>749</v>
      </c>
    </row>
    <row r="91" spans="1:32" ht="15">
      <c r="A91" t="s">
        <v>130</v>
      </c>
      <c r="B91" t="s">
        <v>567</v>
      </c>
      <c r="Q91" s="14" t="s">
        <v>439</v>
      </c>
      <c r="R91" s="15" t="s">
        <v>190</v>
      </c>
      <c r="Y91" s="17"/>
      <c r="Z91" s="14" t="s">
        <v>528</v>
      </c>
      <c r="AA91" s="20" t="s">
        <v>101</v>
      </c>
      <c r="AC91" s="14" t="s">
        <v>776</v>
      </c>
      <c r="AD91" s="14" t="s">
        <v>599</v>
      </c>
      <c r="AF91" s="14" t="s">
        <v>794</v>
      </c>
    </row>
    <row r="92" spans="1:32" ht="15">
      <c r="A92" t="s">
        <v>112</v>
      </c>
      <c r="B92" t="s">
        <v>567</v>
      </c>
      <c r="Q92" s="14" t="s">
        <v>439</v>
      </c>
      <c r="R92" s="15" t="s">
        <v>191</v>
      </c>
      <c r="Y92" s="17"/>
      <c r="Z92" s="14" t="s">
        <v>528</v>
      </c>
      <c r="AA92" s="20" t="s">
        <v>95</v>
      </c>
      <c r="AC92" s="14" t="s">
        <v>777</v>
      </c>
      <c r="AD92" s="14" t="s">
        <v>682</v>
      </c>
      <c r="AF92" s="14" t="s">
        <v>747</v>
      </c>
    </row>
    <row r="93" spans="1:32">
      <c r="A93" t="s">
        <v>149</v>
      </c>
      <c r="B93" t="s">
        <v>67</v>
      </c>
      <c r="Q93" s="14" t="s">
        <v>439</v>
      </c>
      <c r="R93" s="15" t="s">
        <v>192</v>
      </c>
      <c r="Y93" s="17"/>
      <c r="Z93" s="14" t="s">
        <v>528</v>
      </c>
      <c r="AA93" s="18" t="s">
        <v>97</v>
      </c>
      <c r="AC93" s="14" t="s">
        <v>778</v>
      </c>
      <c r="AD93" s="14" t="s">
        <v>682</v>
      </c>
      <c r="AF93" s="14" t="s">
        <v>733</v>
      </c>
    </row>
    <row r="94" spans="1:32">
      <c r="A94" t="s">
        <v>546</v>
      </c>
      <c r="B94" t="s">
        <v>52</v>
      </c>
      <c r="Q94" s="14" t="s">
        <v>439</v>
      </c>
      <c r="R94" s="15" t="s">
        <v>193</v>
      </c>
      <c r="Y94" s="17"/>
      <c r="Z94" s="14" t="s">
        <v>528</v>
      </c>
      <c r="AA94" s="19" t="s">
        <v>409</v>
      </c>
      <c r="AC94" s="14" t="s">
        <v>779</v>
      </c>
      <c r="AD94" s="14" t="s">
        <v>682</v>
      </c>
      <c r="AF94" s="14" t="s">
        <v>786</v>
      </c>
    </row>
    <row r="95" spans="1:32">
      <c r="A95" t="s">
        <v>148</v>
      </c>
      <c r="B95" t="s">
        <v>52</v>
      </c>
      <c r="Q95" s="14" t="s">
        <v>439</v>
      </c>
      <c r="R95" s="15" t="s">
        <v>194</v>
      </c>
      <c r="Y95" s="17"/>
      <c r="Z95" s="14" t="s">
        <v>528</v>
      </c>
      <c r="AA95" s="19" t="s">
        <v>107</v>
      </c>
      <c r="AC95" s="14" t="s">
        <v>780</v>
      </c>
      <c r="AD95" s="14" t="s">
        <v>682</v>
      </c>
      <c r="AF95" s="14" t="s">
        <v>728</v>
      </c>
    </row>
    <row r="96" spans="1:32">
      <c r="Q96" s="14" t="s">
        <v>439</v>
      </c>
      <c r="R96" s="15" t="s">
        <v>195</v>
      </c>
      <c r="Y96" s="17"/>
      <c r="Z96" s="14" t="s">
        <v>528</v>
      </c>
      <c r="AA96" s="19" t="s">
        <v>110</v>
      </c>
      <c r="AC96" s="14" t="s">
        <v>781</v>
      </c>
      <c r="AD96" s="14" t="s">
        <v>682</v>
      </c>
      <c r="AF96" s="14" t="s">
        <v>727</v>
      </c>
    </row>
    <row r="97" spans="17:32" ht="25.5">
      <c r="Q97" s="14" t="s">
        <v>439</v>
      </c>
      <c r="R97" s="15" t="s">
        <v>196</v>
      </c>
      <c r="Y97" s="17"/>
      <c r="Z97" s="14" t="s">
        <v>528</v>
      </c>
      <c r="AA97" s="19" t="s">
        <v>428</v>
      </c>
      <c r="AC97" s="14" t="s">
        <v>782</v>
      </c>
      <c r="AD97" s="14" t="s">
        <v>682</v>
      </c>
      <c r="AF97" s="14" t="s">
        <v>726</v>
      </c>
    </row>
    <row r="98" spans="17:32">
      <c r="Q98" s="14" t="s">
        <v>439</v>
      </c>
      <c r="R98" s="15" t="s">
        <v>197</v>
      </c>
      <c r="Y98" s="17"/>
      <c r="Z98" s="14" t="s">
        <v>527</v>
      </c>
      <c r="AA98" s="19" t="s">
        <v>84</v>
      </c>
      <c r="AC98" s="14" t="s">
        <v>783</v>
      </c>
      <c r="AD98" s="14" t="s">
        <v>682</v>
      </c>
      <c r="AF98" s="14" t="s">
        <v>718</v>
      </c>
    </row>
    <row r="99" spans="17:32">
      <c r="Q99" s="14" t="s">
        <v>439</v>
      </c>
      <c r="R99" s="15" t="s">
        <v>212</v>
      </c>
      <c r="Y99" s="17"/>
      <c r="Z99" s="14" t="s">
        <v>500</v>
      </c>
      <c r="AA99" s="19" t="s">
        <v>35</v>
      </c>
      <c r="AC99" s="14" t="s">
        <v>784</v>
      </c>
      <c r="AD99" s="14" t="s">
        <v>682</v>
      </c>
      <c r="AF99" s="14" t="s">
        <v>788</v>
      </c>
    </row>
    <row r="100" spans="17:32">
      <c r="Q100" s="14" t="s">
        <v>439</v>
      </c>
      <c r="R100" s="15" t="s">
        <v>213</v>
      </c>
      <c r="Y100" s="17"/>
      <c r="Z100" s="14" t="s">
        <v>497</v>
      </c>
      <c r="AA100" s="19" t="s">
        <v>554</v>
      </c>
      <c r="AC100" s="14" t="s">
        <v>785</v>
      </c>
      <c r="AD100" s="14" t="s">
        <v>682</v>
      </c>
      <c r="AF100" s="14" t="s">
        <v>779</v>
      </c>
    </row>
    <row r="101" spans="17:32">
      <c r="Q101" s="14" t="s">
        <v>439</v>
      </c>
      <c r="R101" s="15" t="s">
        <v>214</v>
      </c>
      <c r="Y101" s="17"/>
      <c r="Z101" s="14" t="s">
        <v>403</v>
      </c>
      <c r="AA101" s="19" t="s">
        <v>555</v>
      </c>
      <c r="AC101" s="14" t="s">
        <v>786</v>
      </c>
      <c r="AD101" s="14" t="s">
        <v>682</v>
      </c>
      <c r="AF101" s="14" t="s">
        <v>782</v>
      </c>
    </row>
    <row r="102" spans="17:32" ht="25.5">
      <c r="Q102" s="14" t="s">
        <v>510</v>
      </c>
      <c r="R102" s="15" t="s">
        <v>249</v>
      </c>
      <c r="Y102" s="17"/>
      <c r="Z102" s="14" t="s">
        <v>403</v>
      </c>
      <c r="AA102" s="19" t="s">
        <v>84</v>
      </c>
      <c r="AC102" s="14" t="s">
        <v>787</v>
      </c>
      <c r="AD102" s="14" t="s">
        <v>682</v>
      </c>
      <c r="AF102" s="14" t="s">
        <v>800</v>
      </c>
    </row>
    <row r="103" spans="17:32">
      <c r="Q103" s="14" t="s">
        <v>510</v>
      </c>
      <c r="R103" s="15" t="s">
        <v>250</v>
      </c>
      <c r="Y103" s="17"/>
      <c r="Z103" s="14" t="s">
        <v>403</v>
      </c>
      <c r="AA103" s="19" t="s">
        <v>101</v>
      </c>
      <c r="AC103" s="14" t="s">
        <v>788</v>
      </c>
      <c r="AD103" s="14" t="s">
        <v>682</v>
      </c>
      <c r="AF103" s="14" t="s">
        <v>763</v>
      </c>
    </row>
    <row r="104" spans="17:32">
      <c r="Q104" s="14" t="s">
        <v>510</v>
      </c>
      <c r="R104" s="15" t="s">
        <v>251</v>
      </c>
      <c r="Y104" s="17"/>
      <c r="Z104" s="14" t="s">
        <v>403</v>
      </c>
      <c r="AA104" s="19" t="s">
        <v>556</v>
      </c>
      <c r="AC104" s="14" t="s">
        <v>789</v>
      </c>
      <c r="AD104" s="14" t="s">
        <v>735</v>
      </c>
      <c r="AF104" s="14" t="s">
        <v>739</v>
      </c>
    </row>
    <row r="105" spans="17:32">
      <c r="Q105" s="14" t="s">
        <v>513</v>
      </c>
      <c r="R105" s="15" t="s">
        <v>254</v>
      </c>
      <c r="Y105" s="17"/>
      <c r="Z105" s="14" t="s">
        <v>403</v>
      </c>
      <c r="AA105" s="19" t="s">
        <v>557</v>
      </c>
      <c r="AC105" s="14" t="s">
        <v>790</v>
      </c>
      <c r="AD105" s="14" t="s">
        <v>599</v>
      </c>
      <c r="AF105" s="14" t="s">
        <v>744</v>
      </c>
    </row>
    <row r="106" spans="17:32">
      <c r="Q106" s="14" t="s">
        <v>513</v>
      </c>
      <c r="R106" s="15" t="s">
        <v>255</v>
      </c>
      <c r="Y106" s="17"/>
      <c r="Z106" s="14" t="s">
        <v>403</v>
      </c>
      <c r="AA106" s="19" t="s">
        <v>558</v>
      </c>
      <c r="AC106" s="14" t="s">
        <v>791</v>
      </c>
      <c r="AD106" s="14" t="s">
        <v>599</v>
      </c>
      <c r="AF106" s="14" t="s">
        <v>806</v>
      </c>
    </row>
    <row r="107" spans="17:32">
      <c r="Q107" s="14" t="s">
        <v>513</v>
      </c>
      <c r="R107" s="15" t="s">
        <v>256</v>
      </c>
      <c r="Y107" s="17"/>
      <c r="Z107" s="14" t="s">
        <v>396</v>
      </c>
      <c r="AA107" s="19" t="s">
        <v>35</v>
      </c>
      <c r="AC107" s="14" t="s">
        <v>792</v>
      </c>
      <c r="AD107" s="14" t="s">
        <v>599</v>
      </c>
      <c r="AF107" s="14" t="s">
        <v>810</v>
      </c>
    </row>
    <row r="108" spans="17:32">
      <c r="Q108" s="14" t="s">
        <v>513</v>
      </c>
      <c r="R108" s="15" t="s">
        <v>257</v>
      </c>
      <c r="Y108" s="17"/>
      <c r="Z108" s="14" t="s">
        <v>449</v>
      </c>
      <c r="AA108" s="14" t="s">
        <v>101</v>
      </c>
      <c r="AC108" s="14" t="s">
        <v>793</v>
      </c>
      <c r="AD108" s="14" t="s">
        <v>599</v>
      </c>
      <c r="AF108" s="14" t="s">
        <v>807</v>
      </c>
    </row>
    <row r="109" spans="17:32">
      <c r="Q109" s="14" t="s">
        <v>516</v>
      </c>
      <c r="R109" s="15" t="s">
        <v>258</v>
      </c>
      <c r="Y109" s="17"/>
      <c r="Z109" s="14" t="s">
        <v>445</v>
      </c>
      <c r="AA109" s="14" t="s">
        <v>84</v>
      </c>
      <c r="AC109" s="14" t="s">
        <v>794</v>
      </c>
      <c r="AD109" s="14" t="s">
        <v>599</v>
      </c>
      <c r="AF109" s="14" t="s">
        <v>809</v>
      </c>
    </row>
    <row r="110" spans="17:32" ht="25.5">
      <c r="Q110" s="14" t="s">
        <v>521</v>
      </c>
      <c r="R110" s="15" t="s">
        <v>252</v>
      </c>
      <c r="AC110" s="14" t="s">
        <v>795</v>
      </c>
      <c r="AD110" s="14" t="s">
        <v>599</v>
      </c>
      <c r="AF110" s="14" t="s">
        <v>812</v>
      </c>
    </row>
    <row r="111" spans="17:32" ht="25.5">
      <c r="Q111" s="14" t="s">
        <v>521</v>
      </c>
      <c r="R111" s="15" t="s">
        <v>253</v>
      </c>
      <c r="AC111" s="14" t="s">
        <v>796</v>
      </c>
      <c r="AD111" s="14" t="s">
        <v>599</v>
      </c>
      <c r="AF111" s="14" t="s">
        <v>811</v>
      </c>
    </row>
    <row r="112" spans="17:32" ht="25.5">
      <c r="Q112" s="14" t="s">
        <v>477</v>
      </c>
      <c r="R112" s="15" t="s">
        <v>259</v>
      </c>
      <c r="AC112" s="14" t="s">
        <v>797</v>
      </c>
      <c r="AD112" s="14" t="s">
        <v>599</v>
      </c>
      <c r="AF112" s="14" t="s">
        <v>808</v>
      </c>
    </row>
    <row r="113" spans="17:32" ht="25.5">
      <c r="Q113" s="14" t="s">
        <v>477</v>
      </c>
      <c r="R113" s="15" t="s">
        <v>260</v>
      </c>
      <c r="AC113" s="14" t="s">
        <v>798</v>
      </c>
      <c r="AD113" s="14" t="s">
        <v>599</v>
      </c>
      <c r="AF113" s="14" t="s">
        <v>813</v>
      </c>
    </row>
    <row r="114" spans="17:32" ht="25.5">
      <c r="Q114" s="14" t="s">
        <v>477</v>
      </c>
      <c r="R114" s="15" t="s">
        <v>261</v>
      </c>
      <c r="AC114" s="14" t="s">
        <v>799</v>
      </c>
      <c r="AD114" s="14" t="s">
        <v>599</v>
      </c>
    </row>
    <row r="115" spans="17:32" ht="25.5">
      <c r="Q115" s="14" t="s">
        <v>477</v>
      </c>
      <c r="R115" s="15" t="s">
        <v>262</v>
      </c>
      <c r="AC115" s="14" t="s">
        <v>800</v>
      </c>
      <c r="AD115" s="14" t="s">
        <v>599</v>
      </c>
    </row>
    <row r="116" spans="17:32" ht="25.5">
      <c r="Q116" s="14" t="s">
        <v>477</v>
      </c>
      <c r="R116" s="15" t="s">
        <v>263</v>
      </c>
      <c r="AC116" s="14" t="s">
        <v>801</v>
      </c>
      <c r="AD116" s="14" t="s">
        <v>712</v>
      </c>
    </row>
    <row r="117" spans="17:32" ht="25.5">
      <c r="Q117" s="14" t="s">
        <v>477</v>
      </c>
      <c r="R117" s="15" t="s">
        <v>264</v>
      </c>
      <c r="AC117" s="14" t="s">
        <v>802</v>
      </c>
      <c r="AD117" s="14" t="s">
        <v>803</v>
      </c>
    </row>
    <row r="118" spans="17:32" ht="25.5">
      <c r="Q118" s="14" t="s">
        <v>477</v>
      </c>
      <c r="R118" s="15" t="s">
        <v>265</v>
      </c>
      <c r="AC118" s="14" t="s">
        <v>804</v>
      </c>
      <c r="AD118" s="14" t="s">
        <v>712</v>
      </c>
    </row>
    <row r="119" spans="17:32" ht="25.5">
      <c r="Q119" s="14" t="s">
        <v>477</v>
      </c>
      <c r="R119" s="15" t="s">
        <v>266</v>
      </c>
      <c r="AC119" s="14" t="s">
        <v>805</v>
      </c>
      <c r="AD119" s="14" t="s">
        <v>712</v>
      </c>
    </row>
    <row r="120" spans="17:32" ht="25.5">
      <c r="Q120" s="14" t="s">
        <v>477</v>
      </c>
      <c r="R120" s="15" t="s">
        <v>267</v>
      </c>
      <c r="AC120" s="14" t="s">
        <v>806</v>
      </c>
      <c r="AD120" s="14" t="s">
        <v>712</v>
      </c>
    </row>
    <row r="121" spans="17:32" ht="25.5">
      <c r="Q121" s="14" t="s">
        <v>477</v>
      </c>
      <c r="R121" s="15" t="s">
        <v>268</v>
      </c>
      <c r="AC121" s="14" t="s">
        <v>807</v>
      </c>
      <c r="AD121" s="14" t="s">
        <v>737</v>
      </c>
    </row>
    <row r="122" spans="17:32" ht="25.5">
      <c r="Q122" s="14" t="s">
        <v>477</v>
      </c>
      <c r="R122" s="15" t="s">
        <v>269</v>
      </c>
      <c r="AC122" s="14" t="s">
        <v>808</v>
      </c>
      <c r="AD122" s="14" t="s">
        <v>737</v>
      </c>
    </row>
    <row r="123" spans="17:32" ht="25.5">
      <c r="Q123" s="14" t="s">
        <v>477</v>
      </c>
      <c r="R123" s="15" t="s">
        <v>270</v>
      </c>
      <c r="AC123" s="14" t="s">
        <v>809</v>
      </c>
      <c r="AD123" s="14" t="s">
        <v>599</v>
      </c>
    </row>
    <row r="124" spans="17:32" ht="25.5">
      <c r="Q124" s="14" t="s">
        <v>477</v>
      </c>
      <c r="R124" s="15" t="s">
        <v>277</v>
      </c>
      <c r="AC124" s="14" t="s">
        <v>810</v>
      </c>
      <c r="AD124" s="14" t="s">
        <v>737</v>
      </c>
    </row>
    <row r="125" spans="17:32" ht="25.5">
      <c r="Q125" s="14" t="s">
        <v>477</v>
      </c>
      <c r="R125" s="15" t="s">
        <v>278</v>
      </c>
      <c r="AC125" s="14" t="s">
        <v>811</v>
      </c>
      <c r="AD125" s="14" t="s">
        <v>737</v>
      </c>
    </row>
    <row r="126" spans="17:32" ht="25.5">
      <c r="Q126" s="14" t="s">
        <v>477</v>
      </c>
      <c r="R126" s="15" t="s">
        <v>279</v>
      </c>
      <c r="AC126" s="14" t="s">
        <v>812</v>
      </c>
      <c r="AD126" s="14" t="s">
        <v>737</v>
      </c>
    </row>
    <row r="127" spans="17:32" ht="25.5">
      <c r="Q127" s="14" t="s">
        <v>477</v>
      </c>
      <c r="R127" s="15" t="s">
        <v>280</v>
      </c>
      <c r="AC127" s="14" t="s">
        <v>813</v>
      </c>
      <c r="AD127" s="14" t="s">
        <v>737</v>
      </c>
      <c r="AF127"/>
    </row>
    <row r="128" spans="17:32" ht="25.5">
      <c r="Q128" s="14" t="s">
        <v>477</v>
      </c>
      <c r="R128" s="15" t="s">
        <v>282</v>
      </c>
      <c r="AC128" s="14" t="s">
        <v>821</v>
      </c>
      <c r="AD128" s="14" t="s">
        <v>682</v>
      </c>
    </row>
    <row r="129" spans="17:18" ht="25.5">
      <c r="Q129" s="14" t="s">
        <v>482</v>
      </c>
      <c r="R129" s="15" t="s">
        <v>271</v>
      </c>
    </row>
    <row r="130" spans="17:18" ht="25.5">
      <c r="Q130" s="14" t="s">
        <v>482</v>
      </c>
      <c r="R130" s="15" t="s">
        <v>272</v>
      </c>
    </row>
    <row r="131" spans="17:18" ht="25.5">
      <c r="Q131" s="14" t="s">
        <v>482</v>
      </c>
      <c r="R131" s="15" t="s">
        <v>273</v>
      </c>
    </row>
    <row r="132" spans="17:18" ht="25.5">
      <c r="Q132" s="14" t="s">
        <v>482</v>
      </c>
      <c r="R132" s="15" t="s">
        <v>275</v>
      </c>
    </row>
    <row r="133" spans="17:18" ht="25.5">
      <c r="Q133" s="14" t="s">
        <v>480</v>
      </c>
      <c r="R133" s="15" t="s">
        <v>274</v>
      </c>
    </row>
    <row r="134" spans="17:18" ht="25.5">
      <c r="Q134" s="14" t="s">
        <v>480</v>
      </c>
      <c r="R134" s="15" t="s">
        <v>276</v>
      </c>
    </row>
    <row r="135" spans="17:18" ht="25.5">
      <c r="Q135" s="14" t="s">
        <v>480</v>
      </c>
      <c r="R135" s="15" t="s">
        <v>281</v>
      </c>
    </row>
    <row r="136" spans="17:18">
      <c r="Q136" s="14" t="s">
        <v>412</v>
      </c>
      <c r="R136" s="15" t="s">
        <v>297</v>
      </c>
    </row>
    <row r="137" spans="17:18">
      <c r="Q137" s="14" t="s">
        <v>412</v>
      </c>
      <c r="R137" s="15" t="s">
        <v>305</v>
      </c>
    </row>
    <row r="138" spans="17:18">
      <c r="Q138" s="14" t="s">
        <v>412</v>
      </c>
      <c r="R138" s="15" t="s">
        <v>316</v>
      </c>
    </row>
    <row r="139" spans="17:18">
      <c r="Q139" s="14" t="s">
        <v>412</v>
      </c>
      <c r="R139" s="15" t="s">
        <v>326</v>
      </c>
    </row>
    <row r="140" spans="17:18">
      <c r="Q140" s="14" t="s">
        <v>429</v>
      </c>
      <c r="R140" s="15" t="s">
        <v>292</v>
      </c>
    </row>
    <row r="141" spans="17:18">
      <c r="Q141" s="14" t="s">
        <v>429</v>
      </c>
      <c r="R141" s="15" t="s">
        <v>293</v>
      </c>
    </row>
    <row r="142" spans="17:18">
      <c r="Q142" s="14" t="s">
        <v>429</v>
      </c>
      <c r="R142" s="15" t="s">
        <v>295</v>
      </c>
    </row>
    <row r="143" spans="17:18">
      <c r="Q143" s="14" t="s">
        <v>429</v>
      </c>
      <c r="R143" s="15" t="s">
        <v>296</v>
      </c>
    </row>
    <row r="144" spans="17:18">
      <c r="Q144" s="14" t="s">
        <v>429</v>
      </c>
      <c r="R144" s="15" t="s">
        <v>299</v>
      </c>
    </row>
    <row r="145" spans="17:18">
      <c r="Q145" s="14" t="s">
        <v>429</v>
      </c>
      <c r="R145" s="15" t="s">
        <v>301</v>
      </c>
    </row>
    <row r="146" spans="17:18">
      <c r="Q146" s="14" t="s">
        <v>429</v>
      </c>
      <c r="R146" s="15" t="s">
        <v>302</v>
      </c>
    </row>
    <row r="147" spans="17:18">
      <c r="Q147" s="14" t="s">
        <v>429</v>
      </c>
      <c r="R147" s="15" t="s">
        <v>324</v>
      </c>
    </row>
    <row r="148" spans="17:18">
      <c r="Q148" s="14" t="s">
        <v>429</v>
      </c>
      <c r="R148" s="15" t="s">
        <v>325</v>
      </c>
    </row>
    <row r="149" spans="17:18">
      <c r="Q149" s="14" t="s">
        <v>424</v>
      </c>
      <c r="R149" s="15" t="s">
        <v>290</v>
      </c>
    </row>
    <row r="150" spans="17:18">
      <c r="Q150" s="14" t="s">
        <v>424</v>
      </c>
      <c r="R150" s="15" t="s">
        <v>291</v>
      </c>
    </row>
    <row r="151" spans="17:18">
      <c r="Q151" s="14" t="s">
        <v>424</v>
      </c>
      <c r="R151" s="15" t="s">
        <v>294</v>
      </c>
    </row>
    <row r="152" spans="17:18">
      <c r="Q152" s="14" t="s">
        <v>424</v>
      </c>
      <c r="R152" s="15" t="s">
        <v>298</v>
      </c>
    </row>
    <row r="153" spans="17:18">
      <c r="Q153" s="14" t="s">
        <v>424</v>
      </c>
      <c r="R153" s="15" t="s">
        <v>300</v>
      </c>
    </row>
    <row r="154" spans="17:18">
      <c r="Q154" s="14" t="s">
        <v>424</v>
      </c>
      <c r="R154" s="15" t="s">
        <v>303</v>
      </c>
    </row>
    <row r="155" spans="17:18">
      <c r="Q155" s="14" t="s">
        <v>424</v>
      </c>
      <c r="R155" s="15" t="s">
        <v>304</v>
      </c>
    </row>
    <row r="156" spans="17:18">
      <c r="Q156" s="14" t="s">
        <v>424</v>
      </c>
      <c r="R156" s="15" t="s">
        <v>306</v>
      </c>
    </row>
    <row r="157" spans="17:18">
      <c r="Q157" s="14" t="s">
        <v>424</v>
      </c>
      <c r="R157" s="15" t="s">
        <v>307</v>
      </c>
    </row>
    <row r="158" spans="17:18">
      <c r="Q158" s="14" t="s">
        <v>424</v>
      </c>
      <c r="R158" s="15" t="s">
        <v>308</v>
      </c>
    </row>
    <row r="159" spans="17:18">
      <c r="Q159" s="14" t="s">
        <v>424</v>
      </c>
      <c r="R159" s="15" t="s">
        <v>317</v>
      </c>
    </row>
    <row r="160" spans="17:18">
      <c r="Q160" s="14" t="s">
        <v>424</v>
      </c>
      <c r="R160" s="15" t="s">
        <v>318</v>
      </c>
    </row>
    <row r="161" spans="17:18">
      <c r="Q161" s="14" t="s">
        <v>424</v>
      </c>
      <c r="R161" s="15" t="s">
        <v>319</v>
      </c>
    </row>
    <row r="162" spans="17:18">
      <c r="Q162" s="14" t="s">
        <v>424</v>
      </c>
      <c r="R162" s="15" t="s">
        <v>320</v>
      </c>
    </row>
    <row r="163" spans="17:18">
      <c r="Q163" s="14" t="s">
        <v>424</v>
      </c>
      <c r="R163" s="15" t="s">
        <v>321</v>
      </c>
    </row>
    <row r="164" spans="17:18">
      <c r="Q164" s="14" t="s">
        <v>424</v>
      </c>
      <c r="R164" s="15" t="s">
        <v>322</v>
      </c>
    </row>
    <row r="165" spans="17:18">
      <c r="Q165" s="14" t="s">
        <v>424</v>
      </c>
      <c r="R165" s="15" t="s">
        <v>323</v>
      </c>
    </row>
    <row r="166" spans="17:18">
      <c r="Q166" s="14" t="s">
        <v>454</v>
      </c>
      <c r="R166" s="15" t="s">
        <v>207</v>
      </c>
    </row>
    <row r="167" spans="17:18">
      <c r="Q167" s="14" t="s">
        <v>454</v>
      </c>
      <c r="R167" s="15" t="s">
        <v>215</v>
      </c>
    </row>
    <row r="168" spans="17:18">
      <c r="Q168" s="14" t="s">
        <v>454</v>
      </c>
      <c r="R168" s="15" t="s">
        <v>216</v>
      </c>
    </row>
    <row r="169" spans="17:18">
      <c r="Q169" s="14" t="s">
        <v>454</v>
      </c>
      <c r="R169" s="15" t="s">
        <v>217</v>
      </c>
    </row>
    <row r="170" spans="17:18">
      <c r="Q170" s="14" t="s">
        <v>527</v>
      </c>
      <c r="R170" s="15" t="s">
        <v>198</v>
      </c>
    </row>
    <row r="171" spans="17:18">
      <c r="Q171" s="14" t="s">
        <v>527</v>
      </c>
      <c r="R171" s="15" t="s">
        <v>199</v>
      </c>
    </row>
    <row r="172" spans="17:18">
      <c r="Q172" s="14" t="s">
        <v>527</v>
      </c>
      <c r="R172" s="15" t="s">
        <v>200</v>
      </c>
    </row>
    <row r="173" spans="17:18">
      <c r="Q173" s="14" t="s">
        <v>527</v>
      </c>
      <c r="R173" s="15" t="s">
        <v>201</v>
      </c>
    </row>
    <row r="174" spans="17:18">
      <c r="Q174" s="14" t="s">
        <v>527</v>
      </c>
      <c r="R174" s="15" t="s">
        <v>218</v>
      </c>
    </row>
    <row r="175" spans="17:18">
      <c r="Q175" s="14" t="s">
        <v>527</v>
      </c>
      <c r="R175" s="15" t="s">
        <v>219</v>
      </c>
    </row>
    <row r="176" spans="17:18">
      <c r="Q176" s="14" t="s">
        <v>527</v>
      </c>
      <c r="R176" s="15" t="s">
        <v>220</v>
      </c>
    </row>
    <row r="177" spans="17:18">
      <c r="Q177" s="14" t="s">
        <v>527</v>
      </c>
      <c r="R177" s="15" t="s">
        <v>221</v>
      </c>
    </row>
    <row r="178" spans="17:18">
      <c r="Q178" s="14" t="s">
        <v>527</v>
      </c>
      <c r="R178" s="15" t="s">
        <v>222</v>
      </c>
    </row>
    <row r="179" spans="17:18" ht="25.5">
      <c r="Q179" s="14" t="s">
        <v>500</v>
      </c>
      <c r="R179" s="15" t="s">
        <v>283</v>
      </c>
    </row>
    <row r="180" spans="17:18" ht="25.5">
      <c r="Q180" s="14" t="s">
        <v>500</v>
      </c>
      <c r="R180" s="15" t="s">
        <v>284</v>
      </c>
    </row>
    <row r="181" spans="17:18" ht="25.5">
      <c r="Q181" s="14" t="s">
        <v>500</v>
      </c>
      <c r="R181" s="15" t="s">
        <v>286</v>
      </c>
    </row>
    <row r="182" spans="17:18" ht="25.5">
      <c r="Q182" s="14" t="s">
        <v>500</v>
      </c>
      <c r="R182" s="15" t="s">
        <v>288</v>
      </c>
    </row>
    <row r="183" spans="17:18" ht="25.5">
      <c r="Q183" s="14" t="s">
        <v>500</v>
      </c>
      <c r="R183" s="15" t="s">
        <v>289</v>
      </c>
    </row>
    <row r="184" spans="17:18">
      <c r="Q184" s="14" t="s">
        <v>497</v>
      </c>
      <c r="R184" s="15" t="s">
        <v>285</v>
      </c>
    </row>
    <row r="185" spans="17:18">
      <c r="Q185" s="14" t="s">
        <v>497</v>
      </c>
      <c r="R185" s="15" t="s">
        <v>287</v>
      </c>
    </row>
    <row r="186" spans="17:18">
      <c r="Q186" s="14" t="s">
        <v>403</v>
      </c>
      <c r="R186" s="15" t="s">
        <v>360</v>
      </c>
    </row>
    <row r="187" spans="17:18">
      <c r="Q187" s="14" t="s">
        <v>403</v>
      </c>
      <c r="R187" s="15" t="s">
        <v>361</v>
      </c>
    </row>
    <row r="188" spans="17:18">
      <c r="Q188" s="14" t="s">
        <v>403</v>
      </c>
      <c r="R188" s="15" t="s">
        <v>362</v>
      </c>
    </row>
    <row r="189" spans="17:18">
      <c r="Q189" s="14" t="s">
        <v>403</v>
      </c>
      <c r="R189" s="15" t="s">
        <v>363</v>
      </c>
    </row>
    <row r="190" spans="17:18">
      <c r="Q190" s="14" t="s">
        <v>403</v>
      </c>
      <c r="R190" s="15" t="s">
        <v>364</v>
      </c>
    </row>
    <row r="191" spans="17:18">
      <c r="Q191" s="14" t="s">
        <v>403</v>
      </c>
      <c r="R191" s="15" t="s">
        <v>365</v>
      </c>
    </row>
    <row r="192" spans="17:18">
      <c r="Q192" s="14" t="s">
        <v>403</v>
      </c>
      <c r="R192" s="15" t="s">
        <v>366</v>
      </c>
    </row>
    <row r="193" spans="17:18">
      <c r="Q193" s="14" t="s">
        <v>403</v>
      </c>
      <c r="R193" s="15" t="s">
        <v>367</v>
      </c>
    </row>
    <row r="194" spans="17:18">
      <c r="Q194" s="14" t="s">
        <v>403</v>
      </c>
      <c r="R194" s="15" t="s">
        <v>368</v>
      </c>
    </row>
    <row r="195" spans="17:18">
      <c r="Q195" s="14" t="s">
        <v>403</v>
      </c>
      <c r="R195" s="15" t="s">
        <v>387</v>
      </c>
    </row>
    <row r="196" spans="17:18">
      <c r="Q196" s="14" t="s">
        <v>403</v>
      </c>
      <c r="R196" s="15" t="s">
        <v>388</v>
      </c>
    </row>
    <row r="197" spans="17:18">
      <c r="Q197" s="14" t="s">
        <v>396</v>
      </c>
      <c r="R197" s="15" t="s">
        <v>369</v>
      </c>
    </row>
    <row r="198" spans="17:18">
      <c r="Q198" s="14" t="s">
        <v>396</v>
      </c>
      <c r="R198" s="15" t="s">
        <v>370</v>
      </c>
    </row>
    <row r="199" spans="17:18">
      <c r="Q199" s="14" t="s">
        <v>396</v>
      </c>
      <c r="R199" s="15" t="s">
        <v>371</v>
      </c>
    </row>
    <row r="200" spans="17:18">
      <c r="Q200" s="14" t="s">
        <v>396</v>
      </c>
      <c r="R200" s="15" t="s">
        <v>372</v>
      </c>
    </row>
    <row r="201" spans="17:18">
      <c r="Q201" s="14" t="s">
        <v>396</v>
      </c>
      <c r="R201" s="15" t="s">
        <v>373</v>
      </c>
    </row>
    <row r="202" spans="17:18">
      <c r="Q202" s="14" t="s">
        <v>396</v>
      </c>
      <c r="R202" s="15" t="s">
        <v>374</v>
      </c>
    </row>
    <row r="203" spans="17:18">
      <c r="Q203" s="14" t="s">
        <v>396</v>
      </c>
      <c r="R203" s="15" t="s">
        <v>375</v>
      </c>
    </row>
    <row r="204" spans="17:18">
      <c r="Q204" s="14" t="s">
        <v>396</v>
      </c>
      <c r="R204" s="15" t="s">
        <v>376</v>
      </c>
    </row>
    <row r="205" spans="17:18">
      <c r="Q205" s="14" t="s">
        <v>396</v>
      </c>
      <c r="R205" s="15" t="s">
        <v>377</v>
      </c>
    </row>
    <row r="206" spans="17:18">
      <c r="Q206" s="14" t="s">
        <v>396</v>
      </c>
      <c r="R206" s="15" t="s">
        <v>378</v>
      </c>
    </row>
    <row r="207" spans="17:18">
      <c r="Q207" s="14" t="s">
        <v>396</v>
      </c>
      <c r="R207" s="15" t="s">
        <v>379</v>
      </c>
    </row>
    <row r="208" spans="17:18">
      <c r="Q208" s="14" t="s">
        <v>396</v>
      </c>
      <c r="R208" s="15" t="s">
        <v>380</v>
      </c>
    </row>
    <row r="209" spans="17:18">
      <c r="Q209" s="14" t="s">
        <v>396</v>
      </c>
      <c r="R209" s="15" t="s">
        <v>381</v>
      </c>
    </row>
    <row r="210" spans="17:18">
      <c r="Q210" s="14" t="s">
        <v>396</v>
      </c>
      <c r="R210" s="15" t="s">
        <v>382</v>
      </c>
    </row>
    <row r="211" spans="17:18">
      <c r="Q211" s="14" t="s">
        <v>396</v>
      </c>
      <c r="R211" s="15" t="s">
        <v>383</v>
      </c>
    </row>
    <row r="212" spans="17:18">
      <c r="Q212" s="14" t="s">
        <v>396</v>
      </c>
      <c r="R212" s="15" t="s">
        <v>384</v>
      </c>
    </row>
    <row r="213" spans="17:18">
      <c r="Q213" s="14" t="s">
        <v>396</v>
      </c>
      <c r="R213" s="15" t="s">
        <v>385</v>
      </c>
    </row>
    <row r="214" spans="17:18">
      <c r="Q214" s="14" t="s">
        <v>396</v>
      </c>
      <c r="R214" s="15" t="s">
        <v>386</v>
      </c>
    </row>
    <row r="215" spans="17:18">
      <c r="Q215" s="14" t="s">
        <v>445</v>
      </c>
      <c r="R215" s="15" t="s">
        <v>202</v>
      </c>
    </row>
    <row r="216" spans="17:18">
      <c r="Q216" s="14" t="s">
        <v>445</v>
      </c>
      <c r="R216" s="15" t="s">
        <v>203</v>
      </c>
    </row>
    <row r="217" spans="17:18">
      <c r="Q217" s="14" t="s">
        <v>445</v>
      </c>
      <c r="R217" s="15" t="s">
        <v>204</v>
      </c>
    </row>
    <row r="218" spans="17:18">
      <c r="Q218" s="14" t="s">
        <v>445</v>
      </c>
      <c r="R218" s="15" t="s">
        <v>205</v>
      </c>
    </row>
    <row r="219" spans="17:18">
      <c r="Q219" s="14" t="s">
        <v>445</v>
      </c>
      <c r="R219" s="15" t="s">
        <v>206</v>
      </c>
    </row>
    <row r="220" spans="17:18">
      <c r="Q220" s="14" t="s">
        <v>445</v>
      </c>
      <c r="R220" s="15" t="s">
        <v>223</v>
      </c>
    </row>
    <row r="221" spans="17:18">
      <c r="Q221" t="s">
        <v>397</v>
      </c>
      <c r="R221" s="15" t="s">
        <v>816</v>
      </c>
    </row>
    <row r="222" spans="17:18">
      <c r="Q222" t="s">
        <v>397</v>
      </c>
      <c r="R222" t="s">
        <v>817</v>
      </c>
    </row>
    <row r="223" spans="17:18">
      <c r="Q223" t="s">
        <v>397</v>
      </c>
      <c r="R223" t="s">
        <v>818</v>
      </c>
    </row>
    <row r="224" spans="17:18">
      <c r="Q224" t="s">
        <v>397</v>
      </c>
      <c r="R224" t="s">
        <v>819</v>
      </c>
    </row>
    <row r="225" spans="17:18">
      <c r="Q225" t="s">
        <v>397</v>
      </c>
      <c r="R225" t="s">
        <v>676</v>
      </c>
    </row>
    <row r="226" spans="17:18">
      <c r="Q226" t="s">
        <v>397</v>
      </c>
      <c r="R226" t="s">
        <v>678</v>
      </c>
    </row>
    <row r="227" spans="17:18">
      <c r="Q227" t="s">
        <v>397</v>
      </c>
      <c r="R227" t="s">
        <v>677</v>
      </c>
    </row>
    <row r="228" spans="17:18">
      <c r="Q228" t="s">
        <v>397</v>
      </c>
      <c r="R228" t="s">
        <v>820</v>
      </c>
    </row>
    <row r="229" spans="17:18">
      <c r="Q229" t="s">
        <v>397</v>
      </c>
      <c r="R229" t="s">
        <v>679</v>
      </c>
    </row>
    <row r="230" spans="17:18">
      <c r="Q230" t="s">
        <v>397</v>
      </c>
      <c r="R230" t="s">
        <v>680</v>
      </c>
    </row>
    <row r="231" spans="17:18">
      <c r="Q231"/>
      <c r="R231"/>
    </row>
    <row r="232" spans="17:18">
      <c r="Q232"/>
      <c r="R232"/>
    </row>
    <row r="233" spans="17:18">
      <c r="Q233"/>
      <c r="R233"/>
    </row>
    <row r="235" spans="17:18">
      <c r="R235"/>
    </row>
    <row r="236" spans="17:18">
      <c r="Q236"/>
      <c r="R236"/>
    </row>
    <row r="237" spans="17:18">
      <c r="Q237"/>
      <c r="R237"/>
    </row>
    <row r="238" spans="17:18">
      <c r="Q238"/>
      <c r="R238"/>
    </row>
    <row r="239" spans="17:18">
      <c r="Q239"/>
      <c r="R239"/>
    </row>
    <row r="240" spans="17:18">
      <c r="Q240"/>
      <c r="R240"/>
    </row>
    <row r="241" spans="17:18">
      <c r="Q241"/>
      <c r="R241"/>
    </row>
    <row r="242" spans="17:18">
      <c r="Q242"/>
      <c r="R242"/>
    </row>
    <row r="243" spans="17:18">
      <c r="Q243"/>
      <c r="R243"/>
    </row>
    <row r="244" spans="17:18">
      <c r="Q244"/>
      <c r="R244"/>
    </row>
    <row r="245" spans="17:18">
      <c r="Q245"/>
      <c r="R245"/>
    </row>
    <row r="246" spans="17:18">
      <c r="Q246"/>
      <c r="R246"/>
    </row>
    <row r="247" spans="17:18">
      <c r="Q247"/>
      <c r="R247"/>
    </row>
    <row r="248" spans="17:18">
      <c r="Q248"/>
      <c r="R248"/>
    </row>
    <row r="249" spans="17:18">
      <c r="Q249"/>
      <c r="R249"/>
    </row>
    <row r="250" spans="17:18">
      <c r="Q250"/>
      <c r="R250"/>
    </row>
    <row r="251" spans="17:18">
      <c r="Q251"/>
      <c r="R251"/>
    </row>
    <row r="252" spans="17:18">
      <c r="Q252"/>
      <c r="R252"/>
    </row>
    <row r="253" spans="17:18">
      <c r="Q253"/>
      <c r="R253"/>
    </row>
    <row r="254" spans="17:18">
      <c r="Q254"/>
      <c r="R254"/>
    </row>
    <row r="255" spans="17:18">
      <c r="Q255"/>
      <c r="R255"/>
    </row>
    <row r="256" spans="17:18">
      <c r="Q256"/>
      <c r="R256"/>
    </row>
    <row r="257" spans="17:18">
      <c r="Q257"/>
      <c r="R257"/>
    </row>
    <row r="258" spans="17:18">
      <c r="Q258"/>
      <c r="R258"/>
    </row>
    <row r="259" spans="17:18">
      <c r="Q259"/>
      <c r="R259"/>
    </row>
    <row r="260" spans="17:18">
      <c r="Q260"/>
      <c r="R260"/>
    </row>
    <row r="261" spans="17:18">
      <c r="Q261"/>
      <c r="R261"/>
    </row>
    <row r="262" spans="17:18">
      <c r="Q262"/>
      <c r="R262"/>
    </row>
    <row r="263" spans="17:18">
      <c r="Q263"/>
      <c r="R263"/>
    </row>
    <row r="264" spans="17:18">
      <c r="Q264"/>
      <c r="R264"/>
    </row>
    <row r="265" spans="17:18">
      <c r="Q265"/>
      <c r="R265"/>
    </row>
    <row r="266" spans="17:18">
      <c r="Q266"/>
      <c r="R266"/>
    </row>
    <row r="267" spans="17:18">
      <c r="Q267"/>
      <c r="R267"/>
    </row>
    <row r="268" spans="17:18">
      <c r="Q268"/>
      <c r="R268"/>
    </row>
    <row r="269" spans="17:18">
      <c r="Q269"/>
      <c r="R269"/>
    </row>
    <row r="270" spans="17:18">
      <c r="Q270"/>
      <c r="R270"/>
    </row>
    <row r="271" spans="17:18">
      <c r="Q271"/>
      <c r="R271"/>
    </row>
    <row r="272" spans="17:18">
      <c r="Q272"/>
      <c r="R272"/>
    </row>
    <row r="273" spans="17:18">
      <c r="Q273"/>
      <c r="R273"/>
    </row>
    <row r="274" spans="17:18">
      <c r="Q274"/>
      <c r="R274"/>
    </row>
    <row r="275" spans="17:18">
      <c r="Q275"/>
      <c r="R275"/>
    </row>
    <row r="276" spans="17:18">
      <c r="Q276"/>
      <c r="R276"/>
    </row>
    <row r="277" spans="17:18">
      <c r="Q277"/>
      <c r="R277"/>
    </row>
    <row r="278" spans="17:18">
      <c r="Q278"/>
      <c r="R278"/>
    </row>
    <row r="279" spans="17:18">
      <c r="Q279"/>
      <c r="R279"/>
    </row>
    <row r="280" spans="17:18">
      <c r="Q280"/>
      <c r="R280"/>
    </row>
    <row r="281" spans="17:18">
      <c r="Q281"/>
      <c r="R281"/>
    </row>
    <row r="282" spans="17:18">
      <c r="Q282"/>
      <c r="R282"/>
    </row>
    <row r="283" spans="17:18">
      <c r="Q283"/>
      <c r="R283"/>
    </row>
    <row r="284" spans="17:18">
      <c r="Q284"/>
      <c r="R284"/>
    </row>
    <row r="285" spans="17:18">
      <c r="Q285"/>
      <c r="R285"/>
    </row>
    <row r="286" spans="17:18">
      <c r="Q286"/>
      <c r="R286"/>
    </row>
    <row r="287" spans="17:18">
      <c r="Q287"/>
      <c r="R287"/>
    </row>
    <row r="288" spans="17:18">
      <c r="Q288"/>
      <c r="R288"/>
    </row>
    <row r="289" spans="17:18">
      <c r="Q289"/>
      <c r="R289"/>
    </row>
    <row r="290" spans="17:18">
      <c r="Q290"/>
      <c r="R290"/>
    </row>
    <row r="291" spans="17:18">
      <c r="Q291"/>
      <c r="R291"/>
    </row>
    <row r="292" spans="17:18">
      <c r="Q292"/>
      <c r="R292"/>
    </row>
    <row r="293" spans="17:18">
      <c r="Q293"/>
      <c r="R293"/>
    </row>
    <row r="294" spans="17:18">
      <c r="Q294"/>
      <c r="R294"/>
    </row>
    <row r="295" spans="17:18">
      <c r="Q295"/>
      <c r="R295"/>
    </row>
    <row r="296" spans="17:18">
      <c r="Q296"/>
      <c r="R296"/>
    </row>
    <row r="297" spans="17:18">
      <c r="Q297"/>
      <c r="R297"/>
    </row>
    <row r="298" spans="17:18">
      <c r="Q298"/>
      <c r="R298"/>
    </row>
    <row r="299" spans="17:18">
      <c r="Q299"/>
      <c r="R299"/>
    </row>
    <row r="300" spans="17:18">
      <c r="Q300"/>
      <c r="R300"/>
    </row>
    <row r="301" spans="17:18">
      <c r="Q301"/>
      <c r="R301"/>
    </row>
    <row r="302" spans="17:18">
      <c r="Q302"/>
      <c r="R302"/>
    </row>
    <row r="303" spans="17:18">
      <c r="Q303"/>
      <c r="R303"/>
    </row>
    <row r="304" spans="17:18">
      <c r="Q304"/>
      <c r="R304"/>
    </row>
    <row r="305" spans="17:18">
      <c r="Q305"/>
      <c r="R305"/>
    </row>
    <row r="306" spans="17:18">
      <c r="Q306"/>
      <c r="R306"/>
    </row>
    <row r="307" spans="17:18">
      <c r="Q307"/>
      <c r="R307"/>
    </row>
    <row r="308" spans="17:18">
      <c r="Q308"/>
      <c r="R308"/>
    </row>
    <row r="309" spans="17:18">
      <c r="Q309"/>
      <c r="R309"/>
    </row>
    <row r="310" spans="17:18">
      <c r="Q310"/>
      <c r="R310"/>
    </row>
    <row r="311" spans="17:18">
      <c r="Q311"/>
      <c r="R311"/>
    </row>
    <row r="312" spans="17:18">
      <c r="Q312"/>
      <c r="R312"/>
    </row>
    <row r="313" spans="17:18">
      <c r="Q313"/>
      <c r="R313"/>
    </row>
    <row r="314" spans="17:18">
      <c r="Q314"/>
      <c r="R314"/>
    </row>
    <row r="315" spans="17:18">
      <c r="Q315"/>
      <c r="R315"/>
    </row>
    <row r="316" spans="17:18">
      <c r="Q316"/>
      <c r="R316"/>
    </row>
    <row r="317" spans="17:18">
      <c r="Q317"/>
      <c r="R317"/>
    </row>
    <row r="318" spans="17:18">
      <c r="Q318"/>
      <c r="R318"/>
    </row>
    <row r="319" spans="17:18">
      <c r="Q319"/>
      <c r="R319"/>
    </row>
    <row r="320" spans="17:18">
      <c r="Q320"/>
      <c r="R320"/>
    </row>
    <row r="321" spans="17:18">
      <c r="Q321"/>
      <c r="R321"/>
    </row>
    <row r="322" spans="17:18">
      <c r="Q322"/>
      <c r="R322"/>
    </row>
    <row r="323" spans="17:18">
      <c r="Q323"/>
      <c r="R323"/>
    </row>
    <row r="324" spans="17:18">
      <c r="Q324"/>
      <c r="R324"/>
    </row>
    <row r="325" spans="17:18">
      <c r="Q325"/>
      <c r="R325"/>
    </row>
    <row r="326" spans="17:18">
      <c r="Q326"/>
      <c r="R326"/>
    </row>
    <row r="327" spans="17:18">
      <c r="Q327"/>
      <c r="R327"/>
    </row>
    <row r="328" spans="17:18">
      <c r="Q328"/>
      <c r="R328"/>
    </row>
    <row r="329" spans="17:18">
      <c r="Q329"/>
      <c r="R329"/>
    </row>
    <row r="330" spans="17:18">
      <c r="Q330"/>
      <c r="R330"/>
    </row>
    <row r="331" spans="17:18">
      <c r="Q331"/>
      <c r="R331"/>
    </row>
    <row r="332" spans="17:18">
      <c r="Q332"/>
      <c r="R332"/>
    </row>
    <row r="333" spans="17:18">
      <c r="Q333"/>
      <c r="R333"/>
    </row>
    <row r="334" spans="17:18">
      <c r="Q334"/>
      <c r="R334"/>
    </row>
    <row r="335" spans="17:18">
      <c r="Q335"/>
      <c r="R335"/>
    </row>
    <row r="336" spans="17:18">
      <c r="Q336"/>
      <c r="R336"/>
    </row>
    <row r="337" spans="17:18">
      <c r="Q337"/>
      <c r="R337"/>
    </row>
    <row r="338" spans="17:18">
      <c r="Q338"/>
      <c r="R338"/>
    </row>
    <row r="339" spans="17:18">
      <c r="Q339"/>
      <c r="R339"/>
    </row>
    <row r="340" spans="17:18">
      <c r="Q340"/>
      <c r="R340"/>
    </row>
    <row r="341" spans="17:18">
      <c r="Q341"/>
      <c r="R341"/>
    </row>
    <row r="342" spans="17:18">
      <c r="Q342"/>
      <c r="R342"/>
    </row>
    <row r="343" spans="17:18">
      <c r="Q343"/>
      <c r="R343"/>
    </row>
    <row r="344" spans="17:18">
      <c r="Q344"/>
      <c r="R344"/>
    </row>
    <row r="345" spans="17:18">
      <c r="Q345"/>
      <c r="R345"/>
    </row>
    <row r="346" spans="17:18">
      <c r="Q346"/>
      <c r="R346"/>
    </row>
    <row r="347" spans="17:18">
      <c r="Q347"/>
      <c r="R347"/>
    </row>
    <row r="348" spans="17:18">
      <c r="Q348"/>
      <c r="R348"/>
    </row>
    <row r="349" spans="17:18">
      <c r="Q349"/>
      <c r="R349"/>
    </row>
    <row r="350" spans="17:18">
      <c r="Q350"/>
      <c r="R350"/>
    </row>
    <row r="351" spans="17:18">
      <c r="Q351"/>
      <c r="R351"/>
    </row>
    <row r="352" spans="17:18">
      <c r="Q352"/>
      <c r="R352"/>
    </row>
    <row r="353" spans="17:18">
      <c r="Q353"/>
      <c r="R353"/>
    </row>
    <row r="354" spans="17:18">
      <c r="Q354"/>
      <c r="R354"/>
    </row>
    <row r="355" spans="17:18">
      <c r="Q355"/>
      <c r="R355"/>
    </row>
    <row r="356" spans="17:18">
      <c r="Q356"/>
      <c r="R356"/>
    </row>
    <row r="357" spans="17:18">
      <c r="Q357"/>
      <c r="R357"/>
    </row>
    <row r="358" spans="17:18">
      <c r="Q358"/>
      <c r="R358"/>
    </row>
    <row r="359" spans="17:18">
      <c r="Q359"/>
      <c r="R359"/>
    </row>
    <row r="360" spans="17:18">
      <c r="Q360"/>
      <c r="R360"/>
    </row>
    <row r="361" spans="17:18">
      <c r="Q361"/>
      <c r="R361"/>
    </row>
    <row r="362" spans="17:18">
      <c r="Q362"/>
      <c r="R362"/>
    </row>
    <row r="363" spans="17:18">
      <c r="Q363"/>
      <c r="R363"/>
    </row>
    <row r="364" spans="17:18">
      <c r="Q364"/>
      <c r="R364"/>
    </row>
    <row r="365" spans="17:18">
      <c r="Q365"/>
      <c r="R365"/>
    </row>
    <row r="366" spans="17:18">
      <c r="Q366"/>
      <c r="R366"/>
    </row>
    <row r="367" spans="17:18">
      <c r="Q367"/>
      <c r="R367"/>
    </row>
    <row r="368" spans="17:18">
      <c r="Q368"/>
      <c r="R368"/>
    </row>
    <row r="369" spans="17:18">
      <c r="Q369"/>
      <c r="R369"/>
    </row>
    <row r="370" spans="17:18">
      <c r="Q370"/>
      <c r="R370"/>
    </row>
    <row r="371" spans="17:18">
      <c r="Q371"/>
      <c r="R371"/>
    </row>
    <row r="372" spans="17:18">
      <c r="Q372"/>
      <c r="R372"/>
    </row>
    <row r="373" spans="17:18">
      <c r="Q373"/>
      <c r="R373"/>
    </row>
    <row r="374" spans="17:18">
      <c r="Q374"/>
      <c r="R374"/>
    </row>
    <row r="375" spans="17:18">
      <c r="Q375"/>
      <c r="R375"/>
    </row>
    <row r="376" spans="17:18">
      <c r="Q376"/>
      <c r="R376"/>
    </row>
    <row r="377" spans="17:18">
      <c r="Q377"/>
      <c r="R377"/>
    </row>
    <row r="378" spans="17:18">
      <c r="Q378"/>
      <c r="R378"/>
    </row>
    <row r="379" spans="17:18">
      <c r="Q379"/>
      <c r="R379"/>
    </row>
    <row r="380" spans="17:18">
      <c r="Q380"/>
      <c r="R380"/>
    </row>
  </sheetData>
  <autoFilter ref="Q2:R243" xr:uid="{00000000-0009-0000-0000-000003000000}"/>
  <conditionalFormatting sqref="R3:R24">
    <cfRule type="cellIs" dxfId="0" priority="4" operator="lessThan">
      <formula>0</formula>
    </cfRule>
  </conditionalFormatting>
  <pageMargins left="0.7" right="0.7" top="0.75" bottom="0.75" header="0.511811023622047" footer="0.511811023622047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Инструкция</vt:lpstr>
      <vt:lpstr>ФСД-2.мероприятия</vt:lpstr>
      <vt:lpstr>ФСД-2.расчет</vt:lpstr>
      <vt:lpstr>Справочники</vt:lpstr>
      <vt:lpstr>Справочники!Область_печати</vt:lpstr>
      <vt:lpstr>'ФСД-2.мероприятия'!Область_печати</vt:lpstr>
      <vt:lpstr>'ФСД-2.расчет'!Область_печати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Глухов Юрий Олегович</dc:creator>
  <dc:description/>
  <cp:lastModifiedBy>danel</cp:lastModifiedBy>
  <cp:revision>2</cp:revision>
  <cp:lastPrinted>2025-12-12T11:49:18Z</cp:lastPrinted>
  <dcterms:created xsi:type="dcterms:W3CDTF">2024-01-29T14:02:09Z</dcterms:created>
  <dcterms:modified xsi:type="dcterms:W3CDTF">2026-02-05T12:27:34Z</dcterms:modified>
  <dc:language>ru-RU</dc:language>
</cp:coreProperties>
</file>
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Work_Project\JavaGovna\danila\fsd5-parser-update\src\test\resources\"/>
    </mc:Choice>
  </mc:AlternateContent>
  <xr:revisionPtr revIDLastSave="0" documentId="13_ncr:1_{1082B9BA-B79E-4DFB-A5D0-A679D9D41514}" xr6:coauthVersionLast="47" xr6:coauthVersionMax="47" xr10:uidLastSave="{00000000-0000-0000-0000-000000000000}"/>
  <bookViews>
    <workbookView xWindow="2670" yWindow="975" windowWidth="21600" windowHeight="13635" activeTab="1" xr2:uid="{00000000-000D-0000-FFFF-FFFF00000000}"/>
  </bookViews>
  <sheets>
    <sheet name="Инструкция" sheetId="4" r:id="rId1"/>
    <sheet name="ФСД-5.мероприятия" sheetId="1" r:id="rId2"/>
    <sheet name="ФСД-5 Макс. суточная добыча" sheetId="6" state="hidden" r:id="rId3"/>
    <sheet name="Справочник" sheetId="5" r:id="rId4"/>
  </sheets>
  <externalReferences>
    <externalReference r:id="rId5"/>
  </externalReferences>
  <definedNames>
    <definedName name="_xlnm._FilterDatabase" localSheetId="3" hidden="1">Справочник!$B$5:$C$5</definedName>
    <definedName name="Горизонт">OFFSET(Справочник!$E$6,MATCH('ФСД-5.мероприятия'!$C$7,Справочник!$E:$E,0)-6,1,COUNTIF(Справочник!$E:$E,'ФСД-5.мероприятия'!$C$7),1)</definedName>
    <definedName name="Месторождение">OFFSET(Справочник!$B$6,MATCH('ФСД-5.мероприятия'!$C$6,Справочник!$B:$B,0)-6,1,COUNTIF(Справочник!$B:$B,'ФСД-5.мероприятия'!$C$6),1)</definedName>
    <definedName name="Номер_мероприятия">OFFSET(Справочник!$Z$6,MATCH('ФСД-5.мероприятия'!XFC1,Справочник!$Z:$Z,0)-6,1,COUNTIF(Справочник!$Z:$Z,'ФСД-5.мероприятия'!XFC1),1)</definedName>
    <definedName name="Номер_стройки">OFFSET(Справочник!$V$6,MATCH('ФСД-5.мероприятия'!$C$7,Справочник!$V:$V,0)-6,1,COUNTIF(Справочник!$V:$V,'ФСД-5.мероприятия'!$C$7),1)</definedName>
    <definedName name="_xlnm.Print_Area" localSheetId="2">'ФСД-5 Макс. суточная добыча'!$A$1:$G$46</definedName>
    <definedName name="_xlnm.Print_Area" localSheetId="1">'ФСД-5.мероприятия'!$A$1:$O$21</definedName>
    <definedName name="Площадь">OFFSET(Справочник!$K$6,MATCH(CONCATENATE('ФСД-5.мероприятия'!$C$7,'ФСД-5.мероприятия'!$C$8),Справочник!$K:$K,0)-6,1,COUNTIF(Справочник!$K:$K,CONCATENATE('ФСД-5.мероприятия'!$C$7,'ФСД-5.мероприятия'!$C$8)),1)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1" l="1"/>
  <c r="C21" i="1"/>
  <c r="O19" i="1"/>
  <c r="E19" i="1"/>
  <c r="C19" i="1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6" i="5"/>
  <c r="Y7" i="5" l="1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244" i="5"/>
  <c r="Y245" i="5"/>
  <c r="Y246" i="5"/>
  <c r="Y247" i="5"/>
  <c r="Y248" i="5"/>
  <c r="Y249" i="5"/>
  <c r="Y250" i="5"/>
  <c r="Y251" i="5"/>
  <c r="Y252" i="5"/>
  <c r="Y253" i="5"/>
  <c r="Y254" i="5"/>
  <c r="Y255" i="5"/>
  <c r="Y256" i="5"/>
  <c r="Y257" i="5"/>
  <c r="Y258" i="5"/>
  <c r="Y259" i="5"/>
  <c r="Y260" i="5"/>
  <c r="Y261" i="5"/>
  <c r="Y262" i="5"/>
  <c r="Y263" i="5"/>
  <c r="Y264" i="5"/>
  <c r="Y265" i="5"/>
  <c r="Y266" i="5"/>
  <c r="Y267" i="5"/>
  <c r="Y268" i="5"/>
  <c r="Y269" i="5"/>
  <c r="Y270" i="5"/>
  <c r="Y271" i="5"/>
  <c r="Y272" i="5"/>
  <c r="Y273" i="5"/>
  <c r="Y274" i="5"/>
  <c r="Y275" i="5"/>
  <c r="Y276" i="5"/>
  <c r="Y277" i="5"/>
  <c r="Y278" i="5"/>
  <c r="Y279" i="5"/>
  <c r="Y280" i="5"/>
  <c r="Y281" i="5"/>
  <c r="Y282" i="5"/>
  <c r="Y283" i="5"/>
  <c r="Y284" i="5"/>
  <c r="Y285" i="5"/>
  <c r="Y286" i="5"/>
  <c r="Y287" i="5"/>
  <c r="Y288" i="5"/>
  <c r="Y289" i="5"/>
  <c r="Y290" i="5"/>
  <c r="Y291" i="5"/>
  <c r="Y292" i="5"/>
  <c r="Y293" i="5"/>
  <c r="Y294" i="5"/>
  <c r="Y295" i="5"/>
  <c r="Y296" i="5"/>
  <c r="Y297" i="5"/>
  <c r="Y298" i="5"/>
  <c r="Y299" i="5"/>
  <c r="Y300" i="5"/>
  <c r="Y301" i="5"/>
  <c r="Y302" i="5"/>
  <c r="Y303" i="5"/>
  <c r="Y304" i="5"/>
  <c r="Y305" i="5"/>
  <c r="Y306" i="5"/>
  <c r="Y307" i="5"/>
  <c r="Y308" i="5"/>
  <c r="Y309" i="5"/>
  <c r="Y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Y332" i="5"/>
  <c r="Y333" i="5"/>
  <c r="Y334" i="5"/>
  <c r="Y335" i="5"/>
  <c r="Y336" i="5"/>
  <c r="Y337" i="5"/>
  <c r="Y338" i="5"/>
  <c r="Y339" i="5"/>
  <c r="Y340" i="5"/>
  <c r="Y341" i="5"/>
  <c r="Y342" i="5"/>
  <c r="Y343" i="5"/>
  <c r="Y344" i="5"/>
  <c r="Y345" i="5"/>
  <c r="Y346" i="5"/>
  <c r="Y347" i="5"/>
  <c r="Y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Y381" i="5"/>
  <c r="Y382" i="5"/>
  <c r="Y383" i="5"/>
  <c r="Y384" i="5"/>
  <c r="Y385" i="5"/>
  <c r="Y386" i="5"/>
  <c r="Y387" i="5"/>
  <c r="Y388" i="5"/>
  <c r="Y389" i="5"/>
  <c r="Y390" i="5"/>
  <c r="Y391" i="5"/>
  <c r="Y392" i="5"/>
  <c r="Y393" i="5"/>
  <c r="Y394" i="5"/>
  <c r="Y395" i="5"/>
  <c r="Y396" i="5"/>
  <c r="Y397" i="5"/>
  <c r="Y398" i="5"/>
  <c r="Y399" i="5"/>
  <c r="Y400" i="5"/>
  <c r="Y401" i="5"/>
  <c r="Y402" i="5"/>
  <c r="Y403" i="5"/>
  <c r="Y404" i="5"/>
  <c r="Y405" i="5"/>
  <c r="Y406" i="5"/>
  <c r="Y407" i="5"/>
  <c r="Y408" i="5"/>
  <c r="Y409" i="5"/>
  <c r="Y410" i="5"/>
  <c r="Y411" i="5"/>
  <c r="Y412" i="5"/>
  <c r="Y413" i="5"/>
  <c r="Y414" i="5"/>
  <c r="Y415" i="5"/>
  <c r="Y416" i="5"/>
  <c r="Y417" i="5"/>
  <c r="Y418" i="5"/>
  <c r="Y419" i="5"/>
  <c r="Y420" i="5"/>
  <c r="Y421" i="5"/>
  <c r="Y422" i="5"/>
  <c r="Y423" i="5"/>
  <c r="Y424" i="5"/>
  <c r="Y425" i="5"/>
  <c r="Y426" i="5"/>
  <c r="Y427" i="5"/>
  <c r="Y428" i="5"/>
  <c r="Y429" i="5"/>
  <c r="Y430" i="5"/>
  <c r="Y431" i="5"/>
  <c r="Y432" i="5"/>
  <c r="Y433" i="5"/>
  <c r="Y434" i="5"/>
  <c r="Y435" i="5"/>
  <c r="Y436" i="5"/>
  <c r="Y437" i="5"/>
  <c r="Y438" i="5"/>
  <c r="Y439" i="5"/>
  <c r="Y440" i="5"/>
  <c r="Y441" i="5"/>
  <c r="Y442" i="5"/>
  <c r="Y443" i="5"/>
  <c r="Y444" i="5"/>
  <c r="Y445" i="5"/>
  <c r="Y446" i="5"/>
  <c r="Y447" i="5"/>
  <c r="Y448" i="5"/>
  <c r="Y449" i="5"/>
  <c r="Y450" i="5"/>
  <c r="Y451" i="5"/>
  <c r="Y452" i="5"/>
  <c r="Y453" i="5"/>
  <c r="Y454" i="5"/>
  <c r="Y455" i="5"/>
  <c r="Y456" i="5"/>
  <c r="Y457" i="5"/>
  <c r="Y458" i="5"/>
  <c r="Y459" i="5"/>
  <c r="Y460" i="5"/>
  <c r="Y461" i="5"/>
  <c r="Y462" i="5"/>
  <c r="Y463" i="5"/>
  <c r="Y464" i="5"/>
  <c r="Y465" i="5"/>
  <c r="Y466" i="5"/>
  <c r="Y467" i="5"/>
  <c r="Y468" i="5"/>
  <c r="Y469" i="5"/>
  <c r="Y470" i="5"/>
  <c r="Y471" i="5"/>
  <c r="Y472" i="5"/>
  <c r="Y473" i="5"/>
  <c r="Y474" i="5"/>
  <c r="Y475" i="5"/>
  <c r="Y476" i="5"/>
  <c r="Y477" i="5"/>
  <c r="Y478" i="5"/>
  <c r="Y479" i="5"/>
  <c r="Y480" i="5"/>
  <c r="Y481" i="5"/>
  <c r="Y482" i="5"/>
  <c r="Y483" i="5"/>
  <c r="Y484" i="5"/>
  <c r="Y485" i="5"/>
  <c r="Y486" i="5"/>
  <c r="Y487" i="5"/>
  <c r="Y488" i="5"/>
  <c r="Y489" i="5"/>
  <c r="Y490" i="5"/>
  <c r="Y491" i="5"/>
  <c r="Y492" i="5"/>
  <c r="Y493" i="5"/>
  <c r="Y494" i="5"/>
  <c r="Y495" i="5"/>
  <c r="Y496" i="5"/>
  <c r="Y497" i="5"/>
  <c r="Y498" i="5"/>
  <c r="Y499" i="5"/>
  <c r="Y500" i="5"/>
  <c r="Y501" i="5"/>
  <c r="Y502" i="5"/>
  <c r="Y503" i="5"/>
  <c r="Y504" i="5"/>
  <c r="Y505" i="5"/>
  <c r="Y506" i="5"/>
  <c r="Y507" i="5"/>
  <c r="Y508" i="5"/>
  <c r="Y509" i="5"/>
  <c r="Y510" i="5"/>
  <c r="Y511" i="5"/>
  <c r="Y512" i="5"/>
  <c r="Y513" i="5"/>
  <c r="Y514" i="5"/>
  <c r="Y515" i="5"/>
  <c r="Y516" i="5"/>
  <c r="Y517" i="5"/>
  <c r="Y518" i="5"/>
  <c r="Y519" i="5"/>
  <c r="Y520" i="5"/>
  <c r="Y521" i="5"/>
  <c r="Y522" i="5"/>
  <c r="Y523" i="5"/>
  <c r="Y524" i="5"/>
  <c r="Y525" i="5"/>
  <c r="Y526" i="5"/>
  <c r="Y527" i="5"/>
  <c r="Y528" i="5"/>
  <c r="Y529" i="5"/>
  <c r="Y530" i="5"/>
  <c r="Y531" i="5"/>
  <c r="Y532" i="5"/>
  <c r="Y533" i="5"/>
  <c r="Y534" i="5"/>
  <c r="Y535" i="5"/>
  <c r="Y536" i="5"/>
  <c r="Y537" i="5"/>
  <c r="Y538" i="5"/>
  <c r="Y539" i="5"/>
  <c r="Y540" i="5"/>
  <c r="Y541" i="5"/>
  <c r="Y542" i="5"/>
  <c r="Y543" i="5"/>
  <c r="Y544" i="5"/>
  <c r="Y545" i="5"/>
  <c r="Y546" i="5"/>
  <c r="Y547" i="5"/>
  <c r="Y548" i="5"/>
  <c r="Y549" i="5"/>
  <c r="Y550" i="5"/>
  <c r="Y551" i="5"/>
  <c r="Y552" i="5"/>
  <c r="Y553" i="5"/>
  <c r="Y554" i="5"/>
  <c r="Y555" i="5"/>
  <c r="Y556" i="5"/>
  <c r="Y557" i="5"/>
  <c r="Y558" i="5"/>
  <c r="Y559" i="5"/>
  <c r="Y560" i="5"/>
  <c r="Y561" i="5"/>
  <c r="Y562" i="5"/>
  <c r="Y563" i="5"/>
  <c r="Y564" i="5"/>
  <c r="Y565" i="5"/>
  <c r="Y566" i="5"/>
  <c r="Y567" i="5"/>
  <c r="Y568" i="5"/>
  <c r="Y569" i="5"/>
  <c r="Y570" i="5"/>
  <c r="Y571" i="5"/>
  <c r="Y572" i="5"/>
  <c r="Y573" i="5"/>
  <c r="Y574" i="5"/>
  <c r="Y575" i="5"/>
  <c r="Y576" i="5"/>
  <c r="Y577" i="5"/>
  <c r="Y578" i="5"/>
  <c r="Y579" i="5"/>
  <c r="Y580" i="5"/>
  <c r="Y581" i="5"/>
  <c r="Y582" i="5"/>
  <c r="Y583" i="5"/>
  <c r="Y584" i="5"/>
  <c r="Y585" i="5"/>
  <c r="Y586" i="5"/>
  <c r="Y587" i="5"/>
  <c r="Y588" i="5"/>
  <c r="Y589" i="5"/>
  <c r="Y590" i="5"/>
  <c r="Y591" i="5"/>
  <c r="Y592" i="5"/>
  <c r="Y593" i="5"/>
  <c r="Y594" i="5"/>
  <c r="Y595" i="5"/>
  <c r="Y596" i="5"/>
  <c r="Y597" i="5"/>
  <c r="Y598" i="5"/>
  <c r="Y599" i="5"/>
  <c r="Y600" i="5"/>
  <c r="Y601" i="5"/>
  <c r="Y602" i="5"/>
  <c r="Y603" i="5"/>
  <c r="Y604" i="5"/>
  <c r="Y605" i="5"/>
  <c r="Y606" i="5"/>
  <c r="Y607" i="5"/>
  <c r="Y608" i="5"/>
  <c r="Y609" i="5"/>
  <c r="Y610" i="5"/>
  <c r="Y611" i="5"/>
  <c r="Y612" i="5"/>
  <c r="Y613" i="5"/>
  <c r="Y614" i="5"/>
  <c r="Y615" i="5"/>
  <c r="Y616" i="5"/>
  <c r="Y617" i="5"/>
  <c r="Y618" i="5"/>
  <c r="Y619" i="5"/>
  <c r="Y620" i="5"/>
  <c r="Y621" i="5"/>
  <c r="Y622" i="5"/>
  <c r="Y623" i="5"/>
  <c r="Y624" i="5"/>
  <c r="Y625" i="5"/>
  <c r="Y626" i="5"/>
  <c r="Y627" i="5"/>
  <c r="Y628" i="5"/>
  <c r="Y629" i="5"/>
  <c r="Y630" i="5"/>
  <c r="Y631" i="5"/>
  <c r="Y632" i="5"/>
  <c r="Y633" i="5"/>
  <c r="Y634" i="5"/>
  <c r="Y635" i="5"/>
  <c r="Y636" i="5"/>
  <c r="Y637" i="5"/>
  <c r="Y638" i="5"/>
  <c r="Y639" i="5"/>
  <c r="Y640" i="5"/>
  <c r="Y641" i="5"/>
  <c r="Y642" i="5"/>
  <c r="Y643" i="5"/>
  <c r="Y644" i="5"/>
  <c r="Y645" i="5"/>
  <c r="Y646" i="5"/>
  <c r="Y647" i="5"/>
  <c r="Y648" i="5"/>
  <c r="Y649" i="5"/>
  <c r="Y650" i="5"/>
  <c r="Y651" i="5"/>
  <c r="Y652" i="5"/>
  <c r="Y653" i="5"/>
  <c r="Y654" i="5"/>
  <c r="Y655" i="5"/>
  <c r="Y656" i="5"/>
  <c r="Y657" i="5"/>
  <c r="Y658" i="5"/>
  <c r="Y659" i="5"/>
  <c r="Y660" i="5"/>
  <c r="Y661" i="5"/>
  <c r="Y662" i="5"/>
  <c r="Y663" i="5"/>
  <c r="Y664" i="5"/>
  <c r="Y665" i="5"/>
  <c r="Y666" i="5"/>
  <c r="Y667" i="5"/>
  <c r="Y668" i="5"/>
  <c r="Y669" i="5"/>
  <c r="Y670" i="5"/>
  <c r="Y671" i="5"/>
  <c r="Y672" i="5"/>
  <c r="Y673" i="5"/>
  <c r="Y674" i="5"/>
  <c r="Y675" i="5"/>
  <c r="Y676" i="5"/>
  <c r="Y677" i="5"/>
  <c r="Y678" i="5"/>
  <c r="Y679" i="5"/>
  <c r="Y680" i="5"/>
  <c r="Y681" i="5"/>
  <c r="Y682" i="5"/>
  <c r="Y683" i="5"/>
  <c r="Y684" i="5"/>
  <c r="Y685" i="5"/>
  <c r="Y686" i="5"/>
  <c r="Y687" i="5"/>
  <c r="Y688" i="5"/>
  <c r="Y689" i="5"/>
  <c r="Y690" i="5"/>
  <c r="Y691" i="5"/>
  <c r="Y692" i="5"/>
  <c r="Y693" i="5"/>
  <c r="Y694" i="5"/>
  <c r="Y695" i="5"/>
  <c r="Y696" i="5"/>
  <c r="Y697" i="5"/>
  <c r="Y698" i="5"/>
  <c r="Y699" i="5"/>
  <c r="Y700" i="5"/>
  <c r="Y701" i="5"/>
  <c r="Y702" i="5"/>
  <c r="Y703" i="5"/>
  <c r="Y704" i="5"/>
  <c r="Y705" i="5"/>
  <c r="Y706" i="5"/>
  <c r="Y707" i="5"/>
  <c r="Y708" i="5"/>
  <c r="Y709" i="5"/>
  <c r="Y710" i="5"/>
  <c r="Y711" i="5"/>
  <c r="Y712" i="5"/>
  <c r="Y713" i="5"/>
  <c r="Y714" i="5"/>
  <c r="Y715" i="5"/>
  <c r="Y716" i="5"/>
  <c r="Y717" i="5"/>
  <c r="Y718" i="5"/>
  <c r="Y719" i="5"/>
  <c r="Y720" i="5"/>
  <c r="Y721" i="5"/>
  <c r="Y722" i="5"/>
  <c r="Y723" i="5"/>
  <c r="Y724" i="5"/>
  <c r="Y725" i="5"/>
  <c r="Y726" i="5"/>
  <c r="Y727" i="5"/>
  <c r="Y728" i="5"/>
  <c r="Y729" i="5"/>
  <c r="Y730" i="5"/>
  <c r="Y731" i="5"/>
  <c r="Y732" i="5"/>
  <c r="Y733" i="5"/>
  <c r="Y734" i="5"/>
  <c r="Y735" i="5"/>
  <c r="Y736" i="5"/>
  <c r="Y737" i="5"/>
  <c r="Y738" i="5"/>
  <c r="Y739" i="5"/>
  <c r="Y740" i="5"/>
  <c r="Y741" i="5"/>
  <c r="Y742" i="5"/>
  <c r="Y743" i="5"/>
  <c r="Y744" i="5"/>
  <c r="Y745" i="5"/>
  <c r="Y746" i="5"/>
  <c r="Y747" i="5"/>
  <c r="Y748" i="5"/>
  <c r="Y749" i="5"/>
  <c r="Y750" i="5"/>
  <c r="Y751" i="5"/>
  <c r="Y752" i="5"/>
  <c r="Y753" i="5"/>
  <c r="Y754" i="5"/>
  <c r="Y755" i="5"/>
  <c r="Y756" i="5"/>
  <c r="Y757" i="5"/>
  <c r="Y758" i="5"/>
  <c r="Y759" i="5"/>
  <c r="Y760" i="5"/>
  <c r="Y761" i="5"/>
  <c r="Y762" i="5"/>
  <c r="Y763" i="5"/>
  <c r="Y764" i="5"/>
  <c r="Y765" i="5"/>
  <c r="Y766" i="5"/>
  <c r="Y767" i="5"/>
  <c r="Y768" i="5"/>
  <c r="Y769" i="5"/>
  <c r="Y770" i="5"/>
  <c r="Y771" i="5"/>
  <c r="Y772" i="5"/>
  <c r="Y773" i="5"/>
  <c r="Y774" i="5"/>
  <c r="Y775" i="5"/>
  <c r="Y776" i="5"/>
  <c r="Y777" i="5"/>
  <c r="Y778" i="5"/>
  <c r="Y779" i="5"/>
  <c r="Y780" i="5"/>
  <c r="Y781" i="5"/>
  <c r="Y782" i="5"/>
  <c r="Y783" i="5"/>
  <c r="Y784" i="5"/>
  <c r="Y785" i="5"/>
  <c r="Y786" i="5"/>
  <c r="Y787" i="5"/>
  <c r="Y788" i="5"/>
  <c r="Y789" i="5"/>
  <c r="Y790" i="5"/>
  <c r="Y791" i="5"/>
  <c r="Y792" i="5"/>
  <c r="Y793" i="5"/>
  <c r="Y794" i="5"/>
  <c r="Y795" i="5"/>
  <c r="Y796" i="5"/>
  <c r="Y797" i="5"/>
  <c r="Y798" i="5"/>
  <c r="Y799" i="5"/>
  <c r="Y800" i="5"/>
  <c r="Y801" i="5"/>
  <c r="Y802" i="5"/>
  <c r="Y803" i="5"/>
  <c r="Y804" i="5"/>
  <c r="Y805" i="5"/>
  <c r="Y806" i="5"/>
  <c r="Y807" i="5"/>
  <c r="Y808" i="5"/>
  <c r="Y809" i="5"/>
  <c r="Y810" i="5"/>
  <c r="Y811" i="5"/>
  <c r="Y812" i="5"/>
  <c r="Y813" i="5"/>
  <c r="Y814" i="5"/>
  <c r="Y815" i="5"/>
  <c r="Y816" i="5"/>
  <c r="Y817" i="5"/>
  <c r="Y818" i="5"/>
  <c r="Y819" i="5"/>
  <c r="Y820" i="5"/>
  <c r="Y821" i="5"/>
  <c r="Y822" i="5"/>
  <c r="Y823" i="5"/>
  <c r="Y824" i="5"/>
  <c r="Y825" i="5"/>
  <c r="Y826" i="5"/>
  <c r="Y827" i="5"/>
  <c r="Y828" i="5"/>
  <c r="Y829" i="5"/>
  <c r="Y830" i="5"/>
  <c r="Y831" i="5"/>
  <c r="Y832" i="5"/>
  <c r="Y833" i="5"/>
  <c r="Y834" i="5"/>
  <c r="Y835" i="5"/>
  <c r="Y836" i="5"/>
  <c r="Y837" i="5"/>
  <c r="Y838" i="5"/>
  <c r="Y839" i="5"/>
  <c r="Y840" i="5"/>
  <c r="Y841" i="5"/>
  <c r="Y842" i="5"/>
  <c r="Y843" i="5"/>
  <c r="Y844" i="5"/>
  <c r="Y845" i="5"/>
  <c r="Y846" i="5"/>
  <c r="Y847" i="5"/>
  <c r="Y848" i="5"/>
  <c r="Y849" i="5"/>
  <c r="Y850" i="5"/>
  <c r="Y851" i="5"/>
  <c r="Y852" i="5"/>
  <c r="Y853" i="5"/>
  <c r="Y854" i="5"/>
  <c r="Y855" i="5"/>
  <c r="Y856" i="5"/>
  <c r="Y857" i="5"/>
  <c r="Y858" i="5"/>
  <c r="Y859" i="5"/>
  <c r="Y860" i="5"/>
  <c r="Y861" i="5"/>
  <c r="Y862" i="5"/>
  <c r="Y863" i="5"/>
  <c r="Y864" i="5"/>
  <c r="Y865" i="5"/>
  <c r="Y866" i="5"/>
  <c r="Y867" i="5"/>
  <c r="Y868" i="5"/>
  <c r="Y869" i="5"/>
  <c r="Y870" i="5"/>
  <c r="Y871" i="5"/>
  <c r="Y872" i="5"/>
  <c r="Y873" i="5"/>
  <c r="Y874" i="5"/>
  <c r="Y875" i="5"/>
  <c r="Y876" i="5"/>
  <c r="Y877" i="5"/>
  <c r="Y878" i="5"/>
  <c r="Y879" i="5"/>
  <c r="Y880" i="5"/>
  <c r="Y881" i="5"/>
  <c r="Y882" i="5"/>
  <c r="Y883" i="5"/>
  <c r="Y884" i="5"/>
  <c r="Y6" i="5"/>
  <c r="E20" i="1" l="1"/>
  <c r="E21" i="1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1" i="1" l="1"/>
  <c r="O20" i="1"/>
  <c r="C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D_Tatarikov</author>
  </authors>
  <commentList>
    <comment ref="C12" authorId="0" shapeId="0" xr:uid="{00000000-0006-0000-0100-000001000000}">
      <text>
        <r>
          <rPr>
            <sz val="9"/>
            <color indexed="81"/>
            <rFont val="Tahoma"/>
            <family val="2"/>
            <charset val="204"/>
          </rPr>
          <t xml:space="preserve">Указать версию КПР в рамках которой выполнен расчет эффектов
Пример 1.1:
Где 1 номер этапа, 1номер версии
</t>
        </r>
      </text>
    </comment>
    <comment ref="C14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Указать версию Пикового Баланса для сопоставления (синхронизации) эффектов с КПР
Пример 2.1:
где- 2 номер Этапа, 1 номер версии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<sst xmlns="http://schemas.openxmlformats.org/spreadsheetml/2006/main" count="4837" uniqueCount="2902">
  <si>
    <t>ООО "Газпром добыча Ямбург"</t>
  </si>
  <si>
    <t>ООО "Газпром добыча Надым"</t>
  </si>
  <si>
    <t>ООО "Газпром добыча Ноябрьск"</t>
  </si>
  <si>
    <t>ООО "Газпром добыча Оренбург"</t>
  </si>
  <si>
    <t>ООО "Газпром добыча Краснодар"</t>
  </si>
  <si>
    <t>ООО "Газпром добыча Астрахань"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</si>
  <si>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</si>
  <si>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</si>
  <si>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</si>
  <si>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</si>
  <si>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</si>
  <si>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</si>
  <si>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</si>
  <si>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</si>
  <si>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</si>
  <si>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</si>
  <si>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</si>
  <si>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</si>
  <si>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Бованенковское</t>
  </si>
  <si>
    <t>Вынгапуровское</t>
  </si>
  <si>
    <t>Вынгаяхинское</t>
  </si>
  <si>
    <t>Губкинское</t>
  </si>
  <si>
    <t>Ен-Яхинское</t>
  </si>
  <si>
    <t>Еты-Пуровское</t>
  </si>
  <si>
    <t>Западно-Таркосалинское</t>
  </si>
  <si>
    <t>Заполярное</t>
  </si>
  <si>
    <t>Комсомольское</t>
  </si>
  <si>
    <t>Медвежье</t>
  </si>
  <si>
    <t>Северо-Уренгойское</t>
  </si>
  <si>
    <t>Уренгойское</t>
  </si>
  <si>
    <t>Юбилейное</t>
  </si>
  <si>
    <t>Ямбургское</t>
  </si>
  <si>
    <t>Ямсовейское</t>
  </si>
  <si>
    <t>Гелогический горизонт</t>
  </si>
  <si>
    <t>Площадь</t>
  </si>
  <si>
    <t>Мероприятие</t>
  </si>
  <si>
    <t>1 кв.</t>
  </si>
  <si>
    <t>3 кв.</t>
  </si>
  <si>
    <t>2 кв.</t>
  </si>
  <si>
    <t>4 кв.</t>
  </si>
  <si>
    <t xml:space="preserve">Сценарий </t>
  </si>
  <si>
    <t>Бованенковское.Сеноман-апт</t>
  </si>
  <si>
    <t>Заполярное.Неоком</t>
  </si>
  <si>
    <t>Заполярное.Сеноман</t>
  </si>
  <si>
    <t>Заполярное.Турон</t>
  </si>
  <si>
    <t>Уренгойское.Неоком</t>
  </si>
  <si>
    <t>Год планирования</t>
  </si>
  <si>
    <t>Год</t>
  </si>
  <si>
    <t>Период</t>
  </si>
  <si>
    <t>Назначение ФСД-5</t>
  </si>
  <si>
    <t>ФСД предназначена для загрузки в ИСППР прогнозых показателей прироста максимальной добычи для каждого отдельного мероприятия КПР. Мероприятия и их дата ввода в эксплуатацию определяются в ФСД-2</t>
  </si>
  <si>
    <t>Заполярное.Юра</t>
  </si>
  <si>
    <t>Утвержденная</t>
  </si>
  <si>
    <t>Правила заполнения ФСД</t>
  </si>
  <si>
    <t>1) Каждая ФСД содержит "шапку" с заголовочной частью данных. Все аналитики "шапки" должны быть заполнены. Заполнение возможно строго из выпадающих списков, добавлять произвольные значения нельзя.</t>
  </si>
  <si>
    <t>2) Каждая ФСД содержит табличную часть. В "боковике" табличной части необходимо выбрать / заполнить аналитики или показатели из выпадающих списков, добавлять произвольные значения нельзя</t>
  </si>
  <si>
    <t>3) В табличной части ФСД предусмотрены поля для ручного заполнения данных. 
Числовые данные необходимо заносить исключительно в числовом формате, с разделителем в виде запятой.
Числовые значения необходимо заполнять в единицах измерения, указанных в заголовке табличной части или заданных в показателе.
Даты необходимо заносить в формате ДД.ММ.ГГГГ.</t>
  </si>
  <si>
    <r>
      <rPr>
        <b/>
        <u/>
        <sz val="12"/>
        <color rgb="FF000000"/>
        <rFont val="Arial (Основной текст)"/>
        <charset val="204"/>
      </rPr>
      <t xml:space="preserve">4) Важно:
</t>
    </r>
    <r>
      <rPr>
        <sz val="12"/>
        <color rgb="FF000000"/>
        <rFont val="Arial"/>
        <family val="2"/>
        <charset val="204"/>
        <scheme val="minor"/>
      </rPr>
      <t>- изменение структуры ФСД недопустимо, а именно:
- удаление / корректировка формул,
- добавление / удаление / корректировка столбцов,
- изменение справочных данных.
В случае добавления строки, необходимо контролировать добавление формул и унаследование ограничения в виде выпадающих списков.</t>
    </r>
  </si>
  <si>
    <t>Уренгойское.Сеноман</t>
  </si>
  <si>
    <t>Справочник</t>
  </si>
  <si>
    <t>ГДО</t>
  </si>
  <si>
    <t>Месторождение</t>
  </si>
  <si>
    <t>Астраханское</t>
  </si>
  <si>
    <t>ООО "Газпром добыча Уренгой"</t>
  </si>
  <si>
    <t>Азовское</t>
  </si>
  <si>
    <t>Безопасненское</t>
  </si>
  <si>
    <t>Бейсугское</t>
  </si>
  <si>
    <t>Березовское</t>
  </si>
  <si>
    <t>Болтное</t>
  </si>
  <si>
    <t>Бухаровское</t>
  </si>
  <si>
    <t>Восточно-Прибрежное</t>
  </si>
  <si>
    <t>Основная артинско-среднекаменноугольная залежь</t>
  </si>
  <si>
    <t>АО "Газпром добыча Томск"</t>
  </si>
  <si>
    <t>Вуктыльское</t>
  </si>
  <si>
    <t>ООО "Газпром добыча Тамбей"</t>
  </si>
  <si>
    <t>ПАО "Газпром нефть"</t>
  </si>
  <si>
    <t>ООО "Газпромнефть-Заполярье"</t>
  </si>
  <si>
    <t>Граничное</t>
  </si>
  <si>
    <t>ООО "Газпром добыча Иркутск"</t>
  </si>
  <si>
    <t>Гривенское</t>
  </si>
  <si>
    <t>ООО "Газпром трансгаз Югорск"</t>
  </si>
  <si>
    <t>ООО "Газпром добыча шельф Южно-Сахалинск"</t>
  </si>
  <si>
    <t>Деминское</t>
  </si>
  <si>
    <t>ООО "Газпром добыча Кузнецк"</t>
  </si>
  <si>
    <t>ООО "Сахалинская энергия"</t>
  </si>
  <si>
    <t>АО "Газпром газораспределение Элиста"</t>
  </si>
  <si>
    <t>Журавское</t>
  </si>
  <si>
    <t>ООО "Газпромвьет"</t>
  </si>
  <si>
    <t>Западно-Красноармейское</t>
  </si>
  <si>
    <t>Западно-Соплесское</t>
  </si>
  <si>
    <t>Ики-Бурульское</t>
  </si>
  <si>
    <t>Ильинское</t>
  </si>
  <si>
    <t>Казанское</t>
  </si>
  <si>
    <t>Каменно-Балковское</t>
  </si>
  <si>
    <t>Каменномысское-море</t>
  </si>
  <si>
    <t>Каневское-Лебяжье</t>
  </si>
  <si>
    <t>Киринское</t>
  </si>
  <si>
    <t>Ковыктинское</t>
  </si>
  <si>
    <t>Красноармейское</t>
  </si>
  <si>
    <t>Кугутское</t>
  </si>
  <si>
    <t>Кшукское</t>
  </si>
  <si>
    <t>Лунское</t>
  </si>
  <si>
    <t>Марковское</t>
  </si>
  <si>
    <t>Мечетское</t>
  </si>
  <si>
    <t>Мирненское</t>
  </si>
  <si>
    <t>Мирное</t>
  </si>
  <si>
    <t>Мостовянское</t>
  </si>
  <si>
    <t>Мыльджинское</t>
  </si>
  <si>
    <t>Нагумановское</t>
  </si>
  <si>
    <t>Нарыкско-Осташнинское</t>
  </si>
  <si>
    <t>Нижнеквакчикское</t>
  </si>
  <si>
    <t>Николаевское</t>
  </si>
  <si>
    <t>Оренбургское</t>
  </si>
  <si>
    <t>Останинское</t>
  </si>
  <si>
    <t>Патроновское</t>
  </si>
  <si>
    <t>Песцовое</t>
  </si>
  <si>
    <t>Песчаное</t>
  </si>
  <si>
    <t>Петровско-Благодарненское</t>
  </si>
  <si>
    <t>Печорокожвинское</t>
  </si>
  <si>
    <t>Пильтун-Астохское</t>
  </si>
  <si>
    <t>Пинджинское</t>
  </si>
  <si>
    <t>Прибрежное</t>
  </si>
  <si>
    <t>Радыковское</t>
  </si>
  <si>
    <t>Расшеватское</t>
  </si>
  <si>
    <t>Роговское</t>
  </si>
  <si>
    <t>Рыбальное</t>
  </si>
  <si>
    <t>Северо-Васюганское</t>
  </si>
  <si>
    <t>Северо-Гривенское</t>
  </si>
  <si>
    <t>Северо-Каменномысское</t>
  </si>
  <si>
    <t>Северо-Колпаковское</t>
  </si>
  <si>
    <t>Северо-Останинское</t>
  </si>
  <si>
    <t>Северо-Прибрежное</t>
  </si>
  <si>
    <t>Северо-Пуровское</t>
  </si>
  <si>
    <t>Северо-Чебургольское</t>
  </si>
  <si>
    <t>Сенгилеевское</t>
  </si>
  <si>
    <t>Синявское</t>
  </si>
  <si>
    <t>Совхозное</t>
  </si>
  <si>
    <t>Талдинское</t>
  </si>
  <si>
    <t>Тамбейское</t>
  </si>
  <si>
    <t>Тахта-Кугультинское</t>
  </si>
  <si>
    <t>Харасавэйское</t>
  </si>
  <si>
    <t>Чаяндинское</t>
  </si>
  <si>
    <t>Челбасское</t>
  </si>
  <si>
    <t>Элитное</t>
  </si>
  <si>
    <t>Югидское</t>
  </si>
  <si>
    <t>Южно-Киринское</t>
  </si>
  <si>
    <t>Южно-Радыковское</t>
  </si>
  <si>
    <t>Южно-Русское</t>
  </si>
  <si>
    <t>Геологический горизонт</t>
  </si>
  <si>
    <t>Код стройки</t>
  </si>
  <si>
    <t>Наименование стройки</t>
  </si>
  <si>
    <t>051-2000005</t>
  </si>
  <si>
    <t>051-2000006</t>
  </si>
  <si>
    <t>Реконструкция эксплуатационных скважин Астраханского газоконденсатного месторождения с боковой зарезкой стволов</t>
  </si>
  <si>
    <t>Дата заполнения</t>
  </si>
  <si>
    <t>Автор</t>
  </si>
  <si>
    <t>Версия согласования</t>
  </si>
  <si>
    <t>Астраханское.Карбон</t>
  </si>
  <si>
    <t>Вынгаяхинское.Сеноман</t>
  </si>
  <si>
    <t>Губкинское.Сеноман</t>
  </si>
  <si>
    <t>Ен-Яхинское.Неоком</t>
  </si>
  <si>
    <t>Еты-Пуровское.Сеноман</t>
  </si>
  <si>
    <t>Западно-Таркосалинское.Неоком</t>
  </si>
  <si>
    <t>Западно-Таркосалинское.Сеноман</t>
  </si>
  <si>
    <t>Комсомольское.Сеноман</t>
  </si>
  <si>
    <t>Медвежье.Неоком</t>
  </si>
  <si>
    <t>Медвежье.Сеноман</t>
  </si>
  <si>
    <t>Оренбургское.Ассельская залежь</t>
  </si>
  <si>
    <t>Оренбургское.Блок I север</t>
  </si>
  <si>
    <t>Оренбургское.Блок I Юг</t>
  </si>
  <si>
    <t>Оренбургское.Залежи пластов A1-A4</t>
  </si>
  <si>
    <t>Оренбургское.Оренбургское</t>
  </si>
  <si>
    <t>Оренбургское.Основная артинско-среднекаменноугольная залежь</t>
  </si>
  <si>
    <t>Оренбургское.Среднекаменноугольная залежь</t>
  </si>
  <si>
    <t>Оренбургское.Филипповская залежь</t>
  </si>
  <si>
    <t>Уренгойское.Ачимовка</t>
  </si>
  <si>
    <t>Харасавэйское.Сеноман-апт</t>
  </si>
  <si>
    <t>Юбилейное.Сеноман</t>
  </si>
  <si>
    <t>Южно-Русское.Апт-альб-сеноманский</t>
  </si>
  <si>
    <t>Южно-Русское.Туронский</t>
  </si>
  <si>
    <t>Ямбургское.Неоком</t>
  </si>
  <si>
    <t>Ямбургское.Сеноман</t>
  </si>
  <si>
    <t>Ямсовейское.Сеноман</t>
  </si>
  <si>
    <t>Флажок</t>
  </si>
  <si>
    <t>051-2000006.Астраханское.Карбон.Скважины.ЗБС</t>
  </si>
  <si>
    <t>Бованенковское.Неоком-юра</t>
  </si>
  <si>
    <t>051-2000005.Астраханское.Карбон.Скважины.НКТ</t>
  </si>
  <si>
    <t>051-2001317.Астраханское.Карбон.Скважины.Реконструкция обвязки скважин</t>
  </si>
  <si>
    <t>Вынгапуровское.Сеноман</t>
  </si>
  <si>
    <t>051-2001317.Астраханское.Карбон.Тепло-, водоснабжение и очистные сооружения.Сети водоснабжения и канализации</t>
  </si>
  <si>
    <t>051-2002202.Астраханское.Карбон.Скважины.Новые скважины</t>
  </si>
  <si>
    <t>051-2000010.Астраханское.Карбон.Скважины.Новые скважины</t>
  </si>
  <si>
    <t>051-2004395.Астраханское.Карбон.Скважины.Новые скважины</t>
  </si>
  <si>
    <t>б/н.Астраханское.Карбон.ДКС.ДКС</t>
  </si>
  <si>
    <t>Западно-Таркосалинское.Ачимовский</t>
  </si>
  <si>
    <t>051-2005523.Бованенковское.Сеноман-апт.ДКС.СПЧ</t>
  </si>
  <si>
    <t>051-2005692.Бованенковское.Сеноман-апт.ДКС.ГПА</t>
  </si>
  <si>
    <t>051-2006513.Бованенковское.Сеноман-апт.ДКС.СПЧ</t>
  </si>
  <si>
    <t>Западно-Таркосалинское.Юра</t>
  </si>
  <si>
    <t>051-2004681.Бованенковское.Сеноман-апт.Скважины.САКЗ</t>
  </si>
  <si>
    <t>051-2005706.Бованенковское.Сеноман-апт.Тепло-, водоснабжение и очистные сооружения.Котельная</t>
  </si>
  <si>
    <t>051-2006188.Бованенковское.Сеноман-апт.ДКС.НКТ</t>
  </si>
  <si>
    <t>051-2006342.Бованенковское.Сеноман-апт.Прочие объекты инженерного обеспечения.Прочее оборудование</t>
  </si>
  <si>
    <t>051-2006571.Бованенковское.Сеноман-апт.Прочие объекты инженерного обеспечения.Прочее оборудование</t>
  </si>
  <si>
    <t>051-2006570.Бованенковское.Сеноман-апт.Тепло-, водоснабжение и очистные сооружения.ЭСН</t>
  </si>
  <si>
    <t>Медвежье.Ачимовский</t>
  </si>
  <si>
    <t>051-2006570.Бованенковское.Сеноман-апт.Прочие объекты инженерного обеспечения.Прочее оборудование</t>
  </si>
  <si>
    <t>051-2004674.Бованенковское.Сеноман-апт.ДКС.ДКС</t>
  </si>
  <si>
    <t>051-2004674.Бованенковское.Сеноман-апт.Скважины.Новые скважины</t>
  </si>
  <si>
    <t>Медвежье.Сенон</t>
  </si>
  <si>
    <t>051-2006518.Вынгаяхинское.Сеноман.Скважины.ПАВ</t>
  </si>
  <si>
    <t>б/н.Вынгаяхинское.Сеноман.ДКС.СПЧ</t>
  </si>
  <si>
    <t>051-3006280.Вынгаяхинское.Сеноман.Скважины.ЗБС</t>
  </si>
  <si>
    <t>б/н.Губкинское.Сеноман.ДКС.СПЧ</t>
  </si>
  <si>
    <t>Оренбургское.Девонская залежь</t>
  </si>
  <si>
    <t>б/н.Губкинское.Сеноман.Скважины.ПАВ</t>
  </si>
  <si>
    <t>б/н.Губкинское.Сеноман.ДКС.</t>
  </si>
  <si>
    <t>б/н.Губкинское.Сеноман.Скважины.КЛК</t>
  </si>
  <si>
    <t>б/н.Губкинское.Сеноман.ГСС.</t>
  </si>
  <si>
    <t>б/н.Губкинское.Сеноман.ГСС.МКУ</t>
  </si>
  <si>
    <t>Песцовое.ачимовка</t>
  </si>
  <si>
    <t>б/н.Губкинское.Сеноман.Скважины.ЗБС</t>
  </si>
  <si>
    <t>Песцовое.неоком</t>
  </si>
  <si>
    <t>051-2004692.Ен-Яхинское.Неоком.Скважины.НКТ</t>
  </si>
  <si>
    <t>Песцовое.юра</t>
  </si>
  <si>
    <t>б/н.Ен-Яхинское.Неоком.ДКС.УКПГ</t>
  </si>
  <si>
    <t>Северо-Уренгойское.Сеноман</t>
  </si>
  <si>
    <t>б/н.Ен-Яхинское.Неоком.ДКС.СПЧ</t>
  </si>
  <si>
    <t>Уренгойское.Ачимовка.1А</t>
  </si>
  <si>
    <t>б/н.Ен-Яхинское.Неоком.ГСС.МКУ</t>
  </si>
  <si>
    <t>Уренгойское.Ачимовка.2А</t>
  </si>
  <si>
    <t>б/н.Ен-Яхинское.Неоком.Скважины.ЗБС</t>
  </si>
  <si>
    <t>Уренгойское.Ачимовка.3А</t>
  </si>
  <si>
    <t>б/н.Ен-Яхинское.Неоком.Скважины.Новые скважины</t>
  </si>
  <si>
    <t>Уренгойское.Ачимовка.4А</t>
  </si>
  <si>
    <t>б/н.Ен-Яхинское.Неоком.ДКС.ДКС</t>
  </si>
  <si>
    <t>Уренгойское.Ачимовка.5А</t>
  </si>
  <si>
    <t>б/н.Еты-Пуровское.Сеноман.Скважины.ПАВ</t>
  </si>
  <si>
    <t>б/н.Еты-Пуровское.Сеноман.ДКС.ДКС</t>
  </si>
  <si>
    <t>Уренгойское.Сеноман.Ен-Яхинская</t>
  </si>
  <si>
    <t>051-2006519.Еты-Пуровское.Сеноман.Скважины.ПАВ</t>
  </si>
  <si>
    <t>Уренгойское.Сеноман.Западно-Песцовая</t>
  </si>
  <si>
    <t>051-2006584.Еты-Пуровское.Сеноман.ДКС.СПЧ</t>
  </si>
  <si>
    <t>Уренгойское.Сеноман.Песцовая</t>
  </si>
  <si>
    <t>051-2005189.Еты-Пуровское.Сеноман.Скважины.КЛК</t>
  </si>
  <si>
    <t>Уренгойское.Сеноман.Уренгойская</t>
  </si>
  <si>
    <t>б/н.Западно-Таркосалинское.Неоком.Скважины.Скважины</t>
  </si>
  <si>
    <t>б/н.Западно-Таркосалинское.Неоком.Скважины.ЗБС</t>
  </si>
  <si>
    <t>Юбилейное.Неоком</t>
  </si>
  <si>
    <t>б/н.Западно-Таркосалинское.Неоком.Скважины.ЭЦН</t>
  </si>
  <si>
    <t>б/н.Западно-Таркосалинское.Неоком.Скважины.Новые скважины</t>
  </si>
  <si>
    <t xml:space="preserve"> 051-2005359.Западно-Таркосалинское.Сеноман.ГСС.МКУ</t>
  </si>
  <si>
    <t>051-2006517.Западно-Таркосалинское.Сеноман.ДКС.Прочее оборудование</t>
  </si>
  <si>
    <t>Ямбургское.Неоком.Харвутинская</t>
  </si>
  <si>
    <t>051-2004683.Западно-Таркосалинское.Сеноман.Скважины.КЛК</t>
  </si>
  <si>
    <t>Ямбургское.Неоком.Ямбургская</t>
  </si>
  <si>
    <t>051-2006515.Западно-Таркосалинское.Сеноман.Скважины.ПАВ</t>
  </si>
  <si>
    <t>Ямбургское.Сеноман.Анерьяхинская</t>
  </si>
  <si>
    <t>051-2004684.Западно-Таркосалинское.Сеноман.Скважины.АУК</t>
  </si>
  <si>
    <t>Ямбургское.Сеноман.Восточно-Харвутинская</t>
  </si>
  <si>
    <t>б/н.Западно-Таркосалинское.Сеноман.ГСС.ГСС</t>
  </si>
  <si>
    <t>Ямбургское.Сеноман.Харвутинская</t>
  </si>
  <si>
    <t>051-2005495.Заполярное.Неоком.ГСС.КЗПОУ</t>
  </si>
  <si>
    <t>Ямбургское.Сеноман.Ямбургская</t>
  </si>
  <si>
    <t>051-2005690.Заполярное.Неоком.Прочие объекты инженерного обеспечения.Прочее оборудование</t>
  </si>
  <si>
    <t>Ямсовейское.Ачимовка</t>
  </si>
  <si>
    <t>051-2005700 .Заполярное.Неоком.ДКС.СПЧ</t>
  </si>
  <si>
    <t>051-2005199 .Заполярное.Неоком.Прочие объекты инженерного обеспечения.Прочее оборудование</t>
  </si>
  <si>
    <t>051-2005696 .Заполярное.Неоком.Прочие объекты инженерного обеспечения.Прочее оборудование</t>
  </si>
  <si>
    <t>051-2007099.Заполярное.Неоком.Прочие объекты инженерного обеспечения.Прочее оборудование</t>
  </si>
  <si>
    <t>051-1005102.Заполярное.Неоком.Скважины.НКТ</t>
  </si>
  <si>
    <t>051-3001233.Заполярное.Неоком.Скважины.ЗБС</t>
  </si>
  <si>
    <t>051-2005700.Заполярное.Неоком.ДКС.СПЧ</t>
  </si>
  <si>
    <t>051-1005980.Заполярное.Неоком.ДКС.ДКС</t>
  </si>
  <si>
    <t>051-2005700.Заполярное.Неоком.ДКС.Теплообменник</t>
  </si>
  <si>
    <t>051-1005979.Заполярное.Неоком.ДКС.ДКС</t>
  </si>
  <si>
    <t>051-1005979.Заполярное.Неоком.ДКС.ГПА</t>
  </si>
  <si>
    <t>051-1005980.Заполярное.Неоком.ДКС.ГПА</t>
  </si>
  <si>
    <t>б/н.Заполярное.Неоком.ДКС.СПЧ</t>
  </si>
  <si>
    <t>051-2005102.Заполярное.Сеноман.Скважины.КЛК</t>
  </si>
  <si>
    <t>051-2005694.Заполярное.Сеноман.Скважины.СПЧ</t>
  </si>
  <si>
    <t>051-2005495.Заполярное.Сеноман.ГСС.КЗПОУ</t>
  </si>
  <si>
    <t>051-2005695.Заполярное.Сеноман.Прочие объекты инженерного обеспечения.АСПС КЗиПТ</t>
  </si>
  <si>
    <t>051-2006021 .Заполярное.Сеноман.Прочие объекты инженерного обеспечения.АСПС КЗиПТ</t>
  </si>
  <si>
    <t>051-2005699.Заполярное.Сеноман.Тепло-, водоснабжение и очистные сооружения.ЭСН</t>
  </si>
  <si>
    <t>051-2006572.Заполярное.Сеноман.ДКС.СПЧ</t>
  </si>
  <si>
    <t>б/н.Заполярное.Сеноман.ДКС.ДКС</t>
  </si>
  <si>
    <t>051-1001244.Заполярное.Сеноман.ДКС.ДКС</t>
  </si>
  <si>
    <t>051-1001243.Заполярное.Сеноман.ДКС.ДКС</t>
  </si>
  <si>
    <t>051-2005694.Заполярное.Сеноман.ДКС.СПЧ</t>
  </si>
  <si>
    <t>б/н.Заполярное.Сеноман.ДКС.ГПА</t>
  </si>
  <si>
    <t>б/н.Заполярное.Сеноман.ГСС.ГСС</t>
  </si>
  <si>
    <t>б/н.Заполярное.Сеноман.ДКС.ТКА</t>
  </si>
  <si>
    <t>051-1004010.Заполярное.Турон.Скважины.Новые скважины</t>
  </si>
  <si>
    <t>б/н.Заполярное.Турон.Скважины.Прочее оборудование</t>
  </si>
  <si>
    <t>б/н.Заполярное.Турон.Скважины.ЗБС</t>
  </si>
  <si>
    <t>б/н.Заполярное.Юра.Скважины.Новые скважины</t>
  </si>
  <si>
    <t>051-2006515.Комсомольское.Сеноман.Скважины.ПАВ</t>
  </si>
  <si>
    <t>051-2006341.Комсомольское.Сеноман.Скважины.НКТ</t>
  </si>
  <si>
    <t>051-2005685.Комсомольское.Сеноман.ДКС.СПЧ</t>
  </si>
  <si>
    <t>б/н.Комсомольское.Сеноман.ДКС.Прочее оборудование</t>
  </si>
  <si>
    <t>051-2004687.Комсомольское.Сеноман.Скважины.АУК</t>
  </si>
  <si>
    <t>051-2006514.Комсомольское.Сеноман.Скважины.ПАВ</t>
  </si>
  <si>
    <t>051-2006523.Комсомольское.Сеноман.ДКС.АВО</t>
  </si>
  <si>
    <t>б/н.Медвежье.Неоком.Скважины.Новые скважины</t>
  </si>
  <si>
    <t>б/н.Медвежье.Неоком.ДКС.</t>
  </si>
  <si>
    <t>б/н.Медвежье.Неоком.Скважины.</t>
  </si>
  <si>
    <t>б/н.Медвежье.Неоком.Скважины.ЗБС</t>
  </si>
  <si>
    <t>051-2000791.Медвежье.Сеноман.Прочие объекты инженерного обеспечения.Прочее оборудование</t>
  </si>
  <si>
    <t>051-2005701.Медвежье.Сеноман.ДКС.СПЧ</t>
  </si>
  <si>
    <t>051-2005703.Медвежье.Сеноман.ГСС.ГСС</t>
  </si>
  <si>
    <t>051-2005702.Медвежье.Сеноман.Скважины.ПАВ</t>
  </si>
  <si>
    <t>051-2006585.Медвежье.Сеноман.Прочие объекты инженерного обеспечения.Прочее оборудование</t>
  </si>
  <si>
    <t>051-2006586.Медвежье.Сеноман.Прочие объекты инженерного обеспечения.Прочее оборудование</t>
  </si>
  <si>
    <t>051-2006965.Медвежье.Сеноман.Прочие объекты инженерного обеспечения.Прочее оборудование</t>
  </si>
  <si>
    <t>051-2000793.Медвежье.Сеноман.Тепло-, водоснабжение и очистные сооружения.Прочее оборудование</t>
  </si>
  <si>
    <t>051-2005703 .Медвежье.Сеноман.ГСС.МПК</t>
  </si>
  <si>
    <t>051-2006106 .Медвежье.Сеноман.ДКС.</t>
  </si>
  <si>
    <t>б/н.Медвежье.Сеноман.Скважины.КЛК</t>
  </si>
  <si>
    <t>051-2006450.Оренбургское.Ассельская залежь.Скважины.МКУ</t>
  </si>
  <si>
    <t>026-2001320.Оренбургское.Ассельская залежь.ДКС.ГПА</t>
  </si>
  <si>
    <t>051-7006451.Оренбургское.Ассельская залежь.ДКС.УКПГ</t>
  </si>
  <si>
    <t>051-2006450.Оренбургское.Блок I север.Скважины.МКУ</t>
  </si>
  <si>
    <t>026-2001320.Оренбургское.Блок I север.ДКС.ГПА</t>
  </si>
  <si>
    <t>026-2001315.Оренбургское.Блок I север.Скважины.НКТ</t>
  </si>
  <si>
    <t>051-7006451.Оренбургское.Блок I север.ДКС.УКПГ</t>
  </si>
  <si>
    <t>051-2006450.Оренбургское.Блок I Юг.Скважины.МКУ</t>
  </si>
  <si>
    <t>051-2006450.Оренбургское.Залежи пластов A1-A4.Скважины.МКУ</t>
  </si>
  <si>
    <t>026-2001320.Оренбургское.Залежи пластов A1-A4.ДКС.ГПА</t>
  </si>
  <si>
    <t>ГДО-0004.2025.Оренбургское.Среднекаменноугольная залежь.ДКС.УКПГ</t>
  </si>
  <si>
    <t>ГДО-0004.2025.Оренбургское.Филипповская залежь.ДКС.УКПГ</t>
  </si>
  <si>
    <t>051-2006450.Оренбургское.Основная артинско-среднекаменноугольная залежь.Скважины.МКУ</t>
  </si>
  <si>
    <t>026-2001320.Оренбургское.Основная артинско-среднекаменноугольная залежь.ДКС.ГПА</t>
  </si>
  <si>
    <t>026-2004003.Оренбургское.Основная артинско-среднекаменноугольная залежь.ДКС.ГПА</t>
  </si>
  <si>
    <t>ГДО-0001.2025.Оренбургское.Основная артинско-среднекаменноугольная залежь.ДКС.УКПГ</t>
  </si>
  <si>
    <t>ГДО-0002.2025.Оренбургское.Основная артинско-среднекаменноугольная залежь.ДКС.УКПГ</t>
  </si>
  <si>
    <t>ГДО-0004.2025.Оренбургское.Основная артинско-среднекаменноугольная залежь.ДКС.УКПГ</t>
  </si>
  <si>
    <t>ГДО-0003.2025.Оренбургское.Основная артинско-среднекаменноугольная залежь.ДКС.МКУ</t>
  </si>
  <si>
    <t>051-2001315.Оренбургское.Основная артинско-среднекаменноугольная залежь.Скважины.НКТ</t>
  </si>
  <si>
    <t>051-2005355.Оренбургское.Основная артинско-среднекаменноугольная залежь.Скважины.Скважины (кусты скважин)</t>
  </si>
  <si>
    <t>051-2005354.Оренбургское.Основная артинско-среднекаменноугольная залежь.Скважины.ПАВ</t>
  </si>
  <si>
    <t>051-2006449.Оренбургское.Основная артинско-среднекаменноугольная залежь.Скважины.НКТ</t>
  </si>
  <si>
    <t>051-2006451.Оренбургское.Основная артинско-среднекаменноугольная залежь.ДКС.УКПГ</t>
  </si>
  <si>
    <t>051-2007105.Оренбургское.Основная артинско-среднекаменноугольная залежь.Скважины.МКУ</t>
  </si>
  <si>
    <t>051-2007106.Оренбургское.Основная артинско-среднекаменноугольная залежь.ДКС.УКПГ</t>
  </si>
  <si>
    <t>051-2007107.Оренбургское.Основная артинско-среднекаменноугольная залежь.ДКС.УКПГ</t>
  </si>
  <si>
    <t>051-2007108.Оренбургское.Основная артинско-среднекаменноугольная залежь.ДКС.УКПГ</t>
  </si>
  <si>
    <t>051-2005711.Оренбургское.Основная артинско-среднекаменноугольная залежь.Скважины.Новые скважины</t>
  </si>
  <si>
    <t>051-2006450.Оренбургское.Среднекаменноугольная залежь.Скважины.МКУ</t>
  </si>
  <si>
    <t>051-2004003.Оренбургское.Среднекаменноугольная залежь.ДКС.ГПА</t>
  </si>
  <si>
    <t>051-2004003.Оренбургское.Филипповская залежь.ДКС.ГПА</t>
  </si>
  <si>
    <t>051-2005482.Оренбургское.Филипповская залежь.ГСС.МКУ</t>
  </si>
  <si>
    <t>051-3005712.Оренбургское.Филипповская залежь.Скважины.Новые скважины</t>
  </si>
  <si>
    <t>051-2005277.Уренгойское.Ачимовка.ГСС.ГСС</t>
  </si>
  <si>
    <t>051-2006174.Уренгойское.Ачимовка.Скважины.КЛК</t>
  </si>
  <si>
    <t>б/н.Уренгойское.Ачимовка.ДКС.</t>
  </si>
  <si>
    <t>б/н.Уренгойское.Ачимовка.Скважины.Новые скважины</t>
  </si>
  <si>
    <t>051-2004433.Уренгойское.Неоком.Скважины.КЛК</t>
  </si>
  <si>
    <t>051-2004691.Уренгойское.Неоком.Скважины.НКТ</t>
  </si>
  <si>
    <t>051-2004692.Уренгойское.Неоком.Скважины.НКТ</t>
  </si>
  <si>
    <t>051-2005090.Уренгойское.Неоком.ДКС.СПЧ</t>
  </si>
  <si>
    <t>051-2005977.Уренгойское.Неоком.Скважины.НКТ</t>
  </si>
  <si>
    <t>051-2005978.Уренгойское.Неоком.ДКС.СПЧ</t>
  </si>
  <si>
    <t>036-2001043.Уренгойское.Неоком.ГСС.МЦК</t>
  </si>
  <si>
    <t>б/н.Уренгойское.Неоком.Скважины.ЗБС</t>
  </si>
  <si>
    <t>б/н.Уренгойское.Неоком.Скважины.Новые скважины</t>
  </si>
  <si>
    <t>051-2004015.Уренгойское.Сеноман.Скважины.КЛК</t>
  </si>
  <si>
    <t>051-2004433.Уренгойское.Сеноман.Скважины.КЛК</t>
  </si>
  <si>
    <t>051-2004692.Уренгойское.Сеноман.Скважины.НКТ</t>
  </si>
  <si>
    <t>051-2005977.Уренгойское.Сеноман.Скважины.НКТ</t>
  </si>
  <si>
    <t>051-2005978.Уренгойское.Сеноман.ДКС.СПЧ</t>
  </si>
  <si>
    <t>051-2005191.Уренгойское.Сеноман.Скважины.МЦК</t>
  </si>
  <si>
    <t>051-2005370.Уренгойское.Сеноман.ГСС.ГСС</t>
  </si>
  <si>
    <t>051-1005673.Уренгойское.Сеноман.Тепло-, водоснабжение и очистные сооружения.Прочее оборудование</t>
  </si>
  <si>
    <t>051-2006446.Уренгойское.Сеноман.ДКС.АСПС КЗиПТ</t>
  </si>
  <si>
    <t>051-2006448.Уренгойское.Сеноман.ГСС.ЭХЗ</t>
  </si>
  <si>
    <t>б/н.Уренгойское.Сеноман.Скважины.ЗБС</t>
  </si>
  <si>
    <t>б/н.Уренгойское.Сеноман.Скважины.Новые скважины</t>
  </si>
  <si>
    <t>036-2004692.Уренгойское.Сеноман.Скважины.КЛК</t>
  </si>
  <si>
    <t>051-1005263.Уренгойское.Сеноман.ДКС.ДКС</t>
  </si>
  <si>
    <t>051-1005271.Уренгойское.Сеноман.ДКС.ДКС</t>
  </si>
  <si>
    <t>051-1005268.Уренгойское.Сеноман.ДКС.ДКС</t>
  </si>
  <si>
    <t>б/н.Уренгойское.Сеноман.Скважины.</t>
  </si>
  <si>
    <t>051-2006465.Харасавэйское.Сеноман-апт.Прочие объекты инженерного обеспечения.Прочее оборудование</t>
  </si>
  <si>
    <t>051-2000796.Харасавэйское.Сеноман-апт.ДКС.</t>
  </si>
  <si>
    <t>051-2000796.Харасавэйское.Сеноман-апт.Скважины.Новые скважины</t>
  </si>
  <si>
    <t>051-2000825.Харасавэйское.Сеноман-апт.ГСС.</t>
  </si>
  <si>
    <t>051-2004676.Юбилейное.Сеноман.Скважины.КЛК</t>
  </si>
  <si>
    <t>051-2000804.Юбилейное.Сеноман.Прочие объекты инженерного обеспечения.АСПС КЗиПТ</t>
  </si>
  <si>
    <t>051-2005679.Юбилейное.Сеноман.ДКС.СПЧ</t>
  </si>
  <si>
    <t>051-2006345.Юбилейное.Сеноман.Прочие объекты инженерного обеспечения.Прочее оборудование</t>
  </si>
  <si>
    <t>б/н.Юбилейное.Сеноман.Скважины.Новые скважины</t>
  </si>
  <si>
    <t>б/н.Юбилейное.Сеноман.ДКС.</t>
  </si>
  <si>
    <t>б/н.Юбилейное.Сеноман.Скважины.ЗБС</t>
  </si>
  <si>
    <t>б/н.Юбилейное.Сеноман.Скважины.АУК</t>
  </si>
  <si>
    <t>б/н.Юбилейное.Сеноман.Скважины.</t>
  </si>
  <si>
    <t>б/н.Южно-Русское.Апт-альб-сеноманский.ДКС.СПЧ</t>
  </si>
  <si>
    <t>б/н.Южно-Русское.Апт-альб-сеноманский.ДКС.</t>
  </si>
  <si>
    <t>б/н.Южно-Русское.Апт-альб-сеноманский.Скважины.Новые скважины</t>
  </si>
  <si>
    <t>б/н.Южно-Русское.Апт-альб-сеноманский.Скважины.НКТ</t>
  </si>
  <si>
    <t>б/н.Южно-Русское.Апт-альб-сеноманский.Скважины.</t>
  </si>
  <si>
    <t>б/н.Южно-Русское.Туронский.Скважины.Новые скважины</t>
  </si>
  <si>
    <t>б/н.Южно-Русское.Туронский.Скважины.</t>
  </si>
  <si>
    <t>051-2005474.Ямбургское.Неоком.Скважины.НКТ</t>
  </si>
  <si>
    <t>051-2005697.Ямбургское.Неоком.Тепло-, водоснабжение и очистные сооружения.АСПС КЗиПТ</t>
  </si>
  <si>
    <t>051-2006573.Ямбургское.Неоком.Скважины.КЛК</t>
  </si>
  <si>
    <t>051-2001204.Ямбургское.Неоком.Скважины.АСПС КЗиПТ</t>
  </si>
  <si>
    <t>051-2004693.Ямбургское.Неоком.ГСС.Инженерная защита газопровода шлейфа</t>
  </si>
  <si>
    <t>051-2005853 .Ямбургское.Неоком.Тепло-, водоснабжение и очистные сооружения.АСПС КЗиПТ</t>
  </si>
  <si>
    <t>051-2006022 .Ямбургское.Неоком.Тепло-, водоснабжение и очистные сооружения.АСУТП</t>
  </si>
  <si>
    <t>051-1005366.Ямбургское.Неоком.Скважины.Новые скважины</t>
  </si>
  <si>
    <t>051-3001202.Ямбургское.Неоком.Скважины.ЗБС</t>
  </si>
  <si>
    <t>б/н.Ямбургское.Неоком.Скважины.ЗБС</t>
  </si>
  <si>
    <t>051-1005700.Ямбургское.Неоком.ДКС.СПЧ</t>
  </si>
  <si>
    <t>051-2004023.Ямбургское.Сеноман.ГСС.ГСС</t>
  </si>
  <si>
    <t>051-2004432.Ямбургское.Сеноман.Скважины.КЛК</t>
  </si>
  <si>
    <t>051-2004432.Ямбургское.Сеноман.Скважины.Новые скважины</t>
  </si>
  <si>
    <t>051-2004694.Ямбургское.Сеноман.Скважины.КЛК</t>
  </si>
  <si>
    <t>051-2006573.Ямбургское.Сеноман.Скважины.КЛК</t>
  </si>
  <si>
    <t>051-2005475.Ямбургское.Сеноман.Тепло-, водоснабжение и очистные сооружения.АСПС КЗиПТ</t>
  </si>
  <si>
    <t>051-2005698.Ямбургское.Сеноман.Тепло-, водоснабжение и очистные сооружения.АСПС КЗиПТ</t>
  </si>
  <si>
    <t>051-2005261.Ямбургское.Сеноман.Прочие объекты инженерного обеспечения.Прочее оборудование</t>
  </si>
  <si>
    <t>051-2001230.Ямбургское.Сеноман.Тепло-, водоснабжение и очистные сооружения.Прочее оборудование</t>
  </si>
  <si>
    <t>051-2004023.Ямбургское.Сеноман.ГСС.МКУ</t>
  </si>
  <si>
    <t>051-2004024.Ямбургское.Сеноман.ГСС.МКУ</t>
  </si>
  <si>
    <t>051-2004952.Ямбургское.Сеноман.Скважины.Новые скважины</t>
  </si>
  <si>
    <t>051-2006652.Ямбургское.Сеноман.Скважины.Новые скважины</t>
  </si>
  <si>
    <t>051-3001209.Ямбургское.Сеноман.Скважины.ЗБС</t>
  </si>
  <si>
    <t>051-1006512.Ямбургское.Сеноман.ДКС.ГПА</t>
  </si>
  <si>
    <t>б/н.Ямбургское.Сеноман.ДКС.СПЧ</t>
  </si>
  <si>
    <t>б/н.Ямбургское.Сеноман.ДКС.ГПА</t>
  </si>
  <si>
    <t>051-2004026.Ямбургское.Сеноман.ГСС.МКУ</t>
  </si>
  <si>
    <t>051-2000792.Ямсовейское.Сеноман.Прочие объекты инженерного обеспечения.Прочее оборудование</t>
  </si>
  <si>
    <t>051-2000800.Ямсовейское.Сеноман.ДКС.АСПС КЗиПТ</t>
  </si>
  <si>
    <t>051-2005677.Ямсовейское.Сеноман.ДКС.СПЧ</t>
  </si>
  <si>
    <t>051-2005708.Ямсовейское.Сеноман.ГСС.ГСС</t>
  </si>
  <si>
    <t>051-2006966.Ямсовейское.Сеноман.ДКС.АСПС КЗиПТ</t>
  </si>
  <si>
    <t>051-200792.Ямсовейское.Сеноман.ДКС.КГС</t>
  </si>
  <si>
    <t>Форма сбора данных (ФСД) 5: Максимальная суточная добыча</t>
  </si>
  <si>
    <t>Форма сбора данных (ФСД) 5: Приросты максимальной добычи.</t>
  </si>
  <si>
    <t>АО "Пургаз"</t>
  </si>
  <si>
    <t>Газа</t>
  </si>
  <si>
    <t>млн. м3/сут</t>
  </si>
  <si>
    <t>ПНГ</t>
  </si>
  <si>
    <t>Нестабильного конденсата</t>
  </si>
  <si>
    <t>тыс. т/сут</t>
  </si>
  <si>
    <t>Нефти</t>
  </si>
  <si>
    <t>Стабильного конденсата</t>
  </si>
  <si>
    <t xml:space="preserve">Максимальная суточная добыча газа </t>
  </si>
  <si>
    <t>С мероприятиями</t>
  </si>
  <si>
    <t>Минимальная суточная добыча газа</t>
  </si>
  <si>
    <t>Без мероприятий</t>
  </si>
  <si>
    <t>Тип флюида</t>
  </si>
  <si>
    <t>Газ+Конденсат</t>
  </si>
  <si>
    <t>Прирост максимальной суточной добычи</t>
  </si>
  <si>
    <t>Газ</t>
  </si>
  <si>
    <t>Газ+Конденсат+Нефть</t>
  </si>
  <si>
    <t>Нефть</t>
  </si>
  <si>
    <r>
      <t>млн. м</t>
    </r>
    <r>
      <rPr>
        <b/>
        <vertAlign val="superscript"/>
        <sz val="10"/>
        <color theme="1"/>
        <rFont val="Times New Roman"/>
        <family val="1"/>
        <charset val="204"/>
      </rPr>
      <t>3</t>
    </r>
    <r>
      <rPr>
        <b/>
        <sz val="10"/>
        <color theme="1"/>
        <rFont val="Times New Roman"/>
        <family val="1"/>
      </rPr>
      <t>/сут</t>
    </r>
  </si>
  <si>
    <t xml:space="preserve">Кшукское </t>
  </si>
  <si>
    <t>Нарыкско-Осташкинское</t>
  </si>
  <si>
    <t>Карбон</t>
  </si>
  <si>
    <t>Тутлеймская свита</t>
  </si>
  <si>
    <t>Сеноман-апт</t>
  </si>
  <si>
    <t>Неоком-Юра</t>
  </si>
  <si>
    <t>Васюганский</t>
  </si>
  <si>
    <t>Сеноман</t>
  </si>
  <si>
    <t xml:space="preserve">Юрские отложения </t>
  </si>
  <si>
    <t xml:space="preserve">Меловые отложения </t>
  </si>
  <si>
    <t>Неоком</t>
  </si>
  <si>
    <t>Девон</t>
  </si>
  <si>
    <t>Турон</t>
  </si>
  <si>
    <t>Юра</t>
  </si>
  <si>
    <t>Дагинский</t>
  </si>
  <si>
    <t>Парфеновский</t>
  </si>
  <si>
    <t>Этолонская свита</t>
  </si>
  <si>
    <t>Ухтолокская свита</t>
  </si>
  <si>
    <t>Эрмановская свита</t>
  </si>
  <si>
    <t>Ачимовский</t>
  </si>
  <si>
    <t>Сенон</t>
  </si>
  <si>
    <t xml:space="preserve">Васюганский </t>
  </si>
  <si>
    <t>Малышевский</t>
  </si>
  <si>
    <t>Куломзинский</t>
  </si>
  <si>
    <t>Черкашинский</t>
  </si>
  <si>
    <t>Пермские отложения</t>
  </si>
  <si>
    <t>Филипповская залежь</t>
  </si>
  <si>
    <t>Среднекаменноугольная залежь</t>
  </si>
  <si>
    <t>Девонская залежь</t>
  </si>
  <si>
    <t>Залежи пластов A1-A4</t>
  </si>
  <si>
    <t>Блок I север</t>
  </si>
  <si>
    <t>Блок I Юг</t>
  </si>
  <si>
    <t>Ассельская залежь</t>
  </si>
  <si>
    <t>Тюменский</t>
  </si>
  <si>
    <t>Кора выветривания</t>
  </si>
  <si>
    <t>Образования доюрского фундамента</t>
  </si>
  <si>
    <t>неоком</t>
  </si>
  <si>
    <t>ачимовка</t>
  </si>
  <si>
    <t>юра</t>
  </si>
  <si>
    <t>Девонские отложения</t>
  </si>
  <si>
    <t>Карбоновые отложения</t>
  </si>
  <si>
    <t>Утхолокская свита</t>
  </si>
  <si>
    <t>Лугинецкий</t>
  </si>
  <si>
    <t>Герасимовский</t>
  </si>
  <si>
    <t>Ачимовка</t>
  </si>
  <si>
    <t>Ботуобинский горизонт</t>
  </si>
  <si>
    <t>Хамакинский горизонт</t>
  </si>
  <si>
    <t>Талахский горизонт</t>
  </si>
  <si>
    <t>Туронский</t>
  </si>
  <si>
    <t>Апт-альб-сеноманский</t>
  </si>
  <si>
    <t>АстраханскоеКарбон</t>
  </si>
  <si>
    <t>БованенковскоеНеоком-юра</t>
  </si>
  <si>
    <t>БованенковскоеСеноман-апт</t>
  </si>
  <si>
    <t>ВынгапуровскоеСеноман</t>
  </si>
  <si>
    <t>ВынгаяхинскоеСеноман</t>
  </si>
  <si>
    <t>ГубкинскоеСеноман</t>
  </si>
  <si>
    <t>Ен-ЯхинскоеНеоком</t>
  </si>
  <si>
    <t>Еты-ПуровскоеСеноман</t>
  </si>
  <si>
    <t>Западно-ТаркосалинскоеАчимовский</t>
  </si>
  <si>
    <t>Западно-ТаркосалинскоеНеоком</t>
  </si>
  <si>
    <t>Западно-ТаркосалинскоеСеноман</t>
  </si>
  <si>
    <t>Западно-ТаркосалинскоеЮра</t>
  </si>
  <si>
    <t>ЗаполярноеНеоком</t>
  </si>
  <si>
    <t>ЗаполярноеСеноман</t>
  </si>
  <si>
    <t>ЗаполярноеТурон</t>
  </si>
  <si>
    <t>ЗаполярноеЮра</t>
  </si>
  <si>
    <t>КомсомольскоеСеноман</t>
  </si>
  <si>
    <t>МедвежьеАчимовский</t>
  </si>
  <si>
    <t>МедвежьеНеоком</t>
  </si>
  <si>
    <t>МедвежьеСеноман</t>
  </si>
  <si>
    <t>МедвежьеСенон</t>
  </si>
  <si>
    <t>ОренбургскоеАссельская залежь</t>
  </si>
  <si>
    <t>ОренбургскоеБлок I север</t>
  </si>
  <si>
    <t>ОренбургскоеБлок I Юг</t>
  </si>
  <si>
    <t>ОренбургскоеДевонская залежь</t>
  </si>
  <si>
    <t>ОренбургскоеЗалежи пластов A1-A4</t>
  </si>
  <si>
    <t>ОренбургскоеОсновная артинско-среднекаменноугольная залежь</t>
  </si>
  <si>
    <t>ОренбургскоеСреднекаменноугольная залежь</t>
  </si>
  <si>
    <t>ОренбургскоеФилипповская залежь</t>
  </si>
  <si>
    <t>Песцовоеачимовка</t>
  </si>
  <si>
    <t>Песцовоенеоком</t>
  </si>
  <si>
    <t>Песцовоеюра</t>
  </si>
  <si>
    <t>Северо-УренгойскоеСеноман</t>
  </si>
  <si>
    <t>УренгойскоеАчимовка</t>
  </si>
  <si>
    <t>УренгойскоеНеоком</t>
  </si>
  <si>
    <t>УренгойскоеСеноман</t>
  </si>
  <si>
    <t>ХарасавэйскоеСеноман-апт</t>
  </si>
  <si>
    <t>ЮбилейноеНеоком</t>
  </si>
  <si>
    <t>ЮбилейноеСеноман</t>
  </si>
  <si>
    <t>Южно-РусскоеАпт-альб-сеноманский</t>
  </si>
  <si>
    <t>Южно-РусскоеТуронский</t>
  </si>
  <si>
    <t>ЯмбургскоеНеоком</t>
  </si>
  <si>
    <t>ЯмбургскоеСеноман</t>
  </si>
  <si>
    <t>ЯмсовейскоеАчимовка</t>
  </si>
  <si>
    <t>ЯмсовейскоеСеноман</t>
  </si>
  <si>
    <t>ООО "Севернефтегазпром"</t>
  </si>
  <si>
    <t>АО "Газпромнефть-ННГ"</t>
  </si>
  <si>
    <t>РН-Пурнефтегаз</t>
  </si>
  <si>
    <t>АО "НК ЯНГПУР"</t>
  </si>
  <si>
    <t>ООО "СКН"</t>
  </si>
  <si>
    <t>ООО "Лукойл-Западная Сибирь"</t>
  </si>
  <si>
    <t>АО «УНГП»</t>
  </si>
  <si>
    <t>ЗАО «КАРБОН»</t>
  </si>
  <si>
    <t>ООО «Сервиснефтегаз»</t>
  </si>
  <si>
    <t>ТОО «КазРосГаз»</t>
  </si>
  <si>
    <t>ОАО "Арктикгаз"</t>
  </si>
  <si>
    <t>ЗАО "РОСПАН ИНТЕРНЕШНЛ"</t>
  </si>
  <si>
    <t>ООО "Сахалинская Энергия"</t>
  </si>
  <si>
    <t>Версии</t>
  </si>
  <si>
    <t>Вариант 1</t>
  </si>
  <si>
    <t>Вариант 2</t>
  </si>
  <si>
    <t>Вариант 3</t>
  </si>
  <si>
    <t>Вариант 4</t>
  </si>
  <si>
    <t>Вариант 5</t>
  </si>
  <si>
    <t>Вариант 6</t>
  </si>
  <si>
    <t>Вариант 7</t>
  </si>
  <si>
    <t>Вариант 8</t>
  </si>
  <si>
    <t>Вариант 9</t>
  </si>
  <si>
    <t>Вариант 10</t>
  </si>
  <si>
    <t>Базовый</t>
  </si>
  <si>
    <t>Минимально-скваженный</t>
  </si>
  <si>
    <t>Минимально-технологический</t>
  </si>
  <si>
    <t>Минимально-оптимальный</t>
  </si>
  <si>
    <t>Долгосрочный целевой</t>
  </si>
  <si>
    <t>Номер мероприятия</t>
  </si>
  <si>
    <t>Наименование мероприятия</t>
  </si>
  <si>
    <t>1.1.0.1</t>
  </si>
  <si>
    <t>Группировка мер-ий в стройку для сравнения эффектов с Пиковым Балансом</t>
  </si>
  <si>
    <t>Версия.Вариант прогноза</t>
  </si>
  <si>
    <t>КПР</t>
  </si>
  <si>
    <t>Пиковый баланс газа</t>
  </si>
  <si>
    <t>Сценарий планирования
(Пиковый баланс газа)</t>
  </si>
  <si>
    <t>Сценарий планирования
(КПР)</t>
  </si>
  <si>
    <t>Геологический горизонт
(полное наименование)</t>
  </si>
  <si>
    <t>Краткое наименование мероприятия</t>
  </si>
  <si>
    <t>Флажок 1</t>
  </si>
  <si>
    <t>Флажок 2</t>
  </si>
  <si>
    <t>Флажок 3</t>
  </si>
  <si>
    <t>051-2004395</t>
  </si>
  <si>
    <t>001-2002202</t>
  </si>
  <si>
    <t>051-2000010</t>
  </si>
  <si>
    <t>б/н</t>
  </si>
  <si>
    <t>16.1.1.5</t>
  </si>
  <si>
    <t>16.1.1.7</t>
  </si>
  <si>
    <t>16.1.1.8</t>
  </si>
  <si>
    <t>16.1.1.20</t>
  </si>
  <si>
    <t>16.1.1.18</t>
  </si>
  <si>
    <t>16.1.1.10</t>
  </si>
  <si>
    <t>16.1.2.16</t>
  </si>
  <si>
    <t>16.1.2.17</t>
  </si>
  <si>
    <t>16.1.2.6</t>
  </si>
  <si>
    <t>16.1.2.11</t>
  </si>
  <si>
    <t>16.1.2.15</t>
  </si>
  <si>
    <t>16.1.2.8</t>
  </si>
  <si>
    <t>16.1.1.21</t>
  </si>
  <si>
    <t>16.1.2.12</t>
  </si>
  <si>
    <t>16.1.2.18</t>
  </si>
  <si>
    <t>16.1.2.19</t>
  </si>
  <si>
    <t>16.1.1.16</t>
  </si>
  <si>
    <t>16.1.2.1.23</t>
  </si>
  <si>
    <t>16.1.1.1.23</t>
  </si>
  <si>
    <t>16.1.1.2.23</t>
  </si>
  <si>
    <t>16.1.1.3.23</t>
  </si>
  <si>
    <t>16.1.1.1.25</t>
  </si>
  <si>
    <t>16.1.1.2.25</t>
  </si>
  <si>
    <t>16.1.1.3.25</t>
  </si>
  <si>
    <t>16.2.2.1</t>
  </si>
  <si>
    <t>16.3.1.1</t>
  </si>
  <si>
    <t>16.3.2.1</t>
  </si>
  <si>
    <t>16.6.1.1</t>
  </si>
  <si>
    <t>16.6.2.1</t>
  </si>
  <si>
    <t>16.6.1.3</t>
  </si>
  <si>
    <t>16.6.2.2</t>
  </si>
  <si>
    <t>16.3.1.1.25</t>
  </si>
  <si>
    <t>16.1.1.3</t>
  </si>
  <si>
    <t>16.1.1.2</t>
  </si>
  <si>
    <t>16.1.2.1</t>
  </si>
  <si>
    <t>16.1.2.2</t>
  </si>
  <si>
    <t>16.1.2.21</t>
  </si>
  <si>
    <t>051-2000006.(16.1.1.3).Астраханское.Карбон.Р.С.Скважины.Боковой ствол</t>
  </si>
  <si>
    <t>051-2000006.(16.1.1.2).Астраханское.Карбон.Р.С.Скважины.Боковой ствол</t>
  </si>
  <si>
    <t>051-2000006.(16.1.2.1).Астраханское.Карбон.Р.С.Скважины.Боковой ствол</t>
  </si>
  <si>
    <t>051-2000006.(16.1.2.2).Астраханское.Карбон.Р.С.Скважины.Боковой ствол</t>
  </si>
  <si>
    <t>051-2004395.(16.1.2.21).Астраханское.Карбон.Т.С.Скважины.НКТ</t>
  </si>
  <si>
    <t>051-2004395.(16.1.2.21).Астраханское.Карбон.Т.С.Скважины.ПО</t>
  </si>
  <si>
    <t>051-2004395.(16.1.2.21).Астраханское.Карбон.Т.С.Скважины.ФА</t>
  </si>
  <si>
    <t>Уровни добычи из АН</t>
  </si>
  <si>
    <t>Утвержденный</t>
  </si>
  <si>
    <t xml:space="preserve">Номер стройки </t>
  </si>
  <si>
    <t xml:space="preserve">Наименование стройки </t>
  </si>
  <si>
    <t>051-2001317</t>
  </si>
  <si>
    <t>Реконструкция промысловых объектов ООО "Астраханьгазпром"</t>
  </si>
  <si>
    <t>Техническое перевооружение фонда скважин АГКМ</t>
  </si>
  <si>
    <t>Подключение дополнительных скважин к существующим мощностям I и II очередей АГКМ (этап 3)</t>
  </si>
  <si>
    <t>051-3000010</t>
  </si>
  <si>
    <t>Бурение эксплуатационное на м/р. Подключение дополнительных скважин к существующим мощностям I и II очередей Астраханского газоконденсатного месторождения (этап 3)</t>
  </si>
  <si>
    <t>Подключение дополнительных скважин к существующим мощностям I и II очередей АГКМ (этап 2)</t>
  </si>
  <si>
    <t>051-2002202</t>
  </si>
  <si>
    <t>051-3002202</t>
  </si>
  <si>
    <t>Бурение эксплуатационное на м/р. Подключение дополнительных скважин к существующим мощностям I и II очередей АГКМ (этап 2)</t>
  </si>
  <si>
    <t>051-3003732</t>
  </si>
  <si>
    <t>Бурение эксплуатационное на м/р. Бурение технологических скважин</t>
  </si>
  <si>
    <t>051-2004715</t>
  </si>
  <si>
    <t>Опытный полигон для отработки технологии обратной закачки на разбуренной части АГКМ</t>
  </si>
  <si>
    <t>Техническое перевооружение фонда скважин АГКМ (Модернизация морально и физически устаревшего оборудования обвязки устья скважин АГКМ (этап 2)</t>
  </si>
  <si>
    <t>051-2000737</t>
  </si>
  <si>
    <t>Обустройство Бейсугского месторождения</t>
  </si>
  <si>
    <t>051-3000737</t>
  </si>
  <si>
    <t>Эксплуатационное бурение. Бейсугское газовое месторождение</t>
  </si>
  <si>
    <t>051-2004681</t>
  </si>
  <si>
    <t>Реконструкция ФА и технологических трубопроводов с установкой средств коррозионного мониторинга объектов на Бованенковском НГКМ</t>
  </si>
  <si>
    <t>051-2005706</t>
  </si>
  <si>
    <t>Модернизация системы водоподготовки котельной "Сермет" на промбазе  ГП-1 Бованековского НГКМ</t>
  </si>
  <si>
    <t>051-2005692</t>
  </si>
  <si>
    <t>Техническое перевооружение газоперекачивающих агрегатов на ДКС (1 очередь) ГП-1 Бованенковского НГКМ (замена ГТУ)</t>
  </si>
  <si>
    <t>051-2006188</t>
  </si>
  <si>
    <t>Техническое перевооружение наблюдательных скважин №№ 5600, 6100, 6400, 6800 УКПГ-1 Бованенковского НГКМ</t>
  </si>
  <si>
    <t>051-2006513</t>
  </si>
  <si>
    <t>Техническое перевооружение ГПА ДКС (2 и 3 очередей) ГП-1, ГП-2 Бованенковского НГКМ (замена СПЧ)</t>
  </si>
  <si>
    <t>051-2006342</t>
  </si>
  <si>
    <t>Реконструкция полигона твердых бытовых и производственных отходов Бованенковского НГКМ</t>
  </si>
  <si>
    <t>051-2006571</t>
  </si>
  <si>
    <t>Техническое перевооружение оборудования резервуарного парка расходного склада ГСМ промбазы ГП-1 Бованенковского НГКМ</t>
  </si>
  <si>
    <t>051-2006570</t>
  </si>
  <si>
    <t>Реконструкция и техническое перевооружение электромодуля №1 ЭСН на промбазе ГП-2 Бованенковского НГКМ (2 очередь, 1 этап)</t>
  </si>
  <si>
    <t>051-2006967</t>
  </si>
  <si>
    <t>Техническое перевооружение теплой стоянки на 50 машин базы АТП на промбазе ГП-1 Бованенковского НГКМ</t>
  </si>
  <si>
    <t>051-2006968</t>
  </si>
  <si>
    <t>Реконструкция и техническое перевооружение комплекса инженерно-технических средств охраны ГП-2 Бованенковского НГКМ (УКПГ, ДКС 1 очередь, (1,2 модуль))</t>
  </si>
  <si>
    <t>051-2007288</t>
  </si>
  <si>
    <t>Техническое перевооружение скважин Бованенковского НГКМ (замена НКТ)</t>
  </si>
  <si>
    <t>051-2000815</t>
  </si>
  <si>
    <t>Обустройство сеноман-аптских залежей Бованенковского НГКМ</t>
  </si>
  <si>
    <t>051-2004674</t>
  </si>
  <si>
    <t>Дообустройство сеноман-аптских залежей Бованенковского НГКМ</t>
  </si>
  <si>
    <t>051-3000815</t>
  </si>
  <si>
    <t>Эксплуатационное бурение. Бованенковское НГКМ</t>
  </si>
  <si>
    <t>051-3004674</t>
  </si>
  <si>
    <t>Эксплуатационное бурение. Бованенковское НГКМ (Дообустройство сеноман-аптских залежей)</t>
  </si>
  <si>
    <t>051-2005523</t>
  </si>
  <si>
    <t>Техническое перевооружение турбодетандерных агрегатов на газовых промыслах Бованенковского НГКМ (замена СПЧ)</t>
  </si>
  <si>
    <t>Верхневилючанское</t>
  </si>
  <si>
    <t>051-2006734</t>
  </si>
  <si>
    <t>Обустройство Верхневилючанского месторождения</t>
  </si>
  <si>
    <t>051-3006734</t>
  </si>
  <si>
    <t xml:space="preserve">Бурение эксплуатационное на месторождении. Эксплуатационные газовые скважины Верхневилючанского месторождения </t>
  </si>
  <si>
    <t>019-3000739</t>
  </si>
  <si>
    <t>Эксплуатационное бурение. Восточно-Прибрежное нефтегазоконденсатное месторождение</t>
  </si>
  <si>
    <t>051-2006509</t>
  </si>
  <si>
    <t>Модернизация сепарационного оборудования дожимной компрессорной станции Вуктыльского ГПУ</t>
  </si>
  <si>
    <t>051-2006510</t>
  </si>
  <si>
    <t>Реконструкция системы маслоснабжения дожимной компрессорной станции Вуктыльского ГПУ</t>
  </si>
  <si>
    <t>051-2006518</t>
  </si>
  <si>
    <t>Внедрение технологии непрерывной дозированной подачи жидких ПАВ в скважины Вынгаяхинского месторождения</t>
  </si>
  <si>
    <t>051-2007238</t>
  </si>
  <si>
    <t>Реконструкция полигона ТБО Вынгаяхинского ГМ</t>
  </si>
  <si>
    <t>051-3006280</t>
  </si>
  <si>
    <t>Бурение эксплуатационное на месторождении. Вынгаяхинское газонефтяное месторождение</t>
  </si>
  <si>
    <t>051-2001057</t>
  </si>
  <si>
    <t>Дожимная компрессорная станция на УКПГ-11В Ен-Яхинского НГКМ</t>
  </si>
  <si>
    <t>051-2001039</t>
  </si>
  <si>
    <t>Дообустройство газоконденсатных скважин Ен-Яхинского НГКМ</t>
  </si>
  <si>
    <t>051-3001039</t>
  </si>
  <si>
    <t>Эксплуатационное бурение. Дообустройство газоконденсатных скважин Ен-Яхинского НГКМ</t>
  </si>
  <si>
    <t>051-2006519</t>
  </si>
  <si>
    <t>Внедрение технологии непрерывной дозированной подачи жидких ПАВ  в скважины Еты-Пуровского месторождения</t>
  </si>
  <si>
    <t>051-2006584</t>
  </si>
  <si>
    <t>Техперевооружение ДКС Еты-Пуровского ГМ. Замена СПЧ 3,0.</t>
  </si>
  <si>
    <t>051-2007101</t>
  </si>
  <si>
    <t>Техническое перевооружение объектов системы сбора газа Вынгаяхинского ГПУ</t>
  </si>
  <si>
    <t>051-2006515</t>
  </si>
  <si>
    <t>Внедрение технологии непрерывной дозированной подачи жидких ПАВ в скважины  Западно-Таркосалинского газового промысла</t>
  </si>
  <si>
    <t>051-2000826</t>
  </si>
  <si>
    <t>Реконструкция  Западно-Таркосалинского газового промысла</t>
  </si>
  <si>
    <t>051-2006517</t>
  </si>
  <si>
    <t>Реконструкция ДКС Западно-Таркосалинского НГКМ. Установка многосекционных ЦБК</t>
  </si>
  <si>
    <t>051-2007133</t>
  </si>
  <si>
    <t>Реконструкция ГСС  Западно-Таркосалинского газового промысла 2 этап, 2 очередь</t>
  </si>
  <si>
    <t>051-2005102</t>
  </si>
  <si>
    <t>Техническое перевооружение газовых и газоконденсатных скважин Заполярного НГКМ</t>
  </si>
  <si>
    <t>051-2005694</t>
  </si>
  <si>
    <t>Техническое перевооружение газоперекачивающих агрегатов ДКС 1 очереди УКПГ-1С Заполярного НГКМ</t>
  </si>
  <si>
    <t>051-2005495</t>
  </si>
  <si>
    <t>Реконструкция газопроводов Заполярного НГКМ с устройством узлов пуска и приёма очистных и диагностических устройств</t>
  </si>
  <si>
    <t>051-2005695</t>
  </si>
  <si>
    <t>Реконструкция и техническое перевооружение систем пожарной сигнализации, контроля загазованности и пожаротушения объектов УКПГ-1С, УКПГ-2С, УКПГ-3С, АГРС БК 2/70 Заполярного НГКМ</t>
  </si>
  <si>
    <t>051-2006021</t>
  </si>
  <si>
    <t>Реконструкция КАДС Заполярного НГКМ с заменой технологического оборудования и систем автоматизации.</t>
  </si>
  <si>
    <t>051-2005690</t>
  </si>
  <si>
    <t>Реконструкция и техническое перевооружение системы электрохимзащиты объектов Заполярного НГКМ</t>
  </si>
  <si>
    <t>051-2005699</t>
  </si>
  <si>
    <t>Реконструкция и техническое перевооружение электроснабжения объектов ГТЭС-24 Заполярного НГКМ.</t>
  </si>
  <si>
    <t>051-2005700</t>
  </si>
  <si>
    <t>Техническое перевооружение технологического оборудования УКПГ-1В, УКПГ-2В Заполярного НГКМ</t>
  </si>
  <si>
    <t>051-2005199</t>
  </si>
  <si>
    <t>Реконструкция базы АТП НГДУ на 470 единиц Заполярного ГНКМ</t>
  </si>
  <si>
    <t>051-2005696</t>
  </si>
  <si>
    <t>Реконструкция и техническое перевооружения нефтебазы и базы метанола  Заполярного ГНКМ</t>
  </si>
  <si>
    <t>051-2006572</t>
  </si>
  <si>
    <t>Техническое перевооружение газоперекачивающих агрегатов ДКС УКПГ-2С, УКПГ-3С Заполярного НГКМ</t>
  </si>
  <si>
    <t>051-2007099</t>
  </si>
  <si>
    <t>Реконструкция системы утилизации газов выветривания валанжинского комплекса Заполярного НГКМ</t>
  </si>
  <si>
    <t>051-2007297</t>
  </si>
  <si>
    <t>Техническое перевооружение систем термостабилизации грунтов производственных объектов Заполярного НГКМ</t>
  </si>
  <si>
    <t>051-3001233</t>
  </si>
  <si>
    <t>Эксплуатационное бурение. Обустройство газоконденсатных залежей Заполярного НГКМ</t>
  </si>
  <si>
    <t>051-2001243</t>
  </si>
  <si>
    <t>Дожимная компрессорная станция на УКПГ-2С Заполярного НГКМ (2 очередь)</t>
  </si>
  <si>
    <t>051-2001244</t>
  </si>
  <si>
    <t>Дожимная компрессорная станция на УКПГ-3С Заполярного НГКМ (2 очередь)</t>
  </si>
  <si>
    <t>051-2004010</t>
  </si>
  <si>
    <t>Обустройство туронской залежи Заполярного НГКМ на период ОПР</t>
  </si>
  <si>
    <t>051-3004010</t>
  </si>
  <si>
    <t>Эксплуатационное бурение. Обустройство туронской залежи Заполярного НГКМ на период ОПР</t>
  </si>
  <si>
    <t>051-2005979</t>
  </si>
  <si>
    <t>ДКС на УКПГ-1В Заполярного НГКМ</t>
  </si>
  <si>
    <t>051-2005980</t>
  </si>
  <si>
    <t>ДКС на УКПГ-2В Заполярного НГКМ</t>
  </si>
  <si>
    <t>051-3001236</t>
  </si>
  <si>
    <t xml:space="preserve">Эксплуатационное бурение. Обустройство Заполярного ГНКМ </t>
  </si>
  <si>
    <t>051-2001219</t>
  </si>
  <si>
    <t>Обустройство газового месторождения Каменномысское-море</t>
  </si>
  <si>
    <t>051-3001219</t>
  </si>
  <si>
    <t>Эксплуатационное бурение. Обустройство газового месторождения Каменномысское-море</t>
  </si>
  <si>
    <t>051-2005984</t>
  </si>
  <si>
    <t>Реконструкция берегового технологического комплекса Киринского ГКМ  (2 очередь)</t>
  </si>
  <si>
    <t>051-2006278</t>
  </si>
  <si>
    <t>Реконструкция объектов Киринского ГКМ  (3 очередь)</t>
  </si>
  <si>
    <t>051-2007136</t>
  </si>
  <si>
    <t>Реконструкция азотно-компрессорной станции УКПГ Киринского ГКМ</t>
  </si>
  <si>
    <t>051-2006439</t>
  </si>
  <si>
    <t>Реконструкция БТК Киринского ГКМ (4 очередь) *</t>
  </si>
  <si>
    <t>051-2001292</t>
  </si>
  <si>
    <t>Обустройство Киринского ГКМ</t>
  </si>
  <si>
    <t>051-2006437</t>
  </si>
  <si>
    <t>Реконструкция УПГ-102 Ковыктинского ГКМ</t>
  </si>
  <si>
    <t>051-2007331</t>
  </si>
  <si>
    <t>Техническое перевооружение объектов добычи Ковыктинского ГКМ</t>
  </si>
  <si>
    <t>ГДИ-0002.2026</t>
  </si>
  <si>
    <t>Техническое перевооружение технологических схем УКПГ-2 и УКПГ-3  Ковыктинского ГКМ</t>
  </si>
  <si>
    <t>ГДИ-0003.2026</t>
  </si>
  <si>
    <t>Техническое перевооружение УКПГ-2 и УКПГ-3 Ковыктинского ГКМ</t>
  </si>
  <si>
    <t>ГДИ-0004.2026</t>
  </si>
  <si>
    <t>Реконструкция перевооружение газосборного коллектора кустов скважин 206, 207 и 208  Ковыктинского ГКМ</t>
  </si>
  <si>
    <t>051-3000707</t>
  </si>
  <si>
    <t>Эксплуатационное бурение. Обустройство Ковыктинского газоконденсатного месторождения на период ОПР</t>
  </si>
  <si>
    <t>051-2000714</t>
  </si>
  <si>
    <t>Обустройство Ковыктинского газоконденсатного месторождения</t>
  </si>
  <si>
    <t>051-3000714</t>
  </si>
  <si>
    <t>Эксплуатационное бурение. Обустройство Ковыктинского газоконденсатного месторождения</t>
  </si>
  <si>
    <t>051-2006438</t>
  </si>
  <si>
    <t>Обустройство площадки по переработке гидроминерального сырья Ковыктинского ГКМ на период ОПР</t>
  </si>
  <si>
    <t>051-2007137</t>
  </si>
  <si>
    <t>Реконструкция ТОК Окунайский Ковыктинского ГКМ</t>
  </si>
  <si>
    <t>051-2007138</t>
  </si>
  <si>
    <t>Реконструкция дренажной системы КС газов стабилизации УКПГ-2 Ковыктинского ГКМ</t>
  </si>
  <si>
    <t>051-2000842</t>
  </si>
  <si>
    <t>Реконструкция Комсомольского газового промысла (2 этап)</t>
  </si>
  <si>
    <t>051-2006523</t>
  </si>
  <si>
    <t>Реконструкция объектов подготовки и транспортировки газа Комсомольского газового промысла</t>
  </si>
  <si>
    <t>051-2006514</t>
  </si>
  <si>
    <t>Внедрение технологии непрерывной дозированной подачи жидких ПАВ в скважины Комсомольского газового промысла</t>
  </si>
  <si>
    <t>051-2005685</t>
  </si>
  <si>
    <t>Техперевооружение ДКС Комсомольского газового месторождения. Замена СПЧ ГПА 1-й очереди 3-й ступени сжатия. 2-й этап</t>
  </si>
  <si>
    <t>051-2005686</t>
  </si>
  <si>
    <t>Техническое перевооружение систем автоматизации Комсомольского газового промысла</t>
  </si>
  <si>
    <t>051-2006341</t>
  </si>
  <si>
    <t>Техперевооружение газовых скважин Комсомольского газового промысла. Замена НКТ</t>
  </si>
  <si>
    <t>051-2007100</t>
  </si>
  <si>
    <t>Техническое перевооружение систем противопожарной защиты Комсомольского НГКМ</t>
  </si>
  <si>
    <t>051-2004687</t>
  </si>
  <si>
    <t>Техперевооружение обвязки кустов газовых скважин Комсомольского газового промысла</t>
  </si>
  <si>
    <t>051-2006343</t>
  </si>
  <si>
    <t>Реконструкция полигона ТБиПО Кшукского ГКМ</t>
  </si>
  <si>
    <t>051-2006023</t>
  </si>
  <si>
    <t>Расширение Кшукского газоконденсатного месторождения. Подключение скважин №№ 71, 72</t>
  </si>
  <si>
    <t>051-2000791</t>
  </si>
  <si>
    <t>Газовые промыслы Медвежьего НГКМ. Реконструкция и техперевооружение. 2-я очередь строительства</t>
  </si>
  <si>
    <t>051-2005701</t>
  </si>
  <si>
    <t>Реконструкция ЦДКС Медвежьего НГКМ</t>
  </si>
  <si>
    <t>051-2005703</t>
  </si>
  <si>
    <t>Реконструкция МПК 1, 2, 3 Медвежьего НГКМ</t>
  </si>
  <si>
    <t>051-2005702</t>
  </si>
  <si>
    <t>Внедрение технологии непрерывной дозированной подачи жидких ПАВ в скважины Медвежьего НГКМ</t>
  </si>
  <si>
    <t>051-2006585</t>
  </si>
  <si>
    <t>Техническое перевооружение сети УКВ-радиосвязи на газовых промыслах Надым-Пур-Тазовского региона</t>
  </si>
  <si>
    <t>051-2006586</t>
  </si>
  <si>
    <t>Реконструкция сети оперативно-диспетчерской связи и оповещения ГОиЧС на газовых промыслах Надым-Пур-Тазовского региона</t>
  </si>
  <si>
    <t>051-2006965</t>
  </si>
  <si>
    <t>Техническое перевооружение внутриплощадочных сетей газовых промыслов Медвежьего НГКМ</t>
  </si>
  <si>
    <t>051-2000812</t>
  </si>
  <si>
    <t>Обустройство берриас-валанжинских отложений Ныдинского участка Медвежьего НГКМ</t>
  </si>
  <si>
    <t>051-3000812</t>
  </si>
  <si>
    <t>Эксплуатационное бурение. Медвежье НГКМ Ныдинский участок (берриас-валанжинские отложения)</t>
  </si>
  <si>
    <t>051-2000821</t>
  </si>
  <si>
    <t>Обустройство площадей в районе 
УКПГ-1 Медвежьего НГКМ (пласты БН-3,4,5)</t>
  </si>
  <si>
    <t>051-3000821</t>
  </si>
  <si>
    <t xml:space="preserve">Эксплуатационное бурение. Медвежье НГКМ (Обустройство площадей в районе УКПГ-1) </t>
  </si>
  <si>
    <t>051-3006560</t>
  </si>
  <si>
    <t>Эксплуатационное бурение. Медвежье НГКМ. Восстановление газовых скважин зарезкой боковых стволов</t>
  </si>
  <si>
    <t>051-2005678</t>
  </si>
  <si>
    <t>ДКС на УКПГ-Н Медвежьего НГКМ</t>
  </si>
  <si>
    <t>051-3004873</t>
  </si>
  <si>
    <t>Эксплуатационное бурение. Мирненское газоконденсатное месторождение (нижний мел)</t>
  </si>
  <si>
    <t>051-2006521</t>
  </si>
  <si>
    <t>Внедрение технологии непрерывной дозированной подачи жидких ПАВ в скважины Нижнеквакчикского месторождения</t>
  </si>
  <si>
    <t>051-2007103</t>
  </si>
  <si>
    <t>Реконструкция Камчатского ГПУ</t>
  </si>
  <si>
    <t>051-2006340</t>
  </si>
  <si>
    <t>Техперевооружение газоконденсатных скважин Нижнеквакчикского ГКМ. Замена НКТ</t>
  </si>
  <si>
    <t>Нижне-Квакчинское</t>
  </si>
  <si>
    <t>051-2004688</t>
  </si>
  <si>
    <t>ДКС Нижне-Квакчикского газоконденсатного месторождения</t>
  </si>
  <si>
    <t>051-2001315</t>
  </si>
  <si>
    <t>Техническое перевооружение и реконструкция объектов добычи газа ОНГКМ</t>
  </si>
  <si>
    <t>051-2006449</t>
  </si>
  <si>
    <t>Техническое перевооружение скважин Оренбургского НГКМ</t>
  </si>
  <si>
    <t>051-2001320</t>
  </si>
  <si>
    <t>Реконструкция ДКС-1,2 на Оренбургском НГКМ</t>
  </si>
  <si>
    <t>051-2004003</t>
  </si>
  <si>
    <t>Реконструкция ДКС-3 Оренбургского НГКМ</t>
  </si>
  <si>
    <t>051-2006450</t>
  </si>
  <si>
    <t>Подключение скважин, переведенных в эксплуатационный фонд Оренбургского НГКМ</t>
  </si>
  <si>
    <t>051-2000880</t>
  </si>
  <si>
    <t>Оснащение устьев газовых скважин в затапливаемой зоне локальной автоматикой и телемеханикой управления скважиной</t>
  </si>
  <si>
    <t>051-2005354</t>
  </si>
  <si>
    <t>Обводненный фонд газовых скважин Оренбургского нефтегазоконденсатного месторождения</t>
  </si>
  <si>
    <t>051-2005355</t>
  </si>
  <si>
    <t>Реконструкция скважины № 178 Оренбургского НГКМ для механизированной добычи газа по схеме прямой закачки пластовой воды в поглощающий горизонт</t>
  </si>
  <si>
    <t>051-2005482</t>
  </si>
  <si>
    <t>Реконструкция объектов ГПУ для приема, подготовки и учета продукции нефтяных скважин Филипповской залежи</t>
  </si>
  <si>
    <t>051-2005353</t>
  </si>
  <si>
    <t>Оснащение скважин сероводородсодержащих месторождений энергонезависимой системой телемеханики с функциями аварийной защиты и раннего оповещения</t>
  </si>
  <si>
    <t>051-2005715</t>
  </si>
  <si>
    <t>Техперевооружение обвязки устьев скважин для регулировки подачи метанола</t>
  </si>
  <si>
    <t>051-2006451</t>
  </si>
  <si>
    <t>Реконструкция технологических линий УКПГ-10 Оренбургского НГКМ</t>
  </si>
  <si>
    <t>051-2000877</t>
  </si>
  <si>
    <t>Техперевооружение газоконденсатопроводов УЭСП по Абдулинскому направлению</t>
  </si>
  <si>
    <t>051-2004659</t>
  </si>
  <si>
    <t>Газоконденсатопродуктопроводы УЭСП по Дедуровскому коридору</t>
  </si>
  <si>
    <t>051-2000878</t>
  </si>
  <si>
    <t>Газоконденсатопродуктопроводы УЭСП по Западному коридору</t>
  </si>
  <si>
    <t>051-2004652</t>
  </si>
  <si>
    <t>Газоконденсатопродуктопроводы УЭСП по Павловскому коридору</t>
  </si>
  <si>
    <t>051-2004616</t>
  </si>
  <si>
    <t>Продуктопроводы УЭСП Салаватско-Уфимского направления</t>
  </si>
  <si>
    <t>051-2000872</t>
  </si>
  <si>
    <t>Реконструкция газопровода очищенного газа "Союз" - ДКС-1"</t>
  </si>
  <si>
    <t>051-2007105</t>
  </si>
  <si>
    <t>Реконструкция технологической линии УКПГ-9 Оренбургского НГКМ с применением МКУ</t>
  </si>
  <si>
    <t>051-2007106</t>
  </si>
  <si>
    <t>Реконструкция и техническое перевооружение УКПГ-2 ОНГКМ</t>
  </si>
  <si>
    <t>051-2007107</t>
  </si>
  <si>
    <t>Реконструкция и техническое перевооружение УКПГ-6 ОНГКМ</t>
  </si>
  <si>
    <t>051-2007108</t>
  </si>
  <si>
    <t>Реконструкция УКПГ-15 ОНГКМ</t>
  </si>
  <si>
    <t>051-2007294</t>
  </si>
  <si>
    <t>Реконструкция и техническое перевооружение УКПГ-1 ОНГКМ</t>
  </si>
  <si>
    <t>051-2007295</t>
  </si>
  <si>
    <t>Реконструкция и техническое перевооружение УКПГ-12 ОНГКМ</t>
  </si>
  <si>
    <t>051-2007296</t>
  </si>
  <si>
    <t>Реконструкция и техническое перевооружение УКПГ-14 ОНГКМ</t>
  </si>
  <si>
    <t>051-2005711</t>
  </si>
  <si>
    <t>Подключение дополнительных скважин доразработки Артинско-сакмарской залежи Оренбургского НГКМ</t>
  </si>
  <si>
    <t>051-3005711</t>
  </si>
  <si>
    <t>Бурение эксплуатационное газовых скважин доразработки Артинско-сакмарской залежи Оренбургского НГКМ</t>
  </si>
  <si>
    <t>051-2005712</t>
  </si>
  <si>
    <t>Подключение дополнительных газовых скважин доразработки Филипповской залежи Оренбургского НГКМ</t>
  </si>
  <si>
    <t>051-3005712</t>
  </si>
  <si>
    <t>Бурение эксплуатационное газовых скважин Филипповской залежи Оренбургского НГКМ</t>
  </si>
  <si>
    <t>051-3000865</t>
  </si>
  <si>
    <t>Бурение эксплуатационное на м/р. Подключение скважин доразработки основной газоконденсатной залежи Оренбургского НГКМ</t>
  </si>
  <si>
    <t>019-2000736</t>
  </si>
  <si>
    <t>Обустройство Песчаного месторождения</t>
  </si>
  <si>
    <t>019-3000736</t>
  </si>
  <si>
    <t>Эксплуатационное бурение. Песчаное нефтегазоконденсатное месторождение</t>
  </si>
  <si>
    <t>Печорогородское</t>
  </si>
  <si>
    <t>051-3005424</t>
  </si>
  <si>
    <t>Эксплуатационное бурение. Печорогородское газоконденсатное месторождение</t>
  </si>
  <si>
    <t>051-2005424</t>
  </si>
  <si>
    <t>Обустройство Печорогородского ГКМ</t>
  </si>
  <si>
    <t>019-3004224</t>
  </si>
  <si>
    <t>Эксплуатационное бурение. Прибрежное газоконденсатное месторождение</t>
  </si>
  <si>
    <t>ПурпейскаябазаМТС</t>
  </si>
  <si>
    <t>051-2005689</t>
  </si>
  <si>
    <t>Реконструкция склада ГСМ  Пурпейской БМТС</t>
  </si>
  <si>
    <t>Тас-Юряхинское</t>
  </si>
  <si>
    <t>051-2006733</t>
  </si>
  <si>
    <t>Обустройство Тас-Юряхского месторождения</t>
  </si>
  <si>
    <t>051-3006733</t>
  </si>
  <si>
    <t xml:space="preserve">Бурение эксплуатационное на месторождении. Эксплуатационные газовые скважины  
Тас-Юряхского месторождения </t>
  </si>
  <si>
    <t>036-2001043</t>
  </si>
  <si>
    <t>Техническое перевооружение, реконструкция, расширение действующих мощностей Уренгойского НГКМ</t>
  </si>
  <si>
    <t>051-2004692</t>
  </si>
  <si>
    <t>Техническое перевооружение газовых, газоконденсатных скважин Уренгойского НГКМ</t>
  </si>
  <si>
    <t>051-2005977</t>
  </si>
  <si>
    <t>Техническое перевооружение газовых, газоконденсатных скважин Уренгойского месторождения (2 этап)</t>
  </si>
  <si>
    <t>051-2004433</t>
  </si>
  <si>
    <t>Техническое перевооружение обвязок кустов газовых, газоконденсатных  скважин  Уренгойского НГКМ</t>
  </si>
  <si>
    <t>051-2005090</t>
  </si>
  <si>
    <t>Техническое перевооружение газоперекачивающих агрегатов. Замена СПЧ на ДКС Уренгойского НГКМ</t>
  </si>
  <si>
    <t>051-2005978</t>
  </si>
  <si>
    <t>Техническое перевооружение газоперекачивающих агрегатов. Замена СПЧ на ДКС Уренгойского НГКМ (2 этап)</t>
  </si>
  <si>
    <t>051-2005191</t>
  </si>
  <si>
    <t>Реконструкция системы подготовки, очистки и закачки сточных вод в поглощающие скважины Уренгойского НГКМ</t>
  </si>
  <si>
    <t>051-2004691</t>
  </si>
  <si>
    <t>Техническое перевооружение нефтяных скважин Уренгойского НГКМ. Реконструкция объектов добычи и подготовки углеводородного сырья</t>
  </si>
  <si>
    <t>051-2005370</t>
  </si>
  <si>
    <t>Реконструкция и техническое перевооружение объектов и инженерных систем межпромысловых коллекторов Уренгойского НГКМ. 1 этап</t>
  </si>
  <si>
    <t>051-2005277</t>
  </si>
  <si>
    <t>Реконструкция ФА, промысловых и технологических трубопроводов с установкой средств коррозионного мониторинга объектов второго Ачимовского участка Уренгойского НГКМ</t>
  </si>
  <si>
    <t>051-2006174</t>
  </si>
  <si>
    <t>Реконструкция технологического оборудования. Ачимовский участок Уренгойского НГКМ. (Письмо ПАО "Газпром" от 04.07.2022 № 06/44/4/06-2677)</t>
  </si>
  <si>
    <t>051-1005673</t>
  </si>
  <si>
    <t>Реконструкция водозаборов Таб–Яха, Хадуттэ.</t>
  </si>
  <si>
    <t>051-2006446</t>
  </si>
  <si>
    <t>Комплексная реконструкция УКПГ. Перевод УКПГ в УППГ. УКПГ–1АС, 1, 2, 3, 5, 6, 8,  9, 10, 11, 13, 15</t>
  </si>
  <si>
    <t>051-2006448</t>
  </si>
  <si>
    <t>Реконструкция систем электрохимзащиты объектов ООО «Газпром добыча Уренгой» ГП (ГКП) №№ 1-16, 1А</t>
  </si>
  <si>
    <t>051-2007291</t>
  </si>
  <si>
    <t>Техническое перевооружение дожимных компрессорных станций на УКПГ Уренгойского НГКМ. (1 этап)</t>
  </si>
  <si>
    <t>051-2007292</t>
  </si>
  <si>
    <t>Внедрение технологии непрерывной дозированной подачи жидких ПАВ и ингибиторов в скважины Уренгойского, Северо-Уренгойского и Ен-Яхинского НГКМ</t>
  </si>
  <si>
    <t>051-2007293</t>
  </si>
  <si>
    <t>Техническое перевооружение обвязок ачимовских скважин (линий ГС1) Уренгойского НГКМ</t>
  </si>
  <si>
    <t>051-2001040</t>
  </si>
  <si>
    <t>Дообустройство второго опытного участка Ачимовских отложений Уренгойского НГКМ на полное развитие</t>
  </si>
  <si>
    <t>051-3001040</t>
  </si>
  <si>
    <t>Эксплуатационное бурение. Дообустройство второго опытного участка Ачимовских отложений Уренгойского НГКМ на полное развитие</t>
  </si>
  <si>
    <t>051-2006445</t>
  </si>
  <si>
    <t>Ачимовский участок Уренгойского НГКМ. ДКС 1-й очереди на УКПГ-22</t>
  </si>
  <si>
    <t>051-2001026</t>
  </si>
  <si>
    <t>Дообустройство газоконденсатных скважин Уренгойского НГКМ</t>
  </si>
  <si>
    <t>051-3001026</t>
  </si>
  <si>
    <t>Эксплуатационное бурение. Дообустройство газоконденсатных скважин Уренгойского НГКМ</t>
  </si>
  <si>
    <t>051-3001052</t>
  </si>
  <si>
    <t>Эксплуатационное бурение. Обустройство Уренгойского нефтегазоконденсатного месторождения</t>
  </si>
  <si>
    <t>051-2005263</t>
  </si>
  <si>
    <t>ДКС 3-и очереди на УКПГ-7 сеноманской залежи Уренгойского НГКМ</t>
  </si>
  <si>
    <t>051-2005268</t>
  </si>
  <si>
    <t>ДКС 3-и очереди на УКПГ-12 сеноманской залежи Уренгойского НГКМ</t>
  </si>
  <si>
    <t>051-2005271</t>
  </si>
  <si>
    <t>ДКС 3-и очереди на УКПГ-4 сеноманской залежи Уренгойского НГКМ</t>
  </si>
  <si>
    <t>051-2006447</t>
  </si>
  <si>
    <t>Расширение мощностей на полное развитие ДКС сеноманской залежи Песцовой площади Уренгойского НГКМ</t>
  </si>
  <si>
    <t>051-2004015</t>
  </si>
  <si>
    <t>Техническое перевооружение газовой скважины № 514 ГКП-5 Уренгойского НГКМ. Оснащение концентрической лифтовой колонной</t>
  </si>
  <si>
    <t>051-2006465</t>
  </si>
  <si>
    <t>Реконструкция сливной эстакады для приема нефтепродуктов автомобильным транспортом на базовый склад ГСМ, ДЭГа и метанола промбазы Харасавэйского ГКМ</t>
  </si>
  <si>
    <t>051-2000796</t>
  </si>
  <si>
    <t xml:space="preserve">Обустройство сеноман-аптских залежей Харасавэйского ГКМ </t>
  </si>
  <si>
    <t>051-3000796</t>
  </si>
  <si>
    <t>Эксплуатационное бурение. Харасавэйское ГКМ</t>
  </si>
  <si>
    <t>051-2000825</t>
  </si>
  <si>
    <t xml:space="preserve">Обустройство сеноман-аптских залежей Харасавэйского ГКМ. Газопровод подключения Харасавэйского ГКМ </t>
  </si>
  <si>
    <t>051-2006524</t>
  </si>
  <si>
    <t>Техническое перевооружение объектов ООО «Газпром добыча Ноябрьск» (2 этап)</t>
  </si>
  <si>
    <t>051-2006962</t>
  </si>
  <si>
    <t>Техническое перевооружение объектов ООО «Газпром добыча Ноябрьск» (3 этап)</t>
  </si>
  <si>
    <t>051-2007090</t>
  </si>
  <si>
    <t>ПСП «Чаяндинский»</t>
  </si>
  <si>
    <t>051-2007102</t>
  </si>
  <si>
    <t>Техническое перевооружение систем противопожарной защиты Чаяндинского НГКМ</t>
  </si>
  <si>
    <t>051-2000860</t>
  </si>
  <si>
    <t>Обустройство Чаяндинского НГКМ</t>
  </si>
  <si>
    <t>051-3000860</t>
  </si>
  <si>
    <t>Бурение эксплуатационное на месторождении. Эксплуатационные газовые скважины Чаяндинского НГКМ</t>
  </si>
  <si>
    <t>051-2006296</t>
  </si>
  <si>
    <t>ДКС  (1 очередь)  УКПГ-3 Чаяндинского НГКМ</t>
  </si>
  <si>
    <t>051-2006297</t>
  </si>
  <si>
    <t>ДКС  (1 очередь)  УППГ-2 Чаяндинского НГКМ</t>
  </si>
  <si>
    <t>051-2006298</t>
  </si>
  <si>
    <t>ДКС  (1 очередь) УППГ-4 Чаяндинского НГКМ</t>
  </si>
  <si>
    <t>051-2006344</t>
  </si>
  <si>
    <t>Реконструкция полигона твердых бытовых и промышленных отходов в составе объекта «Обустройство Чаяндинского НГКМ»</t>
  </si>
  <si>
    <t>051-2000793</t>
  </si>
  <si>
    <t>Реконструкция и техническое перевооружение объектов добычи газа Юбилейного НГКМ</t>
  </si>
  <si>
    <t>051-2004676</t>
  </si>
  <si>
    <t>Реконструкция обвязок кустов газовых скважин Юбилейного НГКМ</t>
  </si>
  <si>
    <t>051-2000804</t>
  </si>
  <si>
    <t>Реконструкция и техническое перевооружение объектов добычи газа Юбилейного НГКМ. 2-я очередь</t>
  </si>
  <si>
    <t>051-2004680</t>
  </si>
  <si>
    <t>Дообустройство Юбилейного НГКМ (нижнемеловые отложения)</t>
  </si>
  <si>
    <t>051-3004680</t>
  </si>
  <si>
    <t>Эксплуатационное бурение. Дообустройство Юбилейного НГКМ (пласты АУ-11 и ПК 18-20) (нижнемеловые отложения)</t>
  </si>
  <si>
    <t>051-3006588</t>
  </si>
  <si>
    <t>Эксплуатационное бурение. Юбилейное НГКМ. Восстановление газовых скважин зарезкой боковых стволов</t>
  </si>
  <si>
    <t>051-2005679</t>
  </si>
  <si>
    <t>Техническое перевооружение ГПА ДКС (2-я очередь) Юбилейного НГКМ (замена СПЧ)</t>
  </si>
  <si>
    <t>051-2006345</t>
  </si>
  <si>
    <t>Реконструкция полигона утилизации ТБО Юбилейного НГКМ</t>
  </si>
  <si>
    <t>051-2001297</t>
  </si>
  <si>
    <t>Обустройство Южно-Киринского месторождения</t>
  </si>
  <si>
    <t>051-3001297</t>
  </si>
  <si>
    <t>Бурение эксплуатационное на месторождениях. Обустройство Южно-Киринского месторождения</t>
  </si>
  <si>
    <t>051-3005149</t>
  </si>
  <si>
    <t>Бурение эксплуатационное на месторождениях. Обустройство Южно-Киринского месторождения (2 этап)</t>
  </si>
  <si>
    <t>051-2004694</t>
  </si>
  <si>
    <t>Техперевооружение газовых скважин Ямбургского НГКМ</t>
  </si>
  <si>
    <t>051-2005474</t>
  </si>
  <si>
    <t>Техническое перевооружение газоконденсатных скважин Ямбургского НГКМ</t>
  </si>
  <si>
    <t>051-2006573</t>
  </si>
  <si>
    <t>Техническое перевооружение газовых и газоконденсатных скважин Ямбургского НГКМ</t>
  </si>
  <si>
    <t>051-2004432</t>
  </si>
  <si>
    <t>Техническое перевооружение обвязки кустов газовых скважин Ямбургского НГКМ</t>
  </si>
  <si>
    <t>051-2001204</t>
  </si>
  <si>
    <t>Реконструкция и техперевооружение объектов Ямбургского ГКМ. 2-й этап реконструкции</t>
  </si>
  <si>
    <t>051-2004023</t>
  </si>
  <si>
    <t>Реконструкция газосборной сети с применением МКУ и объединением УКПГ Ямбургского НГКМ</t>
  </si>
  <si>
    <t>051-2004693</t>
  </si>
  <si>
    <t>Инженерная защита балочных переходов газопровордов-шлейфов  и межпромысловых коллекторов Ямбургского НГКМ</t>
  </si>
  <si>
    <t>051-2005475</t>
  </si>
  <si>
    <t>Реконструкция энергомодулей № 1, 2, 3 ГТЭС-72 Ямбургского НГКМ</t>
  </si>
  <si>
    <t>051-2005698</t>
  </si>
  <si>
    <t>Реконструкция ГТЭС-15 УКПГ-9 Харвутинской площади Ямбургского НГКМ</t>
  </si>
  <si>
    <t>051-2005697</t>
  </si>
  <si>
    <t>Реконструкция УЗПП УКПГ-1В Ямбургского НГКМ</t>
  </si>
  <si>
    <t>051-2005853</t>
  </si>
  <si>
    <t>Реконструкция УПМТ-1 УКПГ-1В Ямбургского НГКМ</t>
  </si>
  <si>
    <t>051-2005261</t>
  </si>
  <si>
    <t>Реконструкция здания производственных корпусов с тёплой стоянкой УКПГ-4 и УКПГ-9 Ямбургского НГКМ</t>
  </si>
  <si>
    <t>051-2006022</t>
  </si>
  <si>
    <t>Реконструкция ПАЭС 2500 УКПГ-1В ЯНГКМ</t>
  </si>
  <si>
    <t>051-2001230</t>
  </si>
  <si>
    <t>Реконструкция и модернизация Ямбургского ГКМ</t>
  </si>
  <si>
    <t>051-2007289</t>
  </si>
  <si>
    <t>Техническое перевооружение газоперекачивающих агрегатов ДКС УКПГ-2, УКПГ-3 сеноманской залежи Ямбургского НГКМ</t>
  </si>
  <si>
    <t>051-2007290</t>
  </si>
  <si>
    <t>Техническое перевооружение газоперекачивающих агрегатов ДКС УКПГ-4, УКПГ-7 сеноманской залежи Ямбургского НГКМ</t>
  </si>
  <si>
    <t>051-3001202</t>
  </si>
  <si>
    <t>Эксплуатационное бурение. Подключение дополнительных скважин нижнемеловых отложений Ямбургского НГКМ</t>
  </si>
  <si>
    <t>051-3001209</t>
  </si>
  <si>
    <t>Эксплуатационное бурение. Обустройство Харвутинской площади Ямбургского ГКМ</t>
  </si>
  <si>
    <t>051-2004952</t>
  </si>
  <si>
    <t>Обустройство Восточно-Харвутинской площади Ямбургского НГКМ</t>
  </si>
  <si>
    <t>051-3004952</t>
  </si>
  <si>
    <t>Эксплуатационное бурение. Обустройство Восточно-Харвутинской площади Ямбургского НГКМ</t>
  </si>
  <si>
    <t>051-2005366</t>
  </si>
  <si>
    <t>Расширение обустройства нижнемеловых отложений Ямбургского НГКМ</t>
  </si>
  <si>
    <t>051-3005366</t>
  </si>
  <si>
    <t>Эксплуатационное бурение. Расширение обустройства нижнемеловых отложений Ямбургского НГКМ</t>
  </si>
  <si>
    <t>051-2006512</t>
  </si>
  <si>
    <t>Дожимная компрессорная станция Харвутинской площади Ямбургского ГКМ</t>
  </si>
  <si>
    <t>051-2000792</t>
  </si>
  <si>
    <t>Реконструкция и техническое перевооружение объектов добычи газа Ямсовейского НГКМ</t>
  </si>
  <si>
    <t>051-2005677</t>
  </si>
  <si>
    <t>Реконструкция ДКС Ямсовейского НГКМ (2-я очередь)</t>
  </si>
  <si>
    <t>051-2005708</t>
  </si>
  <si>
    <t>Реконструкция газосборной сети Ямсовейского НГКМ</t>
  </si>
  <si>
    <t>051-2006966</t>
  </si>
  <si>
    <t>Техническое перевооружение внутриплощадочных сетей Ямсовейского НГКМ</t>
  </si>
  <si>
    <t>051-2000800</t>
  </si>
  <si>
    <t>Реконструкция и техническое перевооружение объектов добычи газа Ямсовейского НГКМ. 2 очередь</t>
  </si>
  <si>
    <t>Флаг 1</t>
  </si>
  <si>
    <t>Флаг 2</t>
  </si>
  <si>
    <t>Номер меропирятия</t>
  </si>
  <si>
    <t>5.2.2В.1.2</t>
  </si>
  <si>
    <t>Раздельно-групповое переподключение газосборных коллекторов с различными параметрами УКПГ-2В (ГСС). I этап</t>
  </si>
  <si>
    <t>5.2.2В.1.3</t>
  </si>
  <si>
    <t>Раздельно-групповое переподключение газосборных коллекторов с различными параметрами УКПГ-2В (ГСС). II этап</t>
  </si>
  <si>
    <t>5.2.2В.1.4</t>
  </si>
  <si>
    <t>Раздельно-групповое переподключение газосборных коллекторов с различными параметрами УКПГ-2В (ГСС).  III этап</t>
  </si>
  <si>
    <t>5.2.2В.1.5</t>
  </si>
  <si>
    <t>Раздельно-групповое переподключение газосборных коллекторов с различными параметрами УКПГ-2В (ГСС).  IV этап</t>
  </si>
  <si>
    <t>5.2.5В.1.6</t>
  </si>
  <si>
    <t>Раздельно-групповое переподключение газосборных коллекторов с различными параметрами УКПГ-5В (ГСС).  I этап</t>
  </si>
  <si>
    <t>5.2.5В.1.2</t>
  </si>
  <si>
    <t>Раздельно-групповое переподключение газосборных коллекторов с различными параметрами УКПГ-5В (ГСС).  II этап</t>
  </si>
  <si>
    <t>5.2.5В.1.3</t>
  </si>
  <si>
    <t>4.2.0.2</t>
  </si>
  <si>
    <t>Система технологической связи. Диспетчерская связь</t>
  </si>
  <si>
    <t>4.2.0.1.3</t>
  </si>
  <si>
    <t>Система технологической связи. Производственная громкоговорящая связь</t>
  </si>
  <si>
    <t>4.2.0.1.4</t>
  </si>
  <si>
    <t>Системы технологической связи. Радиорелейные линии связи</t>
  </si>
  <si>
    <t>4.2.0.1.5</t>
  </si>
  <si>
    <t>4.6.1А.1</t>
  </si>
  <si>
    <t>Системы электро-, тепло-, водоснабжения объектов ГКП-1А (1).</t>
  </si>
  <si>
    <t>4.6.1А.2</t>
  </si>
  <si>
    <t>Системы электро-, тепло-, водоснабжения объектов ГКП-1А (2).</t>
  </si>
  <si>
    <t>4.6.5.1</t>
  </si>
  <si>
    <t>Системы электро-, тепло-, водоснабжения объектов ГКП-5.</t>
  </si>
  <si>
    <t>4.6.5.2</t>
  </si>
  <si>
    <t>Системы электро-, тепло-, водоснабжения объектов ГКП-5 (2).</t>
  </si>
  <si>
    <t>4.6.8.1</t>
  </si>
  <si>
    <t>Системы электро-, тепло-, водоснабжения объектов ГКП-8.</t>
  </si>
  <si>
    <t>4.6.8.2</t>
  </si>
  <si>
    <t>Системы электро-, тепло-, водоснабжения объектов ГКП-8 (2)</t>
  </si>
  <si>
    <t>4.6.8.3</t>
  </si>
  <si>
    <t>Системы электро-, тепло-, водоснабжения объектов ГКП-8 (3)</t>
  </si>
  <si>
    <t>4.6.0.1</t>
  </si>
  <si>
    <t>Реконструкция водозабора Таб-Яха</t>
  </si>
  <si>
    <t>4.6.0.2</t>
  </si>
  <si>
    <t>Реконструкция водозабора Хадуттэ</t>
  </si>
  <si>
    <t>Бурение бокового ствола, скв. 58</t>
  </si>
  <si>
    <t>Бурение бокового ствола, скв. 68</t>
  </si>
  <si>
    <t>Бурение бокового ствола, скв. 260</t>
  </si>
  <si>
    <t>Бурение бокового ствола, скв.211Д</t>
  </si>
  <si>
    <t>6.8.ВЖК.1.23</t>
  </si>
  <si>
    <t>Система охраны ВЖК ГП-7 Медвежьего НГКМ</t>
  </si>
  <si>
    <t>8.8.1.1</t>
  </si>
  <si>
    <t>Пункт контрольно-пропускной поста охраны Ямсовейского НГКМ</t>
  </si>
  <si>
    <t>7.6.1.2</t>
  </si>
  <si>
    <t>Реконструкция электростанции собственных нужд Юбилейного НГКМ</t>
  </si>
  <si>
    <t>7.6.1.3</t>
  </si>
  <si>
    <t>Котельная ВЖК Юбилейного НГКМ</t>
  </si>
  <si>
    <t>7.3.1.2</t>
  </si>
  <si>
    <t>Реконструкция установки закачки промстоков в пласт УКПГ Юбилейного НГКМ</t>
  </si>
  <si>
    <t>7.8.ВЖК.1</t>
  </si>
  <si>
    <t>Комплекс инженерно-технических средств охраны и средств антитеррористической защиты ВЖК Юбилейного НГКМ</t>
  </si>
  <si>
    <t>7.8.1.1</t>
  </si>
  <si>
    <t>Комплекс инженерно-технических средств охраны и средств антитеррористической защиты КПП УКПГ Юбилейного НГКМ</t>
  </si>
  <si>
    <t>7.3.1.3</t>
  </si>
  <si>
    <t>Реконструкция внутриплощадочных трубопроводов  УКПГ Юбилейного НГКМ  (этап 2)</t>
  </si>
  <si>
    <t>7.5.1.5</t>
  </si>
  <si>
    <t>Техническое перевооружение  АСПС и КЗ объектов ВЖК Юбилейного НГКМ (этап 8)</t>
  </si>
  <si>
    <t>7.5.1.6</t>
  </si>
  <si>
    <t>Техническое перевооружение  АСПС и КЗ объектов ЭСН Юбилейного НГКМ (этап 9)</t>
  </si>
  <si>
    <t>7.1.1.26</t>
  </si>
  <si>
    <t>Оснащение КГС 10 беспроводными  датчиками телеметрии  (давление, температура) (этап 10)</t>
  </si>
  <si>
    <t>7.1.1.38</t>
  </si>
  <si>
    <t>Оснащение КГС 11 беспроводными  датчиками телеметрии  (давление, температура) (этап 11)</t>
  </si>
  <si>
    <t>7.1.1.39</t>
  </si>
  <si>
    <t>Оснащение КГС 12 беспроводными  датчиками телеметрии  (давление, температура) (этап 12)</t>
  </si>
  <si>
    <t>7.1.1.40</t>
  </si>
  <si>
    <t>Оснащение КГС 13 беспроводными  датчиками телеметрии  (давление, температура) (этап 13)</t>
  </si>
  <si>
    <t>7.1.1.41</t>
  </si>
  <si>
    <t>Оснащение КГС 14 беспроводными  датчиками телеметрии  (давление, температура) (этап 14)</t>
  </si>
  <si>
    <t>7.1.1.42</t>
  </si>
  <si>
    <t>Оснащение КГС 15 беспроводными  датчиками телеметрии  (давление, температура) (этап 15)</t>
  </si>
  <si>
    <t>7.1.1.43</t>
  </si>
  <si>
    <t>Оснащение КГС 16 беспроводными  датчиками телеметрии  (давление, температура) (этап 16)</t>
  </si>
  <si>
    <t>7.1.1.44</t>
  </si>
  <si>
    <t>Оснащение КГС 17 беспроводными  датчиками телеметрии  (давление, температура) (этап 17)</t>
  </si>
  <si>
    <t>7.1.1.45</t>
  </si>
  <si>
    <t>Оснащение КГС 18 беспроводными  датчиками телеметрии  (давление, температура) (этап 18)</t>
  </si>
  <si>
    <t>7.1.1.46</t>
  </si>
  <si>
    <t>Оснащение КГС 19 беспроводными  датчиками телеметрии  (давление, температура) (этап 19)</t>
  </si>
  <si>
    <t>7.1.1.47</t>
  </si>
  <si>
    <t>Оснащение КГС 20 беспроводными  датчиками телеметрии  (давление, температура) (этап 20)</t>
  </si>
  <si>
    <t>7.1.1.48</t>
  </si>
  <si>
    <t>Оснащение КГС 21 беспроводными  датчиками телеметрии  (давление, температура) (этап 21)</t>
  </si>
  <si>
    <t>7.1.1.49</t>
  </si>
  <si>
    <t>Оснащение КГС 22 беспроводными  датчиками телеметрии  (давление, температура) (этап 22)</t>
  </si>
  <si>
    <t>7.1.1.50</t>
  </si>
  <si>
    <t>Оснащение КГС 23 беспроводными  датчиками телеметрии  (давление, температура) (этап 23)</t>
  </si>
  <si>
    <t>7.1.1.51</t>
  </si>
  <si>
    <t>Оснащение КГС 24 беспроводными  датчиками телеметрии  (давление, температура) (этап 24)</t>
  </si>
  <si>
    <t>7.1.1.52</t>
  </si>
  <si>
    <t>Оснащение КГС 25 беспроводными  датчиками телеметрии  (давление, температура) (этап 25)</t>
  </si>
  <si>
    <t>7.1.1.53</t>
  </si>
  <si>
    <t>Оснащение КГС 26 беспроводными  датчиками телеметрии  (давление, температура) (этап 26)</t>
  </si>
  <si>
    <t>7.1.1.54</t>
  </si>
  <si>
    <t>Оснащение КГС 27 беспроводными  датчиками телеметрии  (давление, температура) (этап 27)</t>
  </si>
  <si>
    <t>7.1.1.55</t>
  </si>
  <si>
    <t>Оснащение КГС 28 беспроводными  датчиками телеметрии  (давление, температура) (этап 28)</t>
  </si>
  <si>
    <t>7.4.1.1</t>
  </si>
  <si>
    <t>Реконструкция объектов ДКС (1 очередь) Юбилейного НГКМ  (этап 3)</t>
  </si>
  <si>
    <t>7.8.1.1(2)</t>
  </si>
  <si>
    <t>Стабилизация оснований и фундаментов зданий, сооружений и инженерных сетей Юбилейного НГКМ (зона В) (этап 29)</t>
  </si>
  <si>
    <t>12.3.1.1</t>
  </si>
  <si>
    <t>Этап 3</t>
  </si>
  <si>
    <t>11.1.1.1.25</t>
  </si>
  <si>
    <t>Монтаж теплоизоляции с электрообогревом обвязки КГС Восточного купола</t>
  </si>
  <si>
    <t>11.2.1.1.25</t>
  </si>
  <si>
    <t>Монтаж камеры запуска и приема диагностического и очистного оборудования (Ду500) на участках трубопровода от УППГ Северного купола до УКПГ</t>
  </si>
  <si>
    <t>11.2.1.2.25</t>
  </si>
  <si>
    <t>Монтаж камеры запуска и приема диагностического и очистного оборудования (Ду1000) на участках трубопровода от УППГ Северного купола до УКПГ</t>
  </si>
  <si>
    <t>11.3.1.1.25</t>
  </si>
  <si>
    <t>Устройство перепускной линии на площадке УКПГ от выходного коллектора ЦОГ до ППА</t>
  </si>
  <si>
    <t>15.2.0.12</t>
  </si>
  <si>
    <t>Реконструкция газопровода</t>
  </si>
  <si>
    <t>15.2.0.1.24</t>
  </si>
  <si>
    <t>Этап 1– Участок трубопровода 0-118 км</t>
  </si>
  <si>
    <t>15.2.0.2.24</t>
  </si>
  <si>
    <t>Этап 2- Участок трубопровода 118-233 км</t>
  </si>
  <si>
    <t>15.2.0.3.24</t>
  </si>
  <si>
    <t>Этап 3- Участок трубопровода 233-342 км</t>
  </si>
  <si>
    <t>15.2.0.16.24</t>
  </si>
  <si>
    <t>1 этап - газопровод г.н.г. УКПГ-14 - ГПЗ</t>
  </si>
  <si>
    <t>15.2.0.17.24</t>
  </si>
  <si>
    <t>3 этап - газопровод г.н.г. УКПГ-16 - ГПЗ I нитка</t>
  </si>
  <si>
    <t>15.2.0.18.24</t>
  </si>
  <si>
    <t>4 этап - конденсатопровод к.н.к. УКПГ-14 - УКПГ-15</t>
  </si>
  <si>
    <t>15.2.0.19.24</t>
  </si>
  <si>
    <t>7 этап - метанолопровод м.с.м УКПГ-15 - УКПГ-14</t>
  </si>
  <si>
    <t>15.2.0.20.24</t>
  </si>
  <si>
    <t>2 этап - газопровод г.н.г. УКПГ-15 - ГПЗ</t>
  </si>
  <si>
    <t>15.2.0.21.24</t>
  </si>
  <si>
    <t>5 этап - конденсатопровод к.н.к. УКПГ-15 – ГПЗ</t>
  </si>
  <si>
    <t>15.2.0.22.24</t>
  </si>
  <si>
    <t>6 этап - газопровод г.о.г. УКПГ-15 - УКПГ-14</t>
  </si>
  <si>
    <t>15.2.0.2.25</t>
  </si>
  <si>
    <t>8 этап - г.к.п. УКПГ-16-ГПЗ III нитка, г.н.г. УКПГ-16- ГПЗ II нитка (изменение к ТЗ)</t>
  </si>
  <si>
    <t>15.1.0.7</t>
  </si>
  <si>
    <t>Оснащение газовых скважин локальной автоматикой</t>
  </si>
  <si>
    <t>15.1.0.5.25</t>
  </si>
  <si>
    <t>2.1.1В.8</t>
  </si>
  <si>
    <t>Обвязка устьев газовых скважин УКПГ-1В Ямбургского ГКМ (этапы 8-41 - 8-45)</t>
  </si>
  <si>
    <t>2.1.2В.1</t>
  </si>
  <si>
    <t>Обвязка устьев газовых скважин УППГ-2В Ямбургского ГКМ (этапы 9-18 - 9-20)</t>
  </si>
  <si>
    <t>2.1.3В.1</t>
  </si>
  <si>
    <t>Обвязка устьев газовых скважин УППГ-3В Ямбургского ГКМ (этапы 10-17 - 10-21)</t>
  </si>
  <si>
    <t>2.3.1В.1</t>
  </si>
  <si>
    <t>Этап 8-1
Реконструкция блока подсобнопроизводственных помещений УКПГ-1В Ямбургского ГКМ</t>
  </si>
  <si>
    <t>2.3.1В.2</t>
  </si>
  <si>
    <t>Этап 8-4
Реконструкция технологического корпуса регенерации ДЭГа и метанола УКПГ-1В Ямбургского ГКМ</t>
  </si>
  <si>
    <t>2.3.1В.3</t>
  </si>
  <si>
    <t>Этап 8-6
Реконструкция технологического корпуса подготовки газа и конденсата УКПГ-1В Ямбургского ГКМ</t>
  </si>
  <si>
    <t>2.3.1В.6</t>
  </si>
  <si>
    <t>Этап 8-9
Реконструкция пункта переключающей арматуры. УКПГ-1В Ямбургского ГКМ</t>
  </si>
  <si>
    <t>2.3.1В.9</t>
  </si>
  <si>
    <t>Этап 8-12
Реконструкция установки АВО УКПГ-1В ЯГКМ</t>
  </si>
  <si>
    <t>2.3.1В.13</t>
  </si>
  <si>
    <t>Этап 8-26
Реконструкция системы автоматического пожаротушения УКПГ-1В Ямбургского ГКМ</t>
  </si>
  <si>
    <t>1.3.1.2</t>
  </si>
  <si>
    <t>Этап 1-2 
Реконструкция технологического корпуса регенерации ДЭГа УКПГ-1 Ямбургского ГКМ</t>
  </si>
  <si>
    <t>1.3.1.3</t>
  </si>
  <si>
    <t>Этап 1-3 
Насосная технологическая УКПГ-1 Ямбургского ГКМ</t>
  </si>
  <si>
    <t>1.3.1.4</t>
  </si>
  <si>
    <t>Этап 1-4 
Реконструкция  технологического  корпуса подготовки   газа  УКПГ-1  Ямбургского  ГКМ</t>
  </si>
  <si>
    <t>1.3.1.5</t>
  </si>
  <si>
    <t>Этап 1-5
Реконструкция пункта переключающей арматуры. УКПГ-1 Ямбургского ГКМ.</t>
  </si>
  <si>
    <t>1.3.1.6.24</t>
  </si>
  <si>
    <t>Этап 1-6
Пункт редуцирования газа собственных нужд УКПГ-1 Ямбургского  ГКМ</t>
  </si>
  <si>
    <t>1.3.1.8</t>
  </si>
  <si>
    <t>Этап 1-8
Установка ресиверов азота УКПГ-1 Ямбургского ГКМ</t>
  </si>
  <si>
    <t>1.3.1.9</t>
  </si>
  <si>
    <t>Этап 1-9
Реконструкция системы автоматического пожаротушения УКПГ-1 Ямбургского ГКМ</t>
  </si>
  <si>
    <t>1.3.2.2</t>
  </si>
  <si>
    <t>Этап 2-5
Реконструкция пункта переключающей арматуры УКПГ-2 Ямбургского ГКМ.</t>
  </si>
  <si>
    <t>1.3.3.3</t>
  </si>
  <si>
    <t>Этап 3-5
Реконструкция УКПГ-3 (Реконструкция пункта переключающей арматуры УКПГ-3 Ямбургского ГКМ.</t>
  </si>
  <si>
    <t>1.3.4.2</t>
  </si>
  <si>
    <t>Этап 4-2 
Реконструкция технологического корпуса регенерации ДЭГа и метанола УКПГ-4 Ямбургского ГКМ</t>
  </si>
  <si>
    <t>1.3.4.3</t>
  </si>
  <si>
    <t>Этап 4-3
Насосная технологическая. УКПГ-4 Ямбургского ГКМ</t>
  </si>
  <si>
    <t>1.3.4.4</t>
  </si>
  <si>
    <t>Этап 4-4 
Реконструкция  технологического  корпуса подготовки   газа  УКПГ-4  Ямбургского  ГКМ</t>
  </si>
  <si>
    <t>1.3.4.5</t>
  </si>
  <si>
    <t>Этап 4-5
Реконструкция пункта переключающей арматуры. УКПГ-4 Ямбургского ГКМ.</t>
  </si>
  <si>
    <t>1.3.4.8</t>
  </si>
  <si>
    <t>Этап 4-8
Установка ресиверов азота УКПГ-4 Ямбургского ГКМ</t>
  </si>
  <si>
    <t>1.3.4.9</t>
  </si>
  <si>
    <t>Этап 4-9
Реконструкция системы автоматического пожаротушения УКПГ-4 Ямбургского ГКМ</t>
  </si>
  <si>
    <t>1.3.4.11.24</t>
  </si>
  <si>
    <t>Этап 4-6
Пункт редуцирования газа собственных нужд УКПГ-4 Ямбургского ГКМ</t>
  </si>
  <si>
    <t>1.3.5.1</t>
  </si>
  <si>
    <t>Этап 5-5
Реконструкция УКПГ-5 Реконструкция пункта переключающей арматуры,  Реконструкция системы автоматического пожаротушения.</t>
  </si>
  <si>
    <t>1.3.6.2</t>
  </si>
  <si>
    <t>Этап 6-2
Реконструкция технологического корпуса регенерации ДЭГа и метанола УКПГ-6 Ямбургского ГКМ</t>
  </si>
  <si>
    <t>1.3.6.3</t>
  </si>
  <si>
    <t>Этап 6-3
Насосная технологическая УКПГ-6 Ямбургского ГКМ</t>
  </si>
  <si>
    <t>1.3.6.4</t>
  </si>
  <si>
    <t>Этап 6-4
Реконструкция технологического корпуса подготовки газа УКПГ-6 Ямбургского ГКМ</t>
  </si>
  <si>
    <t>1.3.6.5</t>
  </si>
  <si>
    <t>Этап 6-5
Реконструкция пункта переключающей арматуры. УКПГ-6 Ямбургского ГКМ.</t>
  </si>
  <si>
    <t>1.3.6.7</t>
  </si>
  <si>
    <t>Этап 6-9
Установка ресиверов азота УКПГ-6 Ямбургского ГКМ</t>
  </si>
  <si>
    <t>1.3.6.8</t>
  </si>
  <si>
    <t>Этап 6-10
Реконструкция системы автоматического пожаротушения УКПГ-6 Ямбургского ГКМ</t>
  </si>
  <si>
    <t>1.3.6.9.24</t>
  </si>
  <si>
    <t>Этап 6-6
Пункт  редуцирования  газа  собственных нужд  УКПГ-6  Ямбургского  ГКМ</t>
  </si>
  <si>
    <t>2.3.2В.1</t>
  </si>
  <si>
    <t>Этап 9-1
Реконструкция корпуса технологического УППГ-2В</t>
  </si>
  <si>
    <t>2.3.2В.2</t>
  </si>
  <si>
    <t>Этап 9-2
Реконструкция  здания подогрева газа УППГ-2В</t>
  </si>
  <si>
    <t>2.3.2В.3</t>
  </si>
  <si>
    <t>Этап 9-4
Реконструкция факельного хозяйства УППГ-2В</t>
  </si>
  <si>
    <t>2.3.2В.4</t>
  </si>
  <si>
    <t>Этап 9-5
Установка ресиверов азота УППГ-2В</t>
  </si>
  <si>
    <t>2.3.2В.5</t>
  </si>
  <si>
    <t>Этап 9-6
Реконструкция системы автоматического пожаротушения  УППГ-2В</t>
  </si>
  <si>
    <t>2.3.2В.6</t>
  </si>
  <si>
    <t>Этап 9-8
Реконструкция подстанции комплектной трансформаторной УППГ-2В</t>
  </si>
  <si>
    <t>2.3.2В.7</t>
  </si>
  <si>
    <t>Этап 9-11
Реконструкция установки подогрева теплоносителя УППГ-2В</t>
  </si>
  <si>
    <t>2.3.2В.8</t>
  </si>
  <si>
    <t>Этап 9-17
Реконструкция системы автоматического пожаротушения УППГ-2В</t>
  </si>
  <si>
    <t>2.3.3В.1</t>
  </si>
  <si>
    <t>Этап 10-1 
Реконструкция корпуса технологического УППГ-3В</t>
  </si>
  <si>
    <t>2.3.3В.2</t>
  </si>
  <si>
    <t>Этап 10-2
Реконструкция огневых подогревателей УППГ-3В</t>
  </si>
  <si>
    <t>2.3.3В.3</t>
  </si>
  <si>
    <t>Этап 10-4
Реконструкция факельного хозяйства УППГ-3В</t>
  </si>
  <si>
    <t>2.3.3В.4</t>
  </si>
  <si>
    <t>Этап 10-5
Реконструкция системы автоматического пожаротушения УППГ-3В</t>
  </si>
  <si>
    <t>2.4.1В.2</t>
  </si>
  <si>
    <t>Этап 8-31
Реконструкция дожимной компрессорной станции (1 очередь) УКПГ-1В Ямбургского ГКМ</t>
  </si>
  <si>
    <t>2.5.1В.3</t>
  </si>
  <si>
    <t>Этап 8-34
Автоматизированная система управления энергоснабжением (АСУ Э) УКПГ-1В Ямбургского ГКМ</t>
  </si>
  <si>
    <t>2.5.2В.1</t>
  </si>
  <si>
    <t>Этап 9-16
Автоматизированная система управления энергоснабжением (АСУ Э) УППГ-2В</t>
  </si>
  <si>
    <t>2.5.3В.1</t>
  </si>
  <si>
    <t>Этап 10-16
Автоматизированная система управления энергоснабжением (АСУ Э) УППГ-3В</t>
  </si>
  <si>
    <t>2.6.1В.1</t>
  </si>
  <si>
    <t>Этап 8-24
Реконструкция подстанции комплектной трансформаторной вспомогательных зданий и сооружений УКПГ-1В Ямбургского ГКМ</t>
  </si>
  <si>
    <t>2.6.1В.3</t>
  </si>
  <si>
    <t>Этап 8-28
Реконструкция установки подогрева теплоносителя УКПГ-1В Ямбургского ГКМ</t>
  </si>
  <si>
    <t>2.6.1В.4</t>
  </si>
  <si>
    <t>Этап 8-32
Сети внеплощадочные УКПГ-1В Ямбургского ГКМ</t>
  </si>
  <si>
    <t>2.6.1В.5.24</t>
  </si>
  <si>
    <t>Этап 8-27
Реконструкция станции водонасосной с резервуарами запаса воды УКПГ-1В Ямбургского ГКМ</t>
  </si>
  <si>
    <t>1.6.2.1</t>
  </si>
  <si>
    <t>Этап 2-16
Реконструкция устройства закрытого распределительного ЗРУ-35/6кВ УКПГ-2 Ямбургского ГКМ</t>
  </si>
  <si>
    <t>1.6.2.2</t>
  </si>
  <si>
    <t>Этап 2-17
Котельная УКПГ-2 Ямбургского ГКМ</t>
  </si>
  <si>
    <t>1.6.4.2</t>
  </si>
  <si>
    <t>Этап 4-14
Реконструкция станции водонасосной, резервуаров запаса воды УКПГ-4 Ямбургского ГКМ</t>
  </si>
  <si>
    <t>1.6.4.3.24</t>
  </si>
  <si>
    <t>Этап 4-18
Реконструкция подстанции комплектной трансформаторной вспомогательных зданий и сооружений</t>
  </si>
  <si>
    <t>2.6.2В.1</t>
  </si>
  <si>
    <t>Этап 9-12. Реконструкция станции водонасосной УППГ-2В Ямбургского ГКМ</t>
  </si>
  <si>
    <t>2.6.2В.2</t>
  </si>
  <si>
    <t>Этап 9-15
Сети внеплощадочные УППГ-2В</t>
  </si>
  <si>
    <t>2.6.3В.1</t>
  </si>
  <si>
    <t>Этап 10-7 Реконструкция подстанции комплектной трансформаторной УППГ-3В Ямбургского ГКМ</t>
  </si>
  <si>
    <t>2.6.3В.2</t>
  </si>
  <si>
    <t>Этап 10-11 Реконструкция установки подогрева теплоносителя УППГ-3В Ямбургского ГКМ</t>
  </si>
  <si>
    <t>2.6.3В.3</t>
  </si>
  <si>
    <t>Этап 10-15
Сети внеплощадочные УППГ-3В</t>
  </si>
  <si>
    <t>2.6.3В.4.25</t>
  </si>
  <si>
    <t>Этап 10-12. Реконструкция станции водонасосной УППГ-3В Ямбургского ГКМ</t>
  </si>
  <si>
    <t>1.8.6.1</t>
  </si>
  <si>
    <t>Этап 6-11
Установка сжигания промстоков УКПГ-6 Ямбургского ГКМ</t>
  </si>
  <si>
    <t>1.6.72.1.25</t>
  </si>
  <si>
    <t>Реконструкция электростанции ГТЭС-72 Ямбургского ГКМ. 3 пусковой комплекс</t>
  </si>
  <si>
    <t>1.6.72.2.25</t>
  </si>
  <si>
    <t>Реконструкция электростанции ГТЭС-72 Ямбургского ГКМ. 4 пусковой комплекс</t>
  </si>
  <si>
    <t>15.1.0.1.25</t>
  </si>
  <si>
    <t>Замена НКТ и ПО, модернизация ФА</t>
  </si>
  <si>
    <t>15.1.0.2.25</t>
  </si>
  <si>
    <t>15.3.3.1</t>
  </si>
  <si>
    <t>Реконструкция факельных и дренажных систем УКПГ-3</t>
  </si>
  <si>
    <t>15.3.7.1</t>
  </si>
  <si>
    <t>Реконструкция факельных и дренажных систем УКПГ-7</t>
  </si>
  <si>
    <t>15.3.9.1</t>
  </si>
  <si>
    <t>Реконструкция факельных и дренажных систем УКПГ-9</t>
  </si>
  <si>
    <t>15.3.12.1</t>
  </si>
  <si>
    <t>Реконструкция факельных и дренажных систем УКПГ-12</t>
  </si>
  <si>
    <t>15.3.10.1</t>
  </si>
  <si>
    <t>Система противокоррозийнной защиты УКПГ-10</t>
  </si>
  <si>
    <t>15.3.3.3</t>
  </si>
  <si>
    <t>Установка подготовки газа УКПГ-3</t>
  </si>
  <si>
    <t>15.3.3.4</t>
  </si>
  <si>
    <t>АСУ ТП УКПГ-3</t>
  </si>
  <si>
    <t>15.3.3.5</t>
  </si>
  <si>
    <t>Склад метанола и установка приготовления ингибиторов УКПГ-3</t>
  </si>
  <si>
    <t>15.3.3.6</t>
  </si>
  <si>
    <t>АУПТ, АУПС УКПГ-3</t>
  </si>
  <si>
    <t>15.3.3.8</t>
  </si>
  <si>
    <t>Технологическая насосная, компрессорная воздуха КИП УКПГ-3</t>
  </si>
  <si>
    <t>15.3.3.9</t>
  </si>
  <si>
    <t>СЭБ УКПГ-3</t>
  </si>
  <si>
    <t>15.3.3.10</t>
  </si>
  <si>
    <t>Проезды и площадки УКПГ-3</t>
  </si>
  <si>
    <t>15.6.3.1</t>
  </si>
  <si>
    <t>Реконструкция котельной УКПГ-3</t>
  </si>
  <si>
    <t>15.6.3.2</t>
  </si>
  <si>
    <t>Водозаборные сооружения зоны УКПГ-3, в т.ч. водоводы от водозабора до УКПГ-3</t>
  </si>
  <si>
    <t>15.6.3.4</t>
  </si>
  <si>
    <t>Внутриплощадочные  сети и сооружения электроснабжения УКПГ-3</t>
  </si>
  <si>
    <t>15.6.3.5</t>
  </si>
  <si>
    <t>Сантехнические сети и сооружения УКПГ-3</t>
  </si>
  <si>
    <t>15.7.3.1</t>
  </si>
  <si>
    <t>Связь УКПГ-3</t>
  </si>
  <si>
    <t>15.7.3.2</t>
  </si>
  <si>
    <t>Реконструкция  ЗРУ 6-кВ УКПГ-2  (этап 43)</t>
  </si>
  <si>
    <t>15.6.10.1.25</t>
  </si>
  <si>
    <t>Котельная УКПГ-10</t>
  </si>
  <si>
    <t>15.6.8.1.25</t>
  </si>
  <si>
    <t>Система противокоррозийнной защиты УКПГ-8</t>
  </si>
  <si>
    <t>15.3.7.5</t>
  </si>
  <si>
    <t>Система противокоррозийной защиты УКПГ-7, в т.ч. электроснабжение СКЗ</t>
  </si>
  <si>
    <t>15.6.6.1.26</t>
  </si>
  <si>
    <t>Система противокоррозийной защиты УКПГ-6</t>
  </si>
  <si>
    <t>15.6.0.1</t>
  </si>
  <si>
    <t>Реконструкция БОС на базе ГПУ с. Дедуровка</t>
  </si>
  <si>
    <t>15.6.0.2</t>
  </si>
  <si>
    <t>Техперевооружение подстанции 35/6 кВ на базе ГПУ</t>
  </si>
  <si>
    <t>15.6.2.1.25</t>
  </si>
  <si>
    <t>Система противокоррозийнной защиты УКПГ-2</t>
  </si>
  <si>
    <t>15.6.15.1.25</t>
  </si>
  <si>
    <t>Система противокоррозийнной защиты УКПГ-15</t>
  </si>
  <si>
    <t>15.6.14.1.25</t>
  </si>
  <si>
    <t>Система противокоррозийнной защиты УКПГ-14</t>
  </si>
  <si>
    <t>15.6.1.1.25</t>
  </si>
  <si>
    <t>Система противокоррозийнной защиты УКПГ-1</t>
  </si>
  <si>
    <t>15.6.12.1.25</t>
  </si>
  <si>
    <t>Система противокоррозийнной защиты УКПГ-12</t>
  </si>
  <si>
    <t>Реконструкция систем водоснабжения и канализации УППГ-1 Астраханского ГКМ</t>
  </si>
  <si>
    <t>Реконструкция обвязки устья скважины газовой эксплуатационной № 51 УППГ-1</t>
  </si>
  <si>
    <t>Реконструкция обвязки устья скважины газовой эксплуатационной № 58 УППГ-1</t>
  </si>
  <si>
    <t>Реконструкция обвязки устья скважины газовой эксплуатационной № 68 УППГ-1</t>
  </si>
  <si>
    <t>Реконструкция обвязки устья скважины газовой эксплуатационной № 113 УППГ-1</t>
  </si>
  <si>
    <t>Реконструкция обвязки устья скважины газовой эксплуатационной № 65Д УППГ-1</t>
  </si>
  <si>
    <t>Реконструкция обвязки устья скважины газовой эксплуатационной № 108 УППГ-1</t>
  </si>
  <si>
    <t>Реконструкция обвязки скважины газовой эксплуатационной № 260 УППГ-2 Астраханского ГКМ</t>
  </si>
  <si>
    <t>Реконструкция обвязки скважины газовой эксплуатационной № 211Д  УППГ-2 Астраханского ГКМ</t>
  </si>
  <si>
    <t>Реконструкция обвязки устья скважины газовой эксплуатационной № 216 УППГ-2</t>
  </si>
  <si>
    <t>Реконструкция обвязки устья скважины газовой эксплуатационной № 72 УППГ-2</t>
  </si>
  <si>
    <t>Реконструкция обвязки устья скважины газовой эксплуатационной № 263 УППГ-2</t>
  </si>
  <si>
    <t>Реконструкция обвязки устья скважины газовой эксплуатационной № 98 УППГ-2</t>
  </si>
  <si>
    <t>Реконструкция обвязки скважины газовой эксплуатационной № 73 УППГ-1 Астраханского ГКМ</t>
  </si>
  <si>
    <t>Реконструкция обвязки скважины газовой эксплуатационной № 96 УППГ-2 Астраханского ГКМ</t>
  </si>
  <si>
    <t>Реконструкция обвязки скважины газовой эксплуатационной № 209 УППГ-2 Астраханского ГКМ</t>
  </si>
  <si>
    <t>Реконструкция обвязки скважины газовой эксплуатационной № 219 УППГ-2 Астраханского ГКМ</t>
  </si>
  <si>
    <t>Реконструкция обвязки скважины газовой эксплуатационной № 106 УППГ-1 Астраханского ГКМ</t>
  </si>
  <si>
    <t>Реконструкция обвязки скважины газовой эксплуатационной № 79 УППГ-2 Астраханского ГКМ</t>
  </si>
  <si>
    <t>Реконструкция обвязки скважины газовой эксплуатационной № 104 УППГ-1 Астраханского ГКМ</t>
  </si>
  <si>
    <t>Реконструкция обвязки скважины газовой эксплуатационной № 547 УППГ-1 Астраханского ГКМ</t>
  </si>
  <si>
    <t>Реконструкция обвязки скважины газовой эксплуатационной № 20-Э УППГ-1 Астраханского ГКМ</t>
  </si>
  <si>
    <t>Реконструкция обвязки скважины газовой эксплуатационной № 110 УППГ-1 Астраханского ГКМ</t>
  </si>
  <si>
    <t>Реконструкция обвязки скважины газовой эксплуатационной № 74 УППГ-1 Астраханского ГКМ</t>
  </si>
  <si>
    <t>Реконструкция обвязки скважины газовой эксплуатационной № 93 УППГ-1 Астраханского ГКМ</t>
  </si>
  <si>
    <t>Реконструкция 2-ой технологической нитки газоконденсатопровода УППГ-2</t>
  </si>
  <si>
    <t>Реконструкция объектов площадки УППГ-1</t>
  </si>
  <si>
    <t>Реконструкция объектов площадки УППГ-2</t>
  </si>
  <si>
    <t>Реконструкция ПС 35/6 кВ УППГ-1</t>
  </si>
  <si>
    <t>Реконструкция ПС 35/6 кВ УППГ-2</t>
  </si>
  <si>
    <t>Реконструкция систем ЭХЗ линейных потребителей УППГ-1 Астраханского ГКМ</t>
  </si>
  <si>
    <t>Реконструкция систем ЭХЗ линейных потребителей УППГ-2 Астраханского ГКМ</t>
  </si>
  <si>
    <t>15.4.Д1.2</t>
  </si>
  <si>
    <t>Реконструкция КЦ № 1 ДКС-1 ГПУ Оренбургского НГКМ (10 этап)</t>
  </si>
  <si>
    <t>15.4.Д1.3</t>
  </si>
  <si>
    <t>Реконструкция электроприводного цеха ДКС-1 Оренбургского НГКМ (12 этап)</t>
  </si>
  <si>
    <t>15.4.Д1.6</t>
  </si>
  <si>
    <t>Реконструкция КЦ № 2 ДКС-2 Оренбургского НГКМ (13 этап)</t>
  </si>
  <si>
    <t>15.7.Д0.1</t>
  </si>
  <si>
    <t>Реконструкция сетей связи ДКС-1, УКПГ-10, Промбазы Оренбургского НГКМ (5 этап)</t>
  </si>
  <si>
    <t>15.7.Д0.2</t>
  </si>
  <si>
    <t>Реконструкция сетей связи УКПГ-1,3,12 ГПУ Оренбургского НГКМ (6 этап)</t>
  </si>
  <si>
    <t>15.7.Д0.3</t>
  </si>
  <si>
    <t>Реконструкция сетей связи УКПГ-2,6 Оренбургского НГКМ (8 этап)</t>
  </si>
  <si>
    <t>15.7.Д0.4</t>
  </si>
  <si>
    <t>Реконструкция сетей связи УКПГ-7,8,9 ГПУ Оренбургского НГКМ (11 этап)</t>
  </si>
  <si>
    <t>15.4.Д3.1.25</t>
  </si>
  <si>
    <t>Этап 1-Реконструкция ДКЦ (ГПА № 5,6 - модернизация)</t>
  </si>
  <si>
    <t>15.4.Д3.2.25</t>
  </si>
  <si>
    <t>Этап 2- Реконструкция ДНС (ТЛ-1)</t>
  </si>
  <si>
    <t>15.4.Д3.3.25</t>
  </si>
  <si>
    <t>Этап 3- Реконструкция ДКЦ (ГПА № 4 - модернизация)</t>
  </si>
  <si>
    <t>15.4.Д3.4.25</t>
  </si>
  <si>
    <t>Этап 4 -Реконструкция ДНС (ТЛ-2)</t>
  </si>
  <si>
    <t>15.4.Д3.5.25</t>
  </si>
  <si>
    <t>Этап 5 - Реконструкция ДКЦ (ГПА №3 - модернизация)</t>
  </si>
  <si>
    <t>15.4.Д3.6.25</t>
  </si>
  <si>
    <t>Этап 6- Реконстрпукция ДКЦ (ГПА № 2 - модернизация)</t>
  </si>
  <si>
    <t>15.4.Д3.7.25</t>
  </si>
  <si>
    <t>Этап 7- Реконструкция ДКЦ (ГПА № 1 - модернизация)</t>
  </si>
  <si>
    <t>15.4.Д3.8.25</t>
  </si>
  <si>
    <t>Этап 8 - ДНС. Строительство новой технологической нитки ТЛ-3</t>
  </si>
  <si>
    <t>15.4.Д3.9.25</t>
  </si>
  <si>
    <t>Этап 9- Строительство склада тарного хранения</t>
  </si>
  <si>
    <t>15.4.Д3.1.26</t>
  </si>
  <si>
    <t>Этап 10 - Строительство ГПА № 7, 8</t>
  </si>
  <si>
    <t>1.2.6.3.43</t>
  </si>
  <si>
    <t>Этап 43. Скребковые краны №612сз ГШ КГС №612</t>
  </si>
  <si>
    <t>1.3.5.3.2.25</t>
  </si>
  <si>
    <t>Этап 2. Реконструкция инженерных систем зданиия ПЭБ, БППП УКПГ-5</t>
  </si>
  <si>
    <t>1.3.5.3.16</t>
  </si>
  <si>
    <t>Этап 16. Установка пробкоуловителей, дренажной емкости и скребковых кранов УКПГ-5</t>
  </si>
  <si>
    <t>1.3.5.3.46</t>
  </si>
  <si>
    <t>Этап 46. Реконструкция внутриплощадочных сетей УКПГ-5</t>
  </si>
  <si>
    <t>1.3.5.3.47</t>
  </si>
  <si>
    <t>ЭТАП 47. Склад хранения масла в таре УКПГ-5</t>
  </si>
  <si>
    <t>1.3.5.3.48</t>
  </si>
  <si>
    <t>Этап 48. Модернизация сепараторов УОГ УКПГ-5</t>
  </si>
  <si>
    <t>1.3.5.3.49</t>
  </si>
  <si>
    <t>Этап 49. Реконструкция УПТИГ ДКС УКПГ-5</t>
  </si>
  <si>
    <t>1.3.5.3.50</t>
  </si>
  <si>
    <t>Этап 50. Реконструкция техкорпус регенерации ДЭГа и метанола УКПГ-5</t>
  </si>
  <si>
    <t>1.3.5.3.51</t>
  </si>
  <si>
    <t>ЭТАП 51. Реконструкция системы противопожарного водоснабжения УКПГ-5</t>
  </si>
  <si>
    <t>1.3.5.2.26</t>
  </si>
  <si>
    <t>Этап 2.1 Реконструкция инженерных систем зданиия ПЭБ, БППП УКПГ-5</t>
  </si>
  <si>
    <t>1.3.6.3.25</t>
  </si>
  <si>
    <t>Этап 24. Реконструкция инженерных систем зданиия ПЭБ УКПГ-6</t>
  </si>
  <si>
    <t>1.3.6.3.36</t>
  </si>
  <si>
    <t>Этап 36. Установка пробкоуловителей, дренажной емкости и скребковых кранов УКПГ-6</t>
  </si>
  <si>
    <t>1.3.6.3.53</t>
  </si>
  <si>
    <t>Этап 53. Модернизация сепараторов УОГ УКПГ-6</t>
  </si>
  <si>
    <t>1.3.6.3.55</t>
  </si>
  <si>
    <t>Этап 55. Реконструкция установки регенерации ДЭГа УКПГ-6</t>
  </si>
  <si>
    <t>1.3.6.3.56</t>
  </si>
  <si>
    <t>Этап 56. Реконструкция установки подогрева теплоносителя УКПГ-6</t>
  </si>
  <si>
    <t>1.3.0.3.52</t>
  </si>
  <si>
    <t>Этап 52 и 54. Перевод УКПГ-5 в УППГ-5. Подключение УППГ-5 к УКПГ-6</t>
  </si>
  <si>
    <t>1.3.6.24.26</t>
  </si>
  <si>
    <t>Этап 24.1 Реконструкция инженерных систем зданиия ПЭБ УКПГ-6</t>
  </si>
  <si>
    <t>1.2.1.1.23</t>
  </si>
  <si>
    <t>Этап 3. Подключение ГШ №104 к ГШ №106</t>
  </si>
  <si>
    <t>1.2.1.4.23</t>
  </si>
  <si>
    <t>Этап 9. Подключение ГШ №107 к коллектору КГС №111, 119</t>
  </si>
  <si>
    <t>1.2.1.2.13</t>
  </si>
  <si>
    <t>Этап 4. Подключение ГШ №108 к коллектору КГС №113,120</t>
  </si>
  <si>
    <t>1.2.1.3.23</t>
  </si>
  <si>
    <t>Этап 8. Подключение ГШ №116 к коллектору КГС №113, 120</t>
  </si>
  <si>
    <t>1.2.1.1.23(2)</t>
  </si>
  <si>
    <t>Этап 25. Подключение ГШ №210 к ГШ №207</t>
  </si>
  <si>
    <t>1.2.1.2.13(2)</t>
  </si>
  <si>
    <t>Этап 26. Подключение ГШ №214 к ГШ №213</t>
  </si>
  <si>
    <t>1.2.1.4.23(2)</t>
  </si>
  <si>
    <t>Этап 35. Подключение ГШ №211 к ГШ №215</t>
  </si>
  <si>
    <t>1.2.3.2.13</t>
  </si>
  <si>
    <t>Этап 61. Подключение ГШ №312 к ГШ №313</t>
  </si>
  <si>
    <t>1.2.3.4.23</t>
  </si>
  <si>
    <t>Этап 63. Подключение ГШ №307 к ГШ №302</t>
  </si>
  <si>
    <t>1.2.3.8.23</t>
  </si>
  <si>
    <t>Этап 67. Подключение ГШ №305 к ГШ №304</t>
  </si>
  <si>
    <t>1.2.4.1.23</t>
  </si>
  <si>
    <t>Этап 69. Подключение ГШ №406 к ГШ №405</t>
  </si>
  <si>
    <t>1.2.4.2.13</t>
  </si>
  <si>
    <t>Этап 70. Подключение ГШ №411 к коллектору КГС №407, 420, 421</t>
  </si>
  <si>
    <t>1.2.4.5.23</t>
  </si>
  <si>
    <t>Этап 80. Подключение ГШ №408 к коллектору КГС №407, 420, 421</t>
  </si>
  <si>
    <t>1.2.4.7.23</t>
  </si>
  <si>
    <t>Этап 82. Подключение коллектора  №404, 422 к коллектору КГС №407, 420, 421</t>
  </si>
  <si>
    <t>1.2.4.3.23</t>
  </si>
  <si>
    <t>Этап 71. Подключение ГШ №412 и ГШ №418 к коллектору КГС №414, 416, 417.</t>
  </si>
  <si>
    <t>1.2.7.1.23</t>
  </si>
  <si>
    <t>Этап 87. Подключение ГШ №717 к коллектору КГС №618, 715. Замена труб ГШ №717и №715</t>
  </si>
  <si>
    <t>1.2.7.2.13</t>
  </si>
  <si>
    <t>Этап 88. Подключение ГШ №718 и ГШ№713 к коллектору КГС №721, 722, 723. Замена труб ГШ №713</t>
  </si>
  <si>
    <t>1.2.7.4.23</t>
  </si>
  <si>
    <t>Этап 90. Замена трубы ГШ №704 до точки подключения к коллектору КГС №726, 727, 728</t>
  </si>
  <si>
    <t>1.2.7.6.23</t>
  </si>
  <si>
    <t>Этап 92. Подключение ГШ №711 к ГШ№719</t>
  </si>
  <si>
    <t>1.3.2.1.23</t>
  </si>
  <si>
    <t>Этап 16. Первоочередной этап АСУ ТП "верхнего" уровня и систем связи УКПГ-2 Подключение к складу масла</t>
  </si>
  <si>
    <t>1.3.2.4.23</t>
  </si>
  <si>
    <t>Этап 27. Установка узлов приема очистных устройств на УКПГ-2 и скребковых кранов для приема очистных устройств на ГШ КГС № 207, КГС № 213</t>
  </si>
  <si>
    <t>1.3.2.5.23</t>
  </si>
  <si>
    <t>Этап 34. Установка скребковых кранов для приема очистных устройств на ГШ КГС № 202, КГС № 203</t>
  </si>
  <si>
    <t>1.3.2.6.23</t>
  </si>
  <si>
    <t>Этап 36. Установка скребкового крана для приема очистных устройств на ГШ КГС № 212</t>
  </si>
  <si>
    <t>1.3.2.7.23</t>
  </si>
  <si>
    <t>Этап 39. Установка скребковых кранов для приема очистных устройств на ГШ КГС № 205, КГС № 215</t>
  </si>
  <si>
    <t>1.3.3.2.13</t>
  </si>
  <si>
    <t>Этап 48. Реконструкция техкорпуса регенерации ДЭГа и метанола УКПГ-3, башня антенная</t>
  </si>
  <si>
    <t>1.3.3.4.23</t>
  </si>
  <si>
    <t>Этап 50. Установка узлов приема очистных устройств на УКПГ-3 и скребкового крана для приема очистных устройств на ГШ КГС № 308</t>
  </si>
  <si>
    <t>1.3.3.5.23</t>
  </si>
  <si>
    <t>Этап 60. Установка скребковых кранов для приема очистных устройств на ГШ КГС № 303, КГС № 313</t>
  </si>
  <si>
    <t>1.3.3.6.23</t>
  </si>
  <si>
    <t>Этап 62. Установка скребкового крана для приема очистных устройств на ГШ КГС № 316</t>
  </si>
  <si>
    <t>1.3.3.7.23</t>
  </si>
  <si>
    <t>Этап 64. Установка скребковых кранов для приема очистных устройств на ГШ КГС № 302, КГС № 304, КГС № 317, КГС № 310</t>
  </si>
  <si>
    <t>1.2.3.9.23</t>
  </si>
  <si>
    <t>Этап 68. Установка скребкового крана для приема очистных устройств на ГШ КГС № 314</t>
  </si>
  <si>
    <t>1.4.2.1.23</t>
  </si>
  <si>
    <t>Этапы 29. МКУ на КГС №205</t>
  </si>
  <si>
    <t>1.4.2.2.23</t>
  </si>
  <si>
    <t>Этапы 31. МКУ на КГС №209</t>
  </si>
  <si>
    <t>1.4.2.3.23</t>
  </si>
  <si>
    <t>Этапы 33. МКУ на КГС №215</t>
  </si>
  <si>
    <t>1.4.2.4.23</t>
  </si>
  <si>
    <t>Этапы 17. МКУ на КГС №202</t>
  </si>
  <si>
    <t>1.4.2.5.23</t>
  </si>
  <si>
    <t>Этапы 21. МКУ на КГС №212</t>
  </si>
  <si>
    <t>1.4.2.6.23</t>
  </si>
  <si>
    <t>Этапы 32. МКУ на КГС №214</t>
  </si>
  <si>
    <t>1.4.2.7.23</t>
  </si>
  <si>
    <t>Этапы 19. МКУ на КГС №210</t>
  </si>
  <si>
    <t>1.4.2.8.23</t>
  </si>
  <si>
    <t>Этапы 20. МКУ на КГС №211</t>
  </si>
  <si>
    <t>1.4.2.9.23</t>
  </si>
  <si>
    <t>Этапы 28. МКУ на КГС №203</t>
  </si>
  <si>
    <t>1.4.2.10.23</t>
  </si>
  <si>
    <t>Этапы 30. МКУ на КГС №208</t>
  </si>
  <si>
    <t>1.4.3.1.23</t>
  </si>
  <si>
    <t>Этап 47. МКУ на КГС №316</t>
  </si>
  <si>
    <t>1.4.3.2.23</t>
  </si>
  <si>
    <t>Этап 53. МКУ на КГС №304</t>
  </si>
  <si>
    <t>1.4.3.3.23</t>
  </si>
  <si>
    <t>Этап 54. МКУ на КГС №305</t>
  </si>
  <si>
    <t>1.4.3.4.23</t>
  </si>
  <si>
    <t>Этап 59. МКУ на КГС №317</t>
  </si>
  <si>
    <t>1.4.3.5.23</t>
  </si>
  <si>
    <t>Этап 43. МКУ на КГС №307</t>
  </si>
  <si>
    <t>1.4.3.6.23</t>
  </si>
  <si>
    <t>Этап 51. МКУ на КГС №302</t>
  </si>
  <si>
    <t>1.4.3.8.23</t>
  </si>
  <si>
    <t>Этап 57. МКУ на КГС №314</t>
  </si>
  <si>
    <t>1.4.3.9.23</t>
  </si>
  <si>
    <t>Этап 46. МКУ на КГС №313</t>
  </si>
  <si>
    <t>1.4.3.10.23</t>
  </si>
  <si>
    <t>Этап 55. МКУ на КГС №310</t>
  </si>
  <si>
    <t>1.4.3.11.23</t>
  </si>
  <si>
    <t>Этап 58. МКУ на КГС №315</t>
  </si>
  <si>
    <t>1.6.1.1.23</t>
  </si>
  <si>
    <t>Этап 1. Строительство ПС 6/35 кВ УКПГ-1 (первоочередной этап)</t>
  </si>
  <si>
    <t>1.6.2.1.23</t>
  </si>
  <si>
    <t>Этап 14. Строительство ПС 6/10 кВ УКПГ-2  (первоочередной этап)</t>
  </si>
  <si>
    <t>1.6.2.1.23(2)</t>
  </si>
  <si>
    <t>Этап 15. Строительство ПС 35/10 кВ УКПГ-2 (первоочередной этап)</t>
  </si>
  <si>
    <t>1.6.3.1.23</t>
  </si>
  <si>
    <t>Этап 40. Строительство ПС 6/10 кВ УКПГ-3 (первоочередной этап)</t>
  </si>
  <si>
    <t>1.6.3.2.13</t>
  </si>
  <si>
    <t>Этап 41. Строительство ПС 35/10 кВ УКПГ-3. АСУ ТП "верхний уровень" (первоочередной этап)</t>
  </si>
  <si>
    <t>1.6.0.1.23</t>
  </si>
  <si>
    <t>Этап 2. Строительство ВЛ 35 кВ УКПГ-1 - УКПГ-2 - УКПГ-3. АСУ ТП, АСПС КЗиПТ УКПГ-1</t>
  </si>
  <si>
    <t>Замена ФА, НКТ и ПО скв.216</t>
  </si>
  <si>
    <t>16.1.6.2</t>
  </si>
  <si>
    <t>Замена ФА, НКТ и ПО скв.602</t>
  </si>
  <si>
    <t>1.1.1.1</t>
  </si>
  <si>
    <t>Техническое перевооружение обвязки газовых скважин. Оснащение системой автоматического управления КГС. Управляющие комплексы КЛК    на скважинах № 1022. Оснащение КГС № 102 автономным энергетическим комплексом.</t>
  </si>
  <si>
    <t>1.1.1.2</t>
  </si>
  <si>
    <t>Техническое перевооружение обвязки газовых скважин. Оснащение системой автоматического управления КГС. Управляющие комплексы КЛК    на скважинах № 1128.  Оснащение КГС № 112 автономным энергетическим комплексом.</t>
  </si>
  <si>
    <t>1.1.2.1</t>
  </si>
  <si>
    <t>Техническое перевооружение обвязки газовых скважин. Оснащение системой автоматического управления КГС № 2022, 2037, 2038.</t>
  </si>
  <si>
    <t>1.1.2.3.25</t>
  </si>
  <si>
    <t>Техническое перевооружение обвязки газовых скважин. Мобильные управляющие комплексы КЛК на скважинах № 2054</t>
  </si>
  <si>
    <t>1.1.3.1</t>
  </si>
  <si>
    <t>Техническое перевооружение обвязки газовых скважин. Оснащение системой автоматического управления КГС №,3174</t>
  </si>
  <si>
    <t>1.1.3.4.25</t>
  </si>
  <si>
    <t>Техническое перевооружение обвязки газовых скважин. Мобильные управляющие комплексы КЛК на скважинах № 3052, 3103, 3105, 3108, 3172, 3173</t>
  </si>
  <si>
    <t>1.1.5.1</t>
  </si>
  <si>
    <t>Техническое перевооружение обвязки газовых скважин. Оснащение системой автоматического управления КГС № 5027, 5036, 5073, 5094, 5076, 5062, 2160, 2161, 2167.</t>
  </si>
  <si>
    <t>1.1.5.3.25</t>
  </si>
  <si>
    <t>Техническое перевооружение обвязки газовых скважин. Мобильные управляющие комплексы КЛК на скважинах № 5146.  Оснащение КГС №  514 автономным энергетическим комплексом</t>
  </si>
  <si>
    <t>1.1.6.1</t>
  </si>
  <si>
    <t>Техническое перевооружение  обвязки газовых скважин. Оснащение системой автоматического управления КГС  № 6045, 6047, 6082. Оснащение КГС № 608 автономным энергетическим комплексом</t>
  </si>
  <si>
    <t>1.1.7.3.25(2)</t>
  </si>
  <si>
    <t>Техническое перевооружение обвязки газовых скважин. Мобильные управляющие комплексы КЛК на скважинах № 7043.   Оснащение КГС №  704 автономным энергетическим комплексом</t>
  </si>
  <si>
    <t>1.1.8.1.25</t>
  </si>
  <si>
    <t>Техническое перевооружение  обвязки газовых скважин. Оснащение системой автоматического управления КГС  № 8034. Оснащение КГС №  803 автономным энергетическим комплексом</t>
  </si>
  <si>
    <t>Обвязка устьев газовых скважин  Ямбургского ГКМ</t>
  </si>
  <si>
    <t>4.1.0.5.2</t>
  </si>
  <si>
    <t>Оснащение обвязки скважин оборудованием для концентрических лифтовых колонн.УКПГ-1А, 1-16. (в т.ч. система автоматики и телемеханики).</t>
  </si>
  <si>
    <t>4.1.0.5.3</t>
  </si>
  <si>
    <t>4.1.0.5.4</t>
  </si>
  <si>
    <t>4.1.0.5.5</t>
  </si>
  <si>
    <t>4.1.0.5.6</t>
  </si>
  <si>
    <t>4.1.0.5.7</t>
  </si>
  <si>
    <t>Оснащение обвязки скважин оборудованием для телеметрии.УКПГ-1А, 1-15, УКПГ-1АВ, 2В, 5В, 8В</t>
  </si>
  <si>
    <t>4.1.0.5.8</t>
  </si>
  <si>
    <t>4.1.0.5.9</t>
  </si>
  <si>
    <t>4.1.0.5.10</t>
  </si>
  <si>
    <t>Замена ЗРА обвязки скважин</t>
  </si>
  <si>
    <t>4.1.0.5.11</t>
  </si>
  <si>
    <t>4.1.0.5.12</t>
  </si>
  <si>
    <t>4.1.0.5.14</t>
  </si>
  <si>
    <t>4.1.0.5.15</t>
  </si>
  <si>
    <t>4.1.0.5.16</t>
  </si>
  <si>
    <t>4.1.0.5.18</t>
  </si>
  <si>
    <t>Замена устройств подачи ингибитора</t>
  </si>
  <si>
    <t>4.1.0.5.19</t>
  </si>
  <si>
    <t>4.1.0.5.20</t>
  </si>
  <si>
    <t>4.1.0.5.21</t>
  </si>
  <si>
    <t>4.1.0.5.22</t>
  </si>
  <si>
    <t>4.1.0.5.24</t>
  </si>
  <si>
    <t>Теппловая изоляция ЗРА и трубопроводов обвязки скважин</t>
  </si>
  <si>
    <t>4.1.0.5.25</t>
  </si>
  <si>
    <t>4.1.0.5.26</t>
  </si>
  <si>
    <t>4.1.0.5.27</t>
  </si>
  <si>
    <t>4.1.0.5.28</t>
  </si>
  <si>
    <t>15.2.0.15</t>
  </si>
  <si>
    <t>Этап 1. Система по выявлению, предупреждению и недопущению несанкционированных вмешательств в работу трубопроводного транспорта</t>
  </si>
  <si>
    <t>15.2.0.35.24</t>
  </si>
  <si>
    <t>Этап 2. Техперевооружение трубопроводов на участке 5,3-138 км</t>
  </si>
  <si>
    <t>15.2.0.36.24</t>
  </si>
  <si>
    <t>Этап 3. Техперевооружение трубопроводов на участке 138-214 км</t>
  </si>
  <si>
    <t>15.2.0.37.24</t>
  </si>
  <si>
    <t>Этап 4. Техперевооружение трубопроводов на участке 214-408 км</t>
  </si>
  <si>
    <t>15.2.0.39.24</t>
  </si>
  <si>
    <t>Этап 5  Узлы измерения и устройства очистки трубопроводов</t>
  </si>
  <si>
    <t>15.2.0.7.25</t>
  </si>
  <si>
    <t>Этап 8. Реконструкция кабельной линии связи телемеханики</t>
  </si>
  <si>
    <t>15.2.0.6.25</t>
  </si>
  <si>
    <t>Этап 7. Установка ОУИН Царичанского месторождения на 32 км нефтепровода «Оренбург-Салават» I нитка</t>
  </si>
  <si>
    <t>15.2.0.40.24</t>
  </si>
  <si>
    <t>Этап 6. Участки с ЗМДР</t>
  </si>
  <si>
    <t>15.2.0.13</t>
  </si>
  <si>
    <t>Этап 1 Система по выявлению, предупреждению и недопущению несанкционированных вмешательств в работу трубопроводного транспорта</t>
  </si>
  <si>
    <t>15.2.0.23.24</t>
  </si>
  <si>
    <t>Этап 2 Техперевооружение г.н.г. УКПГ-7 – ГПЗ I нитка</t>
  </si>
  <si>
    <t>15.2.0.24.24</t>
  </si>
  <si>
    <t>Этап 3 Техперевооружение г.н.г. УКПГ-7 – ГПЗ II нитка</t>
  </si>
  <si>
    <t>15.2.0.25.24</t>
  </si>
  <si>
    <t>Этап 4 Техперевооружение г.н.г. УКПГ-8 – ГПЗ I, II нитки</t>
  </si>
  <si>
    <t>15.2.0.26.24</t>
  </si>
  <si>
    <t>Этап 5 Техперевооружение г.н.г. УКПГ-9 – ГПЗ I нитка</t>
  </si>
  <si>
    <t>15.2.0.27.24</t>
  </si>
  <si>
    <t>Этап 9 Техперевооружение к.н.к. УКПГ- 8 – ОГПЗ</t>
  </si>
  <si>
    <t>15.2.0.28.24</t>
  </si>
  <si>
    <t>Этап 8 Техперевооружение нефтепровода УКПГ-10 – ДКС-1</t>
  </si>
  <si>
    <t>15.2.0.29.24</t>
  </si>
  <si>
    <t>Этап 6 «Техперевооружение г.н.г. УКПГ-9 – ГПЗ II нитка (до врезки в УКПГ-8 – ГПЗ I, II нитки)</t>
  </si>
  <si>
    <t>15.2.0.30.24</t>
  </si>
  <si>
    <t>Этап 7 Техперевооружение г.н.г. УКПГ-10 – ГПЗ</t>
  </si>
  <si>
    <t>15.2.0.31.24</t>
  </si>
  <si>
    <t>Этап 10 Техперевооружение к.н.к. УКПГ-10 – ОГПЗ</t>
  </si>
  <si>
    <t>15.2.0.32.24</t>
  </si>
  <si>
    <t>Этап 11 Техперевооружение г.о.г. УКПГ-9 – УКПГ-10</t>
  </si>
  <si>
    <t>15.2.0.33.24</t>
  </si>
  <si>
    <t>Этап 12 Техперевооружение г.о.г. УКП Г-7 – УКПГ-9</t>
  </si>
  <si>
    <t>15.2.0.34.24</t>
  </si>
  <si>
    <t>Этап 13 Техперевооружение г.о.г. ДКС-1–ДКС-2</t>
  </si>
  <si>
    <t>15.2.0.4.25</t>
  </si>
  <si>
    <t>Этап 14  Установка охранного крана перед УКПГ-8 на г.о.г. УКПГ-7–УКПГ-8 (изменение к ТЗ)</t>
  </si>
  <si>
    <t>15.2.0.3.25</t>
  </si>
  <si>
    <t>Этап 15 -Установка ОУИН на начальном участке к.н.к. УКПГ-10 – ОГПЗ в районе УКПГ-10</t>
  </si>
  <si>
    <t>15.2.0.5.25</t>
  </si>
  <si>
    <t>Этап 16  Система организации диспетчерского управления, ЭХЗ</t>
  </si>
  <si>
    <t>15.2.0.4.24</t>
  </si>
  <si>
    <t>Этап 1 г.н.г. УКПГ-6 –ГПЗ I нитка</t>
  </si>
  <si>
    <t>15.2.0.5.24</t>
  </si>
  <si>
    <t>Этап 3 г.н.г. УКПГ-2 –ГПЗ I нитка</t>
  </si>
  <si>
    <t>15.2.0.6.24</t>
  </si>
  <si>
    <t>Этап 5 г.н.г. УКПГ-3 –ГПЗ I нитка</t>
  </si>
  <si>
    <t>15.2.0.7.24</t>
  </si>
  <si>
    <t>Этап 7 г.н.г. УКПГ-12 - УКПГ-2</t>
  </si>
  <si>
    <t>15.2.0.8.24</t>
  </si>
  <si>
    <t>Этап 9 к.н.к. УКПГ-7  - УКПГ-2</t>
  </si>
  <si>
    <t>15.2.0.9.24</t>
  </si>
  <si>
    <t>Этап 12 н.с.н. УКПГ-10 - УКПГ-14</t>
  </si>
  <si>
    <t>15.2.0.10.24</t>
  </si>
  <si>
    <t>Этап 2 г.н.г. УКПГ-6  - ГПЗ II нитка</t>
  </si>
  <si>
    <t>15.2.0.11.24</t>
  </si>
  <si>
    <t>Этап 4 г.н.г. УКПГ-2 - ГПЗ II нитка</t>
  </si>
  <si>
    <t>15.2.0.12.24</t>
  </si>
  <si>
    <t>Этап 6 г.н.г. УКПГ-3 - ГПЗ II нитка</t>
  </si>
  <si>
    <t>15.2.0.13.24</t>
  </si>
  <si>
    <t>Этап 8 к.н.к. УКПГ-2 – ГПЗ</t>
  </si>
  <si>
    <t>15.2.0.14.24</t>
  </si>
  <si>
    <t>Этап 10 к.н.к. УКПГ-6 – ГПЗ</t>
  </si>
  <si>
    <t>15.2.0.1.25</t>
  </si>
  <si>
    <t>Этап 11 г.о.г.УКПГ-2-УКПГ-3, УКПГ-3-УКПГ-12, УКПГ-2-УКПГ-6 (изменение к ТЗ)</t>
  </si>
  <si>
    <t>7.1.1.12</t>
  </si>
  <si>
    <t>Реконструкция обвязки газовой скважины № 204 КГС20</t>
  </si>
  <si>
    <t>7.1.1.13</t>
  </si>
  <si>
    <t>Реконструкция обвязки газовой скважины № 212 КГС21</t>
  </si>
  <si>
    <t>7.1.1.14</t>
  </si>
  <si>
    <t>Реконструкция обвязки газовой скважины № 234 КГС23</t>
  </si>
  <si>
    <t>7.1.1.16</t>
  </si>
  <si>
    <t>Реконструкция обвязки газовой скважины № 161 КГС16</t>
  </si>
  <si>
    <t>7.1.1.17</t>
  </si>
  <si>
    <t>Реконструкция обвязки газовой скважины № 164 КГС16</t>
  </si>
  <si>
    <t>7.1.1.18</t>
  </si>
  <si>
    <t>Реконструкция обвязки газовой скважины № 181 КГС18</t>
  </si>
  <si>
    <t>7.1.1.20</t>
  </si>
  <si>
    <t>Реконструкция обвязки газовой скважины № 192 КГС19</t>
  </si>
  <si>
    <t>9.1.1.21</t>
  </si>
  <si>
    <t>Организация мониторинга внутренней коррозии трубопроводов в составе площадки КГС № 61 ГП-2</t>
  </si>
  <si>
    <t>9.1.1.22</t>
  </si>
  <si>
    <t>Организация мониторинга внутренней коррозии трубопроводов в составе площадки КГС № 35 ГП-2</t>
  </si>
  <si>
    <t>9.1.1.23</t>
  </si>
  <si>
    <t>Организация мониторинга внутренней коррозии трубопроводов в составе площадки КГС № 36 ГП-2</t>
  </si>
  <si>
    <t>9.1.1.24</t>
  </si>
  <si>
    <t>Организация мониторинга внутренней коррозии трубопроводов в составе площадки КГС № 43 ГП-2</t>
  </si>
  <si>
    <t>9.1.1.25</t>
  </si>
  <si>
    <t>Организация мониторинга внутренней коррозии трубопроводов в составе площадки КГС № 45 ГП-2</t>
  </si>
  <si>
    <t>9.1.1.26</t>
  </si>
  <si>
    <t>Организация мониторинга внутренней коррозии трубопроводов в составе площадки КГС № 46 ГП-2</t>
  </si>
  <si>
    <t>9.1.1.27</t>
  </si>
  <si>
    <t>Организация мониторинга внутренней коррозии трубопроводов в составе площадки КГС № 57 ГП-2</t>
  </si>
  <si>
    <t>9.1.1.28</t>
  </si>
  <si>
    <t>Организация мониторинга внутренней коррозии трубопроводов в составе площадки КГС № 63 ГП-2</t>
  </si>
  <si>
    <t>9.1.1.29</t>
  </si>
  <si>
    <t>Организация мониторинга внутренней коррозии трубопроводов в составе площадки КГС № 28 ГП-2</t>
  </si>
  <si>
    <t>9.1.1.30</t>
  </si>
  <si>
    <t>Организация мониторинга внутренней коррозии трубопроводов в составе площадки КГС № 24 ГП-2</t>
  </si>
  <si>
    <t>9.1.1.31</t>
  </si>
  <si>
    <t>Организация мониторинга внутренней коррозии трубопроводов в составе площадки КГС № 25 ГП-2</t>
  </si>
  <si>
    <t>9.1.1.32</t>
  </si>
  <si>
    <t>Организация мониторинга внутренней коррозии трубопроводов в составе площадки КГС № 31 ГП-2</t>
  </si>
  <si>
    <t>9.1.1.33</t>
  </si>
  <si>
    <t>Организация мониторинга внутренней коррозии трубопроводов в составе площадки КГС № 32 ГП-2</t>
  </si>
  <si>
    <t>9.1.1.34</t>
  </si>
  <si>
    <t>Организация мониторинга внутренней коррозии трубопроводов в составе площадки КГС № 34 ГП-2</t>
  </si>
  <si>
    <t>9.1.1.35</t>
  </si>
  <si>
    <t>Организация мониторинга внутренней коррозии трубопроводов в составе площадки КГС № 41 ГП-2</t>
  </si>
  <si>
    <t>9.1.1.36</t>
  </si>
  <si>
    <t>Организация мониторинга внутренней коррозии трубопроводов в составе площадки КГС № 26 ГП-2</t>
  </si>
  <si>
    <t>9.1.1.37</t>
  </si>
  <si>
    <t>Организация мониторинга внутренней коррозии трубопроводов в составе площадки КГС № 42 ГП-2</t>
  </si>
  <si>
    <t>9.1.1.38</t>
  </si>
  <si>
    <t>Организация мониторинга внутренней коррозии трубопроводов в составе площадки КГС № 44 ГП-2</t>
  </si>
  <si>
    <t>9.1.1.39</t>
  </si>
  <si>
    <t>Организация мониторинга внутренней коррозии трубопроводов в составе площадки КГС № 33 ГП-2</t>
  </si>
  <si>
    <t>9.1.1.40</t>
  </si>
  <si>
    <t>Организация мониторинга внутренней коррозии трубопроводов в составе площадки КГС № 22 ГП-2</t>
  </si>
  <si>
    <t>9.1.1.41</t>
  </si>
  <si>
    <t>Организация мониторинга внутренней коррозии трубопроводов в составе площадки КГС № 20 ГП-2</t>
  </si>
  <si>
    <t>9.1.1.42</t>
  </si>
  <si>
    <t>Организация мониторинга внутренней коррозии трубопроводов в составе площадки КГС № 210 ГП-2</t>
  </si>
  <si>
    <t>9.1.1.43</t>
  </si>
  <si>
    <t>Организация мониторинга внутренней коррозии начальных участков ГСК</t>
  </si>
  <si>
    <t>9.1.1.43 (2)</t>
  </si>
  <si>
    <t>Организация мониторинга внутренней коррозии обвязки скважин, эксплуатирующих пласт ТП 1-6</t>
  </si>
  <si>
    <t>9.1.1.44</t>
  </si>
  <si>
    <t>Организация мониторинга внутренней коррозии трубопроводов обвязки скважин с помощью автоматических устройств проведения УЗТ</t>
  </si>
  <si>
    <t>9.1.1.5</t>
  </si>
  <si>
    <t>Организация мониторинга внутренней коррозии трубопроводов в составе площадки КГС № 69 ГП-1</t>
  </si>
  <si>
    <t>9.1.1.6</t>
  </si>
  <si>
    <t>Организация мониторинга внутренней коррозии трубопроводов в составе площадки КГС № 67 ГП-1</t>
  </si>
  <si>
    <t>9.1.1.7</t>
  </si>
  <si>
    <t>Организация мониторинга внутренней коррозии трубопроводов в составе площадки КГС № 62 ГП-1</t>
  </si>
  <si>
    <t>9.1.1.8</t>
  </si>
  <si>
    <t>Организация мониторинга внутренней коррозии трубопроводов в составе площадки КГС № 64 ГП-1</t>
  </si>
  <si>
    <t>9.1.1.9</t>
  </si>
  <si>
    <t>Организация мониторинга внутренней коррозии трубопроводов в составе площадки КГС № 66 ГП-1</t>
  </si>
  <si>
    <t>9.1.1.10</t>
  </si>
  <si>
    <t>Организация мониторинга внутренней коррозии трубопроводов в составе площадки КГС № 610 ГП-1</t>
  </si>
  <si>
    <t>9.1.1.11</t>
  </si>
  <si>
    <t>Организация мониторинга внутренней коррозии трубопроводов в составе площадки КГС № 55 ГП-1</t>
  </si>
  <si>
    <t>9.1.1.12</t>
  </si>
  <si>
    <t>Организация мониторинга внутренней коррозии трубопроводов в составе площадки КГС № 56 ГП-1</t>
  </si>
  <si>
    <t>9.1.1.13</t>
  </si>
  <si>
    <t>Организация мониторинга внутренней коррозии трубопроводов в составе площадки КГС № 65 ГП-1</t>
  </si>
  <si>
    <t>9.1.1.14</t>
  </si>
  <si>
    <t>Организация мониторинга внутренней коррозии трубопроводов в составе площадки КГС № 58 ГП-1</t>
  </si>
  <si>
    <t>9.1.1.15</t>
  </si>
  <si>
    <t>Организация мониторинга внутренней коррозии трубопроводов в составе площадки КГС № 54 ГП-1</t>
  </si>
  <si>
    <t>9.1.1.16</t>
  </si>
  <si>
    <t>Организация мониторинга внутренней коррозии трубопроводов в составе площадки КГС № 51 ГП-1</t>
  </si>
  <si>
    <t>9.1.1.17</t>
  </si>
  <si>
    <t>Организация мониторинга внутренней коррозии трубопроводов в составе площадки КГС № 52 ГП-1</t>
  </si>
  <si>
    <t>9.1.1.18</t>
  </si>
  <si>
    <t>Организация мониторинга внутренней коррозии трубопроводов в составе площадки КГС № 68 ГП-1</t>
  </si>
  <si>
    <t>9.1.1.19</t>
  </si>
  <si>
    <t>Организация мониторинга внутренней коррозии трубопроводов в составе площадки КГС № 53 ГП-1</t>
  </si>
  <si>
    <t>9.1.1.20</t>
  </si>
  <si>
    <t>Организация мониторинга внутренней коррозии трубопроводов в составе площадки КГС № 47 ГП-1</t>
  </si>
  <si>
    <t>5.1.0.2.1</t>
  </si>
  <si>
    <t>Техническое перевооружение устьевого оборудования и обвязки кустов ЦДГГКН №1,2. I Этап</t>
  </si>
  <si>
    <t>5.1.0.2.2</t>
  </si>
  <si>
    <t>Техническое перевооружение устьевого оборудования и обвязки кустов ЦДГГКН №1,2. II Этап</t>
  </si>
  <si>
    <t>5.1.0.3.3</t>
  </si>
  <si>
    <t>Замена газотурбинных приводов КС-1 .</t>
  </si>
  <si>
    <t>5.1.0.4.4.</t>
  </si>
  <si>
    <t>Замена газотурбинных приводов КС-2 .</t>
  </si>
  <si>
    <t>4.1.0.1.4</t>
  </si>
  <si>
    <t>Оснащение оборудованием для КЛК скважин УКПГ-1А, 1-16 (в т.ч. замена устьевого оборудования).*</t>
  </si>
  <si>
    <t>4.1.0.2.5</t>
  </si>
  <si>
    <t>Замена НКТ в поглощающих скважинах УКПГ-1А, 1-16. (в т.ч. замена устьевого оборудования).</t>
  </si>
  <si>
    <t>4.1.0.2.6</t>
  </si>
  <si>
    <t>1.2.0.1.23</t>
  </si>
  <si>
    <t>этап 1.1 Инженерная защита проявления опасного геокриологического процесса на объекте Овраг № 2 и водосбросное сооружение в зоне «В» УКПГ-1В Ямбургского НГКМ</t>
  </si>
  <si>
    <t>1.2.0.2.13</t>
  </si>
  <si>
    <t>этап 1.2 Инженерная защита опасного прояления геокриологического процесса на объекте Овраг № 2 около автодороги к КГС № 122В УКПГ-1В Ямбургского НГКМ</t>
  </si>
  <si>
    <t>1.2.0.3.23</t>
  </si>
  <si>
    <t>этап 1.3 Инженерная защита  опасного инженерно-геокриологического процесса на объекте Эрозионные врезы № 1- № 2 около автодороги к КГС № 122В УКПГ-1В Ямбургского НГКМ.</t>
  </si>
  <si>
    <t>1.2.0.4.23</t>
  </si>
  <si>
    <t>этап 1.4 Инженерная защита опасного инженерно-геокриологического процесса на объекте Овраг к КГС № 118В УКПГ-1В Ямбургского НГКМ</t>
  </si>
  <si>
    <t>1.2.0.5.23</t>
  </si>
  <si>
    <t>этап 1.5 Инженерная защита опасного инженерно-геокриологического процесса отступание берега реки Нгарка-Пойловояха на объекте газопровода-шлейфа № 513 УКПГ-5 Ямбургского НГКМ</t>
  </si>
  <si>
    <t>1.2.0.6.23</t>
  </si>
  <si>
    <t>этап 1.6 Инженерная защита опасного инженерно-геокриологического процесса балочный переход газопроводов-шлейфов № 220В, 224В УППГ-2В Ямбургского НГКМ</t>
  </si>
  <si>
    <t>1.2.0.7.23</t>
  </si>
  <si>
    <t>этап 1.7 Инженерная защита опасного инженерно-геокриологического процесса участок размыва газопровода-шлейфа № 939 УКПГ-9 Харвутинской площади Ямбургского НГКМ</t>
  </si>
  <si>
    <t>1.2.0.8.23</t>
  </si>
  <si>
    <t>этап 1.8 Инженерная защита опасного геологического процесса (обводнение и термоэрозионный размыв) на участке газопровода-шлейфа № 951 УКПГ-9 Харвутинской площади Ямбургского НГКМ</t>
  </si>
  <si>
    <t>1.2.0.9.23</t>
  </si>
  <si>
    <t>этап 1.9 Инженерная защита опасных инженерно-геокриологических процессов участок размыва газопроводов-шлейфов № 907 и № 918 УППГ-10 Харвутинской площади Ямбургского НГКМ</t>
  </si>
  <si>
    <t>1.2.0.11.23</t>
  </si>
  <si>
    <t>этап 1.11 Инженерная защита опасного инженерно-геокриологического процесса на участке размыва и всплытия газопровода-шлейфа № 931 УКПГ-9 Харвутинской площади Ямбургского НГКМ</t>
  </si>
  <si>
    <t>1.2.0.12.13</t>
  </si>
  <si>
    <t>этап 1.12 Инженерная защита опасного инженерно-геокриологического процесса на участке всплытия газопровода-шлейфа № 935 УКПГ-9 Харвутинской площади Ямбургского НГКМ</t>
  </si>
  <si>
    <t>1.2.0.13.23</t>
  </si>
  <si>
    <t>этап 1.14 Инженерная защита опасного инженерно-геокриологического процесса на участке всплытия газопровода-шлейфа № 938 УКПГ-9 Харвутинской площади Ямбургского НГКМ</t>
  </si>
  <si>
    <t>1.2.0.14.23</t>
  </si>
  <si>
    <t>этап 1.15 Инженерная защита опасного инженерно-геокриологического процесса на участке размыва и всплытия газопровода-шлейфа № 943 УКПГ-9 Харвутинской площади Ямбургского НГКМ</t>
  </si>
  <si>
    <t>1.2.0.15.23</t>
  </si>
  <si>
    <t>этап 1.16 Инженерная защита опасного инженерно-геокриологического процесса на участке размыва и всплытия газопровода-шлейфа № 953 УКПГ-9 Харвутинской площади Ямбургского НГКМ</t>
  </si>
  <si>
    <t>1.2.0.16.23</t>
  </si>
  <si>
    <t>этап 1.17 Инженерная защита опасного инженерно-геокриологического процесса на объекте балочный переход газопровода-шлейфа № 246В УППГ-2В Ямбургского НГКМ.</t>
  </si>
  <si>
    <t>1.2.0.18.23</t>
  </si>
  <si>
    <t>этап 1.19 Инженерная защита опасного инженерно-геокриологического процесса отступание берега реки Нгарка-Харвута на переходе МПК ДУ 700 II нитка УППГ-4А-УКПГ-4 Анерьяхинской площади Ямбургского НГКМ</t>
  </si>
  <si>
    <t>1.2.0.20.23</t>
  </si>
  <si>
    <t>этап 1.21 Инженерная защита опасного инженерно-геологического процесса отступание берега реки Нгарка-Харвута на переходе подводного исполнения МПК ДУ 700 I нитка УППГ-4А-УКПГ-4 Анерьяхинской площади Ямбургского НГКМ</t>
  </si>
  <si>
    <t>1.2.0.21.23</t>
  </si>
  <si>
    <t>этап 1.22 Инженерная защита опасного инженерно-геокриологического процесса на участке размыва и всплытия газопровода-шлейфа № 965 УКПГ-9 Харвутинской площади Ямбургского НГКМ</t>
  </si>
  <si>
    <t>1.2.0.22.13</t>
  </si>
  <si>
    <t>этап 1.23 Инженерная защита опасного инженерно-геокриологического процесса Овраг в районе балочного перехода газопроводов-шлейфов № 132В; 133В на УКПГ-1В Ямбургского НГКМ</t>
  </si>
  <si>
    <t>1.2.0.23.26</t>
  </si>
  <si>
    <t>этап 1.10.1 Инженерная защита опасного инженерно-геокриологического процесса отступание левого берега реки Пойловояха на участке балочного перехода газопровода-шлейфа №725 УКПГ-7 Ямбургского НГКМ</t>
  </si>
  <si>
    <t>1.2.0.24.26</t>
  </si>
  <si>
    <t>этап 1.10.2 Приведение высоты балочного перехода над горизонтом сточных вод на участке балочного перехода газопровода-шлейфа №725 УКПГ-7 Ямбургского НГКМ</t>
  </si>
  <si>
    <t>1.2.0.25.26</t>
  </si>
  <si>
    <t>этап 1.20.1 Инженерная защита опасного инженерно-геокриологического процесса на объекте балочный переход газопроводов-шлейфов № 443 УППГ-4А Анерьяхинской площади Ямбургского НГКМ.</t>
  </si>
  <si>
    <t>1.2.0.26.26</t>
  </si>
  <si>
    <t>этап 1.20.2  Приведение высоты балочного перехода над горизонтом сточных вод балочный переход газопроводов-шлейфов № 443 УППГ-4А Анерьяхинской площади Ямбургского НГКМ.</t>
  </si>
  <si>
    <t>1.1.7.1.25</t>
  </si>
  <si>
    <t>Техперевооружение газовых скважин 7041</t>
  </si>
  <si>
    <t>1.1.7.3.25</t>
  </si>
  <si>
    <t>Техперевооружение газовых скважин 7064, 7092, 7144</t>
  </si>
  <si>
    <t>5.4.1АВ.2</t>
  </si>
  <si>
    <t>Замена СПЧ на ДКС (1 ст.) УКПГ-1АВ</t>
  </si>
  <si>
    <t>3.1.1C.1</t>
  </si>
  <si>
    <t>Оснащение КЛК скважины 1182</t>
  </si>
  <si>
    <t>4.1.0.7.1</t>
  </si>
  <si>
    <t>Строительство новых поглощающих скважин на УКПГ- 5; 8; 12; 15; 16.</t>
  </si>
  <si>
    <t>4.1.0.7.2</t>
  </si>
  <si>
    <t>Строительство новых поглощающих скважин на УКПГ-1АС; 2; 10; 11; 13.</t>
  </si>
  <si>
    <t>4.1.0.7.3</t>
  </si>
  <si>
    <t>Строительство новых поглощающих скважин на УКПГ-1; 3; 4; 6; 9.</t>
  </si>
  <si>
    <t>3.8.0.1(2)</t>
  </si>
  <si>
    <t>Здание моечно-окрасочного корпуса с пунктом ремонта и обслуживания топливной газовой аппаратуры</t>
  </si>
  <si>
    <t>3.8.0.2(2)</t>
  </si>
  <si>
    <t>Здание теплой стоянки автомобилей № 1</t>
  </si>
  <si>
    <t>3.8.0.3(2)</t>
  </si>
  <si>
    <t>Здание теплой стоянки автомобилей № 2</t>
  </si>
  <si>
    <t>3.8.0.4(2)</t>
  </si>
  <si>
    <t>Гараж-стоянка на 24 легковых автомобиля (поз 8.4) АТП НГДУ ЗГНКМ</t>
  </si>
  <si>
    <t>3.8.0.5(2)</t>
  </si>
  <si>
    <t>Здание профилактория  базы АТП НГДУ Заполярного ГНКМ</t>
  </si>
  <si>
    <t>3.8.0.6</t>
  </si>
  <si>
    <t>Производственный корпус (поз.8.10) АТП НГДУ ЗГНКМ</t>
  </si>
  <si>
    <t>3.8.0.7</t>
  </si>
  <si>
    <t>Здание контрольно-пропускного пункта  базы АТП НГДУ Заполярного ГНКМ</t>
  </si>
  <si>
    <t>3.8.0.8</t>
  </si>
  <si>
    <t>Проходная (поз. 8.1.1) АТП НГДУ ЗГНКМ</t>
  </si>
  <si>
    <t>3.8.0.9</t>
  </si>
  <si>
    <t>Пункт газорегуляторный блочный (п.8.48) базы АТП НГДУ Заполярного ГНКМ.</t>
  </si>
  <si>
    <t>1.8.0.1(2)</t>
  </si>
  <si>
    <t>Здание производственного корпуса с теплой стоянкой базы УТТиСТ промбазы УКПГ-4 Ямбургского ГКМ</t>
  </si>
  <si>
    <t>1.8.0.2</t>
  </si>
  <si>
    <t>Здание производственного корпуса с теплой стоянкой базы ДРЭУ на промбазе УКПГ-9 Харвутинской площади Ямбургского ГКМ</t>
  </si>
  <si>
    <t>1.8.0.3</t>
  </si>
  <si>
    <t>Здание производственного корпуса с теплой стоянкой базы УТТиСТ на промбазе УКПГ-9 Харвутинской площади Ямбургского ГКМ</t>
  </si>
  <si>
    <t>20.2.22.1</t>
  </si>
  <si>
    <t>Защита от коррозии промысловых и технологических трубопроводов, в том числе трубопроводов технологических обвязок газоконденсатных скважин, трубопроводов системы сбора газа, промысловых объектов и трубопроводов транспорта газа и газового конденсата, площадка для приема и хранения ингибитора коррозии на УКПГ-22 .</t>
  </si>
  <si>
    <t>20.2.22.2</t>
  </si>
  <si>
    <t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 Этап</t>
  </si>
  <si>
    <t>20.2.22.3</t>
  </si>
  <si>
    <t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II Этап</t>
  </si>
  <si>
    <t>15.1.0.11</t>
  </si>
  <si>
    <t>Оснащение скважин системой телемеханики с функциями аварийной защиты и раннего оповещения</t>
  </si>
  <si>
    <t>15.1.0.12</t>
  </si>
  <si>
    <t>15.1.0.4.25</t>
  </si>
  <si>
    <t>15.1.0.2.26</t>
  </si>
  <si>
    <t>Техперевооружение обводненного фонда скважин, 150 скв. надземная часть</t>
  </si>
  <si>
    <t>15.1.0.3.26</t>
  </si>
  <si>
    <t>15.1.0.4.26</t>
  </si>
  <si>
    <t>15.1.0.5.26</t>
  </si>
  <si>
    <t>Техперевооружение обводненного фонда скважин, 150 скв. подземная часть</t>
  </si>
  <si>
    <t>15.1.0.6.26</t>
  </si>
  <si>
    <t>15.1.0.7.26</t>
  </si>
  <si>
    <t>15.1.0.8.26</t>
  </si>
  <si>
    <t>Реконструкция надземной части обводненных газовых скважин, оснащаемых УЭЦН</t>
  </si>
  <si>
    <t>15.1.0.9.26</t>
  </si>
  <si>
    <t>15.1.0.10.26</t>
  </si>
  <si>
    <t>Техперевооружение подземной части обводненных газовых скважин, оснащаемых УЭЦН</t>
  </si>
  <si>
    <t>15.1.0.11.26</t>
  </si>
  <si>
    <t>15.1.0.12.26</t>
  </si>
  <si>
    <t>Реконструкция скв.178, подземная часть</t>
  </si>
  <si>
    <t>15.1.0.13.26</t>
  </si>
  <si>
    <t>Реконструкция скв.178, надземная часть</t>
  </si>
  <si>
    <t>4.8.0.1.1</t>
  </si>
  <si>
    <t>Реконструкция КЗПОУ. I Этап</t>
  </si>
  <si>
    <t>4.8.0.1.2</t>
  </si>
  <si>
    <t>Реконструкция КЗПОУ. II Этап</t>
  </si>
  <si>
    <t>4.8.0.1.3</t>
  </si>
  <si>
    <t>Реконструкция КЗПОУ. III Этап</t>
  </si>
  <si>
    <t>4.8.0.1.4</t>
  </si>
  <si>
    <t>Монтаж технологических перемычек – 2шт (ориентировочная общая протяжённость - 4400м)</t>
  </si>
  <si>
    <t>4.8.0.1.5</t>
  </si>
  <si>
    <t>Реконструкция установок катодной защиты (УКЗ), сетей электроснабжения линейных объектов, включая УКЗ. I Этап</t>
  </si>
  <si>
    <t>4.8.0.1.6</t>
  </si>
  <si>
    <t>Реконструкция установок катодной защиты (УКЗ), сетей электроснабжения линейных объектов, включая УКЗ. II Этап</t>
  </si>
  <si>
    <t>4.8.0.1.7</t>
  </si>
  <si>
    <t>Реконструкция установок катодной защиты (УКЗ), сетей электроснабжения линейных объектов, включая УКЗ. III Этап</t>
  </si>
  <si>
    <t>4.8.0.1.8</t>
  </si>
  <si>
    <t>Монтаж технологических перемычек – 1 шт (ориентировочная общая протяжённость - 300 м)</t>
  </si>
  <si>
    <t>4.8.0.1.9</t>
  </si>
  <si>
    <t>Реконструкция КП системы телемеханики, дооборудование СТМ новыми КП</t>
  </si>
  <si>
    <t>4.8.0.1.10</t>
  </si>
  <si>
    <t>Реконструкция подводного перехода - 5 шт (ориентировочная общая протяжённость - 13000 м)</t>
  </si>
  <si>
    <t>2.1.1В.5</t>
  </si>
  <si>
    <t>Замена НКТ на скважине №10603</t>
  </si>
  <si>
    <t>1.6.0.1</t>
  </si>
  <si>
    <t>1 этап реконструкции (Энергомодуль № V)</t>
  </si>
  <si>
    <t>1.6.0.2</t>
  </si>
  <si>
    <t>2 этап реконструкции (Энергомодуль № I)</t>
  </si>
  <si>
    <t>1.6.0.3</t>
  </si>
  <si>
    <t>3 этап реконструкции (Энергомодуль № II)</t>
  </si>
  <si>
    <t>15.2.0.1</t>
  </si>
  <si>
    <t>Реконструкция объектов ГПУ</t>
  </si>
  <si>
    <t>15.3.0.4</t>
  </si>
  <si>
    <t>3.2.0.1</t>
  </si>
  <si>
    <t>Оснащение блоком камеры запуска очистного устройства Ду 1400, Ру 7,5 МПа внутрипромыслового газопровода ЗНГКМ первая нитка, УКПГ-1С – УКПГ-2С</t>
  </si>
  <si>
    <t>3.2.0.2</t>
  </si>
  <si>
    <t>Оснащение блоком камеры запуска очистного устройства Ду 1400, Ру 7,5 МПа внутрипромыслового газопровода второй нитки УКПГ-1С – УКПГ-2С
ЗНГКМ</t>
  </si>
  <si>
    <t>3.2.0.3</t>
  </si>
  <si>
    <t>Оснащение блоком камеры запуска очистного устройства Ду 1400, Ру 7,5 МПа внутрипромыслового газопровода третьей нитки УКПГ-1С – ЦДКС
ЗНГКМ</t>
  </si>
  <si>
    <t>3.2.0.4</t>
  </si>
  <si>
    <t>Оснащение блоком камеры приема и блоком камеры  запуска очистного устройства Ду 200, Ру 7,5 МПа газопровода ЦДКС – ГРС I нитка, блоком камеры приема и блоком камеры запуска очистного устройства Ду 200, Ру 7,5 МПа газопровода ЦДКС – ГРС II нитка</t>
  </si>
  <si>
    <t>3.2.0.5</t>
  </si>
  <si>
    <t>Оснащение блоком камеры приема и блоком камеры запуска очистного устройства Ду 700, Ру 7,5 МПа газопровода подключения УКПГ-1В ЗНГКМ</t>
  </si>
  <si>
    <t>3.2.0.6</t>
  </si>
  <si>
    <t>Оснащение блоком камеры приема и блоком камеры запуска очистного устройства Ду 700, Ру 7,5 МПа газопровода подключения УКПГ-2В ЗНГКМ</t>
  </si>
  <si>
    <t>3.2.0.7</t>
  </si>
  <si>
    <t>Оснащение блоком камеры приема и блоком камеры запуска очистного устройства Ду 1000, Ру 7,5 МПа газопровода-подключение УКПГ-3С (первая и вторая нитка) УКПГ-3С ЗНГКМ</t>
  </si>
  <si>
    <t>8.4.1.4</t>
  </si>
  <si>
    <t>Реконструкция ДКС Ямсовейского НГКМ (2-я очередь) (разделение ДКС 2 очереди на 2 ступени)</t>
  </si>
  <si>
    <t>8.6.1.1</t>
  </si>
  <si>
    <t>Реконструкция электростанции собственных нужд (ПАЭС-2500) на Промзоне Ямсовейского НГКМ</t>
  </si>
  <si>
    <t>11.4.1.1</t>
  </si>
  <si>
    <t>Замена СПЧ</t>
  </si>
  <si>
    <t>11.5.1.1</t>
  </si>
  <si>
    <t>Техническое перевооружение АСПС КЗ и ПТ, САУ</t>
  </si>
  <si>
    <t>П.8.1.1</t>
  </si>
  <si>
    <t>Реконструкция трубопровода склада ГСМ, реконструкция автоматизированной системы налива АСН-5М «Дельта», реконструкция резервуаров для хранения нефтепродуктов  РВС-400, РГС-25.</t>
  </si>
  <si>
    <t>3.8.0.1</t>
  </si>
  <si>
    <t>Реконструкция электрохимзащиты (ЭХЗ) ЗПА-1, ЗПА-2 УКПГ-1С Заполярного НГКМ</t>
  </si>
  <si>
    <t>3.8.0.2</t>
  </si>
  <si>
    <t>Реконструкция электрохимзащиты (ЭХЗ) ЗПА-1, ЗПА-2 УКПГ-2С Заполярного НГКМ</t>
  </si>
  <si>
    <t>3.8.0.3</t>
  </si>
  <si>
    <t>Реконструкция электрохимзащиты (ЭХЗ) внутрипромыслового
метанолопровода, участок нефтебаза - УКПГ-1С Заполярного НГКМ</t>
  </si>
  <si>
    <t>3.8.0.4</t>
  </si>
  <si>
    <t>Реконструкция системы электрохимзащиты (ЭХЗ) газопровода ЦДКС-ГРС
II нитка  Заполярного НГКМ</t>
  </si>
  <si>
    <t>3.8.0.5</t>
  </si>
  <si>
    <t>Реконструкция системы электрохимзащиты (ЭХЗ) на кустах газовых
скважин УКПГ-1С №105; УКПГ-2С №202, №204, №206, №216 Заполярного НГКМ</t>
  </si>
  <si>
    <t>9.4.1.3</t>
  </si>
  <si>
    <t>Техническое перевооружение газоперекачивающих агрегатов ст.№ 15 на ДКС (1 очередь) ГП-1 Бованенковского НГКМ (замена ГТУ-25НУ80.10 с двигателем ДУ80Л1 на ГТУ-25П с двигателем ПС-90ГП-25).(агр.6)</t>
  </si>
  <si>
    <t>3.4.1.1</t>
  </si>
  <si>
    <t>Замена сменной проточной части газоперекачивающих агрегатов ДКС 1 очереди УКПГ-1С с увеличением степени сжатия.</t>
  </si>
  <si>
    <t>3.3.1.2</t>
  </si>
  <si>
    <t>Реконструкция установок пожаротушения УКПГ-1С</t>
  </si>
  <si>
    <t>3.3.2.1(2)</t>
  </si>
  <si>
    <t>Реконструкция установок пожаротушения УКПГ-2С</t>
  </si>
  <si>
    <t>3.3.3.2</t>
  </si>
  <si>
    <t>Реконструкция установок пожаротушения УКПГ-3С</t>
  </si>
  <si>
    <t>3.3.0.1</t>
  </si>
  <si>
    <t>Реконструкция установок пожаротушения АГРС БК 2/70</t>
  </si>
  <si>
    <t>3.8.0.1(3)</t>
  </si>
  <si>
    <t>Реконструкция автоматизированной системы управления НБиБМ</t>
  </si>
  <si>
    <t>3.8.0.2(3)</t>
  </si>
  <si>
    <t>Реконструкция системы водоотведения и очистки производственных и ливневых сточных вод</t>
  </si>
  <si>
    <t>3.8.0.3(3)</t>
  </si>
  <si>
    <t>Техническое перевооружение контейнерных автоматических заправочных станций НБиБМ</t>
  </si>
  <si>
    <t>3.8.0.6(2)</t>
  </si>
  <si>
    <t>Благоустройство территории НБиБМ</t>
  </si>
  <si>
    <t>2.3.1В.14</t>
  </si>
  <si>
    <t>2.3.1В.15(2)</t>
  </si>
  <si>
    <t>Разделение потоков промышленных и хозяйственно-бытовых сточных вод</t>
  </si>
  <si>
    <t>1.6.9.1</t>
  </si>
  <si>
    <t>I этап (строительство 3-го энергомодуля)</t>
  </si>
  <si>
    <t>1.6.9.2</t>
  </si>
  <si>
    <t>II этап (реконструкция 1-го энергомодуля)</t>
  </si>
  <si>
    <t>1.6.9.3</t>
  </si>
  <si>
    <t>III этап (реконструкция 2-го энергомодуля)</t>
  </si>
  <si>
    <t>3.6.0.1</t>
  </si>
  <si>
    <t>1- Реконструкция первой очереди:</t>
  </si>
  <si>
    <t>3.6.0.2</t>
  </si>
  <si>
    <t>2 - Реконструкция второй очереди:</t>
  </si>
  <si>
    <t>3.6.0.3.25</t>
  </si>
  <si>
    <t>3 - Технологическое присоединение к ВЛ 110 кВ от ПС 220/110/10 кВ "Ермак"</t>
  </si>
  <si>
    <t>19.3.1В.1</t>
  </si>
  <si>
    <t>Техническое перевооружение технологического трубопровода ВМР УКПГ-1В</t>
  </si>
  <si>
    <t>19.3.1В.4</t>
  </si>
  <si>
    <t>Техническое перевооружение СПЧ ТДА на УКПГ-1В</t>
  </si>
  <si>
    <t>19.3.1В.7</t>
  </si>
  <si>
    <t>Техническое перевооружение теплообменников 20Т-1 УКПГ-1В Заполярного НГКМ</t>
  </si>
  <si>
    <t>19.3.2В.1</t>
  </si>
  <si>
    <t>Техническое перевооружение технологического трубопровода ВМР УКПГ-2В</t>
  </si>
  <si>
    <t>19.3.2В.3</t>
  </si>
  <si>
    <t>Техническое перевооружение СПЧ ТДА на УКПГ-2В</t>
  </si>
  <si>
    <t>19.3.2В.6.24</t>
  </si>
  <si>
    <t>Техническое перевооружение теплообменников 20Т-1 УКПГ-2В Заполярного НГКМ</t>
  </si>
  <si>
    <t>6.4.0.1</t>
  </si>
  <si>
    <t>6.1.0.3</t>
  </si>
  <si>
    <t>Установка насосов дозаторов жидких ПАВ  - 12 ед.</t>
  </si>
  <si>
    <t>6.1.0.4</t>
  </si>
  <si>
    <t>6.1.0.5</t>
  </si>
  <si>
    <t>Установка насосов дозаторов жидких ПАВ  - 13 ед.</t>
  </si>
  <si>
    <t>6.2.0.1</t>
  </si>
  <si>
    <t>Газопровод подключения МПК-3 к газосборным коллекторам ГП-8 Медвежьего НГКМ</t>
  </si>
  <si>
    <t>6.2.0.1.25</t>
  </si>
  <si>
    <t>Газопровод подключения МПК-1,2 к газосборному коллектору от СП-7 до ГП-6 Медвежьего НГКМ</t>
  </si>
  <si>
    <t>6.2.0.2.25</t>
  </si>
  <si>
    <t>Установка клапана-регулятора на МПК-2 Медвежьего НГКМ</t>
  </si>
  <si>
    <t>6.2.0.3.25</t>
  </si>
  <si>
    <t>Газопроводы подключения МПК-1,2 к  газосборным сетям ГП-3, 4, 6 Медвежьего НГКМ</t>
  </si>
  <si>
    <t>6.2.0.4.25</t>
  </si>
  <si>
    <t>Отключение МПК-3 от МПК-1, 2 Медвежьего НГКМ</t>
  </si>
  <si>
    <t>9.6.1.1</t>
  </si>
  <si>
    <t>Модернизация системы водоподготовки котельной "Сермет" на промбазе ГП-1 Бованековского НГКМ</t>
  </si>
  <si>
    <t>8.2.0.1</t>
  </si>
  <si>
    <t>Крановый узел №1 газосборной сети Ямсовейского НГКМ</t>
  </si>
  <si>
    <t>8.2.0.1(2)</t>
  </si>
  <si>
    <t>Крановый узел №2 газосборной сети Ямсовейского НГКМ</t>
  </si>
  <si>
    <t>8.2.0.1(3)</t>
  </si>
  <si>
    <t>Крановый узел №3 газосборной сети Ямсовейского НГКМ</t>
  </si>
  <si>
    <t>8.2.0.1(4)</t>
  </si>
  <si>
    <t>Крановый узел №8 газосборной сети Ямсовейского НГКМ</t>
  </si>
  <si>
    <t>8.2.0.2.24</t>
  </si>
  <si>
    <t>Крановый узел №4 газосборной сети Ямсовейского НГКМ</t>
  </si>
  <si>
    <t>8.2.0.2.24(2)</t>
  </si>
  <si>
    <t>Крановый узел №5 газосборной сети Ямсовейского НГКМ</t>
  </si>
  <si>
    <t>8.2.0.2.24(3)</t>
  </si>
  <si>
    <t>Крановый узел №6 газосборной сети Ямсовейского НГКМ</t>
  </si>
  <si>
    <t>8.2.0.2.24(4)</t>
  </si>
  <si>
    <t>Крановый узел №7 газосборной сети Ямсовейского НГКМ</t>
  </si>
  <si>
    <t>15.1.0.13</t>
  </si>
  <si>
    <t>Техперевооружение обвязки устьев скважин</t>
  </si>
  <si>
    <t>15.1.0.5.23</t>
  </si>
  <si>
    <t>2.3.1В.15(3)</t>
  </si>
  <si>
    <t>2.3.1В.16.25</t>
  </si>
  <si>
    <t>Защитное сооружение гражданской обороны</t>
  </si>
  <si>
    <t>5.1.0.8.2</t>
  </si>
  <si>
    <t>Замена НКТ в эксплуатационных скважинах УКПГ-1А, 1-16. УКПГ-1АВ, 2В, 5В, 8В, 11В. (в т.ч. при КРС).</t>
  </si>
  <si>
    <t>5.1.0.8.3</t>
  </si>
  <si>
    <t>5.1.0.8.4</t>
  </si>
  <si>
    <t>5.1.0.8.5</t>
  </si>
  <si>
    <t>5.1.0.8.6</t>
  </si>
  <si>
    <t>4.1.0.8.7</t>
  </si>
  <si>
    <t>4.1.0.8.8</t>
  </si>
  <si>
    <t>4.1.0.8.9</t>
  </si>
  <si>
    <t>5.1.0.8.8</t>
  </si>
  <si>
    <t>Замена фонтанных арматур. УКПГ-1А, 1-16. УКПГ-1АВ, 2В, 5В, 8В, 11В. (в т.ч. при КРС).</t>
  </si>
  <si>
    <t>5.1.0.8.9</t>
  </si>
  <si>
    <t>5.1.0.8.10</t>
  </si>
  <si>
    <t>5.1.0.8.11</t>
  </si>
  <si>
    <t>5.1.0.8.12</t>
  </si>
  <si>
    <t>4.1.0.8.13</t>
  </si>
  <si>
    <t>4.1.0.8.14</t>
  </si>
  <si>
    <t>4.1.0.8.15</t>
  </si>
  <si>
    <t>Перевод в наблюдательный фонд газовых и газоконденсатных скважин</t>
  </si>
  <si>
    <t>4.1.0.8.16</t>
  </si>
  <si>
    <t>5.4.1АВ.3</t>
  </si>
  <si>
    <t>Замена СПЧ на ДКС (2 ст.) УКПГ-1АВ</t>
  </si>
  <si>
    <t>4.4.16.2</t>
  </si>
  <si>
    <t>Замена СПЧ на ДКС (1 ст.) УКПГ-16</t>
  </si>
  <si>
    <t>5.4.2В.2</t>
  </si>
  <si>
    <t>Замена СПЧ на ДКС (1 ст.) УКПГ-2В</t>
  </si>
  <si>
    <t>5.4.8В.2</t>
  </si>
  <si>
    <t>Замена СПЧ на ДКС (1 ст.) УКПГ-8В</t>
  </si>
  <si>
    <t>4.4.2.2</t>
  </si>
  <si>
    <t>Замена СПЧ на ДКС (2 ст.) УКПГ-2</t>
  </si>
  <si>
    <t>4.4.5.2</t>
  </si>
  <si>
    <t>Замена СПЧ на ДКС (2 ст.) УКПГ-5</t>
  </si>
  <si>
    <t>4.4.8.2</t>
  </si>
  <si>
    <t>Замена СПЧ на ДКС (2 ст.) УКПГ-8</t>
  </si>
  <si>
    <t>21.3.1.2</t>
  </si>
  <si>
    <t>Рекострукция КОС</t>
  </si>
  <si>
    <t>21.3.1.3</t>
  </si>
  <si>
    <t>Реконструкция системы коррозионного мониторинга</t>
  </si>
  <si>
    <t>21.3.1.4</t>
  </si>
  <si>
    <t>Реконструкция межцеховых коммуникаций</t>
  </si>
  <si>
    <t>21.3.1.5</t>
  </si>
  <si>
    <t>Реконструкция системы управления технологическими процессами. Установка радарных фазовых уровнемеров</t>
  </si>
  <si>
    <t>21.3.1.6</t>
  </si>
  <si>
    <t>Реконструкция емкостного и насосного парка хранения (метанола и нигибитора коррозии) для приготовления РИК</t>
  </si>
  <si>
    <t>21.3.1.7</t>
  </si>
  <si>
    <t>Реконструкция склада хранения аварийного запаса</t>
  </si>
  <si>
    <t>21.3.1.1.26</t>
  </si>
  <si>
    <t>3.5.0.1</t>
  </si>
  <si>
    <t>Станция мобильная кислородоазотодобывающая контейнерная МКДС-100К ЗНГКМ</t>
  </si>
  <si>
    <t>3.5.0.2</t>
  </si>
  <si>
    <t>Здание кислородонаполнительной кислородоазотодобывающей станции Заполярного НГКМ</t>
  </si>
  <si>
    <t>3.5.0.3</t>
  </si>
  <si>
    <t>Здание для размещения криоаппаратов кислородоазотодобывающей станции Заполярного НГКМ</t>
  </si>
  <si>
    <t>1.6.1В.1</t>
  </si>
  <si>
    <t>Реконструкция электростанции ПАЭС-2500 УКПГ-1В  Ямбургского ГКМ</t>
  </si>
  <si>
    <t>1.6.1В.3</t>
  </si>
  <si>
    <t>Реконструкция передвижной электростанции ПАЭС-2500 УКПГ-1В Ямбургского ГКМ</t>
  </si>
  <si>
    <t>20.3.22.1</t>
  </si>
  <si>
    <t>Реконструкция технологического оборудования для повышения производительности и эффективности работы оборудования технологических ниток. I Этап</t>
  </si>
  <si>
    <t>20.3.22.2</t>
  </si>
  <si>
    <t>Реконструкция технологического оборудования для повышения производительности и эффективности работы оборудования технологических ниток. II Этап</t>
  </si>
  <si>
    <t>9.1.1.1</t>
  </si>
  <si>
    <t>Техническое перевооружение скважины № 5600 ГП-1 (замена арматуры фонтанной, головки колонной, спуск лифтовой колонны)</t>
  </si>
  <si>
    <t>9.1.1.2</t>
  </si>
  <si>
    <t>Техническое перевооружение скважины № 6100 ГП-2 (замена арматуры фонтанной, головки колонной, спуск лифтовой колонны)</t>
  </si>
  <si>
    <t>9.1.1.3</t>
  </si>
  <si>
    <t>Техническое перевооружение скважины № 6400 ГП-1 (замена арматуры фонтанной, головки колонной, спуск лифтовой колонны)</t>
  </si>
  <si>
    <t>9.1.1.4</t>
  </si>
  <si>
    <t>Техническое перевооружение скважины № 6800 ГП-1 (замена арматуры фонтанной, головки колонной, спуск лифтовой колонны)</t>
  </si>
  <si>
    <t>21.3.1.8</t>
  </si>
  <si>
    <t>Реконструкция установки регенерации МЭГа</t>
  </si>
  <si>
    <t>21.3.1.9</t>
  </si>
  <si>
    <t>Реконструкция системы пожаротушения  площадки управления подводно-добычного комплекса</t>
  </si>
  <si>
    <t>21.3.1.10</t>
  </si>
  <si>
    <t>21.3.1.11</t>
  </si>
  <si>
    <t>Реконструкция системы управления технологическими процессами. Установка анализаторов ДНП</t>
  </si>
  <si>
    <t>23.1.1.2.23</t>
  </si>
  <si>
    <t>Замена НКТ</t>
  </si>
  <si>
    <t>11.1.1.11.23</t>
  </si>
  <si>
    <t>11.1.1.12.23</t>
  </si>
  <si>
    <t>9.8.0.2.24</t>
  </si>
  <si>
    <t>Комплекс термического обезвреживания отходов</t>
  </si>
  <si>
    <t>24.8.0.1.23</t>
  </si>
  <si>
    <t>Система отвода биогаза.  Система сбора и отвода фильтрата. Система весового контроля. Радиометрический контроляь в общем комплексе автоматизированной системы весового контроля.   Автоматизированная система учета и передачи в государственную информационную систему учета. Система фотосъемки и (или) видеосъемки.</t>
  </si>
  <si>
    <t>26.2.3.1.24</t>
  </si>
  <si>
    <t>Реконструкция объекта «Газопровод-шлейф от куста газовых скважин № 106 до опытной установки подготовки газа УПГ-102 Ковыктинского газоконденсатного месторождения».</t>
  </si>
  <si>
    <t>26.2.3.2.24</t>
  </si>
  <si>
    <t>Реконструкция объекта «Газопровод-шлейф от куста газовых
скважин 201 Ковыктинского газоконденсатного месторождения».</t>
  </si>
  <si>
    <t>26.2.3.3.24</t>
  </si>
  <si>
    <t>Реконструкцию объекта «Метанолопровод от куста газовых скважин № 106 до опытной установки подготовки газа УПГ-102 Ковыктинского газоконденсатного месторождения»</t>
  </si>
  <si>
    <t>26.2.3.4.24</t>
  </si>
  <si>
    <t>Реконструкция объекта «Метанолопровод до куста газовых скважин 201 до точки врезки т.1 Метанолопровода от куста газовых скважин № 107 до точек врезки т.1 и т.2».</t>
  </si>
  <si>
    <t>26.8.3.6.24</t>
  </si>
  <si>
    <t>Реконструкция автомобильной дороги «Подъезд от а/д Маг-Жигалово к промбазе «Нючакан», протяженностью 606 м, по адресу: Иркутская область, Жигаловский р-н, 70-й км автодороги Магистральный-Жигалово по направлению на север.</t>
  </si>
  <si>
    <t>26.2.3.7.24</t>
  </si>
  <si>
    <t>Реконструкция объекта «Газопровод от куста № 101 до куста № 102».</t>
  </si>
  <si>
    <t>26.6.3.8.24</t>
  </si>
  <si>
    <t>Реконструкция объекта «Линия электропередачи воздушная двухцепная ВЛ-10 кВ от ЭСН до БК2 Ковыктинского газоконденсатного месторождения».</t>
  </si>
  <si>
    <t>26.6.3.9.24</t>
  </si>
  <si>
    <t>Реконструкция объекта "Сооружение - ВЛ-35 кВ электроснабжения промысловой базы Нючакан", "Волоконно-оптическая линия связи "База промысловая Нючакан-Куст-102-ПАЭС" (после ввода в эксплуатацию системы электроснабжения объектов "Временные здания и сооружения базы единого заказчика", предусмотренной в рамках проекта "Обустройство Ковыктинского ГКМ", от взаиморезервируемых ВЛ-10 кВ площадки водозабора в районе промбазы</t>
  </si>
  <si>
    <t>26.7.3.17.24</t>
  </si>
  <si>
    <t>Реконструкция  системы промышленного телевидения УПГ-102</t>
  </si>
  <si>
    <t>26.7.3.18.24</t>
  </si>
  <si>
    <t>Реконструкция системы фиксированной телефонной связи УПГ-102.</t>
  </si>
  <si>
    <t>26.7.3.19.24</t>
  </si>
  <si>
    <t>Реконструкция реконструкцию системы подвижной радиосвязи УПГ-102.</t>
  </si>
  <si>
    <t>26.7.3.20.24</t>
  </si>
  <si>
    <t>Реконструкция студии ВКС студию ВКС на УПГ-102</t>
  </si>
  <si>
    <t>26.7.3.21.24</t>
  </si>
  <si>
    <t>Реконструкция сети передачи данных УПГ-102.</t>
  </si>
  <si>
    <t>26.8.3.22.24</t>
  </si>
  <si>
    <t>Реконструкция системы электрохимической защиты от коррозии существующего подземного технологического оборудования и трубопроводов площадки УПГ-102 проектируемыми СКЗ</t>
  </si>
  <si>
    <t>21.3.1.13</t>
  </si>
  <si>
    <t>Реконструкция цеха сепарации газа</t>
  </si>
  <si>
    <t>21.3.1.14</t>
  </si>
  <si>
    <t>Реконструкция установки стабилизации конденсата</t>
  </si>
  <si>
    <t>21.3.1.15</t>
  </si>
  <si>
    <t>4.3.0.2.1</t>
  </si>
  <si>
    <t>Комплексная реконструкция УКПГ. Перевод УКПГ в УППГ. УКПГ–13</t>
  </si>
  <si>
    <t>4.3.0.2.2</t>
  </si>
  <si>
    <t>Комплексная реконструкция УКПГ. Перевод УКПГ в УППГ. УКПГ–11</t>
  </si>
  <si>
    <t>4.3.0.2.3</t>
  </si>
  <si>
    <t>Комплексная реконструкция УКПГ. Перевод УКПГ в УППГ. УКПГ–15</t>
  </si>
  <si>
    <t>4.3.0.2.4</t>
  </si>
  <si>
    <t>Комплексная реконструкция УКПГ. Перевод УКПГ в УППГ. УКПГ–6</t>
  </si>
  <si>
    <t>4.3.0.2.5</t>
  </si>
  <si>
    <t>Комплексная реконструкция УКПГ. Перевод УКПГ в УППГ. УКПГ–8</t>
  </si>
  <si>
    <t>4.3.0.2.6.1</t>
  </si>
  <si>
    <t>Реконструкция систем ЭХЗ ГП-4, 7, 12</t>
  </si>
  <si>
    <t>4.3.0.2.6.2</t>
  </si>
  <si>
    <t>Оснащение систем ЭХЗ системами коррозионного мониторинга ГП-4, 7, 12</t>
  </si>
  <si>
    <t>4.3.0.2.7.1</t>
  </si>
  <si>
    <t>Реконструкция систем ЭХЗ ГКП-1А, 2, 5</t>
  </si>
  <si>
    <t>4.3.0.2.7.2</t>
  </si>
  <si>
    <t>Оснащение систем ЭХЗ системами коррозионного мониторинга ГКП-1А, 2, 5</t>
  </si>
  <si>
    <t>15.1.0.3.24</t>
  </si>
  <si>
    <t>15.1.0.3.25</t>
  </si>
  <si>
    <t>15.1.0.1.26</t>
  </si>
  <si>
    <t>15.1.0.3.23</t>
  </si>
  <si>
    <t>Подключение скважин переведенных в эксплуатационный фонд</t>
  </si>
  <si>
    <t>15.3.10.1.23</t>
  </si>
  <si>
    <t>Реконструкция системы перекачки жидких углеводородов на УКПГ-10 Оренбургского НГКМ</t>
  </si>
  <si>
    <t>25.8.0.1.23</t>
  </si>
  <si>
    <t>Реконструкция сливной эстакады для приема нефтепродуктов автомобильным транспортом на базовый склада ГСМ, ДЭГа и метанола промбазы Харасавэйского ГКМ</t>
  </si>
  <si>
    <t>17.4.0.1.23</t>
  </si>
  <si>
    <t>Модернизация сепарационного оборудования ДКС</t>
  </si>
  <si>
    <t>17.4.0.2.23</t>
  </si>
  <si>
    <t>Реконструкция системы маслоснабжения ДКС-1</t>
  </si>
  <si>
    <t>17.4.0.3.23</t>
  </si>
  <si>
    <t>Реконструкция системы маслоснабжения ДКС-2</t>
  </si>
  <si>
    <t>17.4.0.4.23</t>
  </si>
  <si>
    <t>Реконструкция системы маслоснабжения ДКС-3</t>
  </si>
  <si>
    <t>9.4.1.1.23</t>
  </si>
  <si>
    <t>Техническое перевооружение ГПА ДКС-2 ГП-1 Бованенковского НГКМ (замена СПЧ)</t>
  </si>
  <si>
    <t>9.4.1.1.26</t>
  </si>
  <si>
    <t>Техническое перевооружение ГПА ДКС-2 ГП-2 Бованенковского НГКМ (замена СПЧ)</t>
  </si>
  <si>
    <t>9.4.1.2.26</t>
  </si>
  <si>
    <t>9.4.1.2.23</t>
  </si>
  <si>
    <t>Техническое перевооружение ГПА ДКС-3 ГП-1 Бованенковского НГКМ (замена СПЧ)</t>
  </si>
  <si>
    <t>9.4.2.1.23</t>
  </si>
  <si>
    <t>Техническое перевооружение ГПА ДКС-3 (1 модуль) ГП-2 Бованенковского НГКМ (замена СПЧ)</t>
  </si>
  <si>
    <t>9.4.2.2.23</t>
  </si>
  <si>
    <t>Техническое перевооружение ГПА ДКС-3 (2 модуль) ГП-2 Бованенковского НГКМ (замена СПЧ)</t>
  </si>
  <si>
    <t>11.1.0.1.23</t>
  </si>
  <si>
    <t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t>
  </si>
  <si>
    <t>11.1.0.2.23</t>
  </si>
  <si>
    <t>11.1.0.3.23</t>
  </si>
  <si>
    <t>12.1.0.1.23</t>
  </si>
  <si>
    <t>12.1.0.2.23</t>
  </si>
  <si>
    <t>12.4.1.1.23</t>
  </si>
  <si>
    <t>Установка 2 ед. многосекционных ЦБК (ТКА) малой производительности</t>
  </si>
  <si>
    <t>13.1.0.1.23</t>
  </si>
  <si>
    <t>13.1.0.2.23</t>
  </si>
  <si>
    <t>13.1.0.3.23</t>
  </si>
  <si>
    <t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КГС)).</t>
  </si>
  <si>
    <t>14.1.0.1.23</t>
  </si>
  <si>
    <t>14.1.0.2.23</t>
  </si>
  <si>
    <t>14.1.0.3.23</t>
  </si>
  <si>
    <t>23.1.0.1.23</t>
  </si>
  <si>
    <t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</t>
  </si>
  <si>
    <t>23.1.0.2.23</t>
  </si>
  <si>
    <t>11.4.1.2.23</t>
  </si>
  <si>
    <t>Межцеховое переподключение Цеха осушки газа с выхода 2 ступени комримирования на выход 3 ступени компримирования ДКС</t>
  </si>
  <si>
    <t>11.4.1.4.23</t>
  </si>
  <si>
    <t>Организация системы сбора пластовой воды из перьевых врезок с электрообогревом их трубопроводов</t>
  </si>
  <si>
    <t>11.4.1.5.23</t>
  </si>
  <si>
    <t>Реконструкция АВО газа 3 ступени компримирования</t>
  </si>
  <si>
    <t>11.4.1.6.23</t>
  </si>
  <si>
    <t>Реконструкция ЦСГ</t>
  </si>
  <si>
    <t>22.1.3.2.25</t>
  </si>
  <si>
    <t>Модернизация гидравлической системы управления МОС с целью обеспечения управления ПКО Ду100</t>
  </si>
  <si>
    <t>22.1.3.1.25</t>
  </si>
  <si>
    <t>Техническое перевооружение блока подготовки газа АИП КГС № 115</t>
  </si>
  <si>
    <t>22.3.2.8.23</t>
  </si>
  <si>
    <t>Модернизация закрытых распределительных устройств 10 кВ (ЗРУ 10 кВ), поз. ГП 62 УППГ-2</t>
  </si>
  <si>
    <t>22.3.3.10.23</t>
  </si>
  <si>
    <t>Обеспечение применения ингибитора асфальтеносмолопарафиновых отложений в поток газового конденсата, загрязненного нефтью, в УСК УКПГ-3 (техническое перевооружение объекта "Расходный склад ингибитора коррозии в районе УКПГ-3")</t>
  </si>
  <si>
    <t>22.3.3.18.23</t>
  </si>
  <si>
    <t>Модернизация технологической схемы УСК УКПГ-3 и УППГ-2 для обеспечения предварительного подогрева нестабильного газового конденсата, загрязненного нефтью, перед подачей в блок буферной емкости 30Е-1 и в продуктопровод внутрипромысловый УППГ-2 – УКПГ-3</t>
  </si>
  <si>
    <t>22.3.3.1.25</t>
  </si>
  <si>
    <t>Монтаж дополнительного емкостного оборудования для хранения КГН 150 м3</t>
  </si>
  <si>
    <t>9.6.2.1.23</t>
  </si>
  <si>
    <t>Реконструкция и техническое перевооружение Энергомодуля №1 (замена ГТД ЭСН)</t>
  </si>
  <si>
    <t>9.8.1.1.23</t>
  </si>
  <si>
    <t>3.4.2.1</t>
  </si>
  <si>
    <t>Замена сменной проточной части газоперекачивающих агрегатов ДКС УКПГ-2С с увеличением степени сжатия.</t>
  </si>
  <si>
    <t>3.4.3.1</t>
  </si>
  <si>
    <t>Замена сменной проточной части газоперекачивающих агрегатов ДКС УКПГ-3С с увеличением степени сжатия.</t>
  </si>
  <si>
    <t>1.1.1.3.25</t>
  </si>
  <si>
    <t>Техперевооружение газовых скважин 1014</t>
  </si>
  <si>
    <t>1.1.2.1.25</t>
  </si>
  <si>
    <t>Техперевооружение газовых скважин 2124, 2145</t>
  </si>
  <si>
    <t>1.1.2.2.25</t>
  </si>
  <si>
    <t>Техперевооружение газовых скважин 2082, 2147</t>
  </si>
  <si>
    <t>1.1.3.1.25</t>
  </si>
  <si>
    <t>Техперевооружение газовых скважин 3168</t>
  </si>
  <si>
    <t>1.1.3.2.25</t>
  </si>
  <si>
    <t>Техперевооружение газовых скважин 3055</t>
  </si>
  <si>
    <t>1.1.3.1.25(2)</t>
  </si>
  <si>
    <t>Техперевооружение газовых скважин 3021</t>
  </si>
  <si>
    <t>1.1.5.1.25</t>
  </si>
  <si>
    <t>Техперевооружение газовых скважин 5091</t>
  </si>
  <si>
    <t>1.1.7.2.25</t>
  </si>
  <si>
    <t>Техперевооружение газовых скважин 7146</t>
  </si>
  <si>
    <t>2.1.0.1.24</t>
  </si>
  <si>
    <t>Техперевооружение газоконденсатных скважин 20704</t>
  </si>
  <si>
    <t>2.1.0.1.26</t>
  </si>
  <si>
    <t>Техперевооружение газоконденсатных скважин 12602, 21405</t>
  </si>
  <si>
    <t>14.4.1.1.23</t>
  </si>
  <si>
    <t>6.7.1.1.23</t>
  </si>
  <si>
    <t>6.7.1.2.23</t>
  </si>
  <si>
    <t>22.1.3.25.24</t>
  </si>
  <si>
    <t>Оснащение выкидных линий газодобывающих скважин надземным автоматическим клапаном-отсекателем в случае неработспособности подземного клапана-отсекателя</t>
  </si>
  <si>
    <t>22.3.3.19.24</t>
  </si>
  <si>
    <t>Монтаж централизованной системы кондиционирования, защитных ограждений, вытяжных вентиляторов, фильтров очистки воздуха
УКПГ-3, УППГ-2</t>
  </si>
  <si>
    <t>22.3.3.23.24</t>
  </si>
  <si>
    <t>Монтаж площадок обслуживания трубопроводной арматуры, стационарных газоанализаторов и приборов КИП
УКПГ-3, УППГ-2</t>
  </si>
  <si>
    <t>22.3.3.2.25</t>
  </si>
  <si>
    <t>Оснащение трубопровода УРМ 101.3 расходомером для измерения объемного расхода кубовой воды, направляемой на утилизацию, с целью составления корректного баланса, поступающего ВМР и регенерированного метанола, а также учета добываемой воды со скважин Чаяндинского НГКМ.</t>
  </si>
  <si>
    <t>22.3.3.3.25</t>
  </si>
  <si>
    <t>Монтаж ТПА Ду200 с обтюратором на технологической линии (подземного исполнения)  "Д/1" 219х7-09Г2С, Рр-0,07МПа, Т= минус 33 … плюс 40С, Установка дренажной емкости конденсата УСК,УКПГ-3, ЧНГКМ</t>
  </si>
  <si>
    <t>22.3.3.4.25</t>
  </si>
  <si>
    <t>Нанесение теплоизоляционного покрытия TLN Ceramic на технологические трубопроводы в обвязке ГПА КСГС 171 поз.</t>
  </si>
  <si>
    <t>22.3.3.27.24</t>
  </si>
  <si>
    <t>Монтаж точек отбора проб входных ниток (внутриплощадочные трубопроводы)</t>
  </si>
  <si>
    <t>22.3.3.29.24</t>
  </si>
  <si>
    <t>Модернизация узла слива/налива метанола, монтаж каре с отводом розливов, герметичных точек подключения спецтранспорта и трубопровода подвода воды (поз. ГП №№ 19, 14)</t>
  </si>
  <si>
    <t>22.3.3.30.24</t>
  </si>
  <si>
    <t>Монтаж трубопровода воды с электрообогревом (поз. ГП №№ 19, 14, 20)</t>
  </si>
  <si>
    <t>22.3.3.31.24</t>
  </si>
  <si>
    <t>Оснащение установки подготовки газа узлами отбора проб жидкости УКПГ-3</t>
  </si>
  <si>
    <t>22.3.3.42.24</t>
  </si>
  <si>
    <t>Модернизация системы подачи метанола на входных нитках и КГС на поз. ГП №№ 1, 4, 10 (монтаж доп. линии на входе и выходе подачи метанола с ЗА, монтаж фильтров на новой линии, монтаж линии от поз. ГП 4 до поз. ГП 10)</t>
  </si>
  <si>
    <t>22.3.3.43.24</t>
  </si>
  <si>
    <t>22.3.3.45.24</t>
  </si>
  <si>
    <t>Оснащение установки подготовки газа узлами отбора проб по жидкости УППГ-2, УППГ-4</t>
  </si>
  <si>
    <t>22.3.3.49.24</t>
  </si>
  <si>
    <t>Интеграция системы связи в систему мониторинга, дооснащение контроллером</t>
  </si>
  <si>
    <t>22.3.3.53.24</t>
  </si>
  <si>
    <t>Замена насосного оборудования дренажной емкости 10Е-1 УППГ-2 и УППГ-4 с увеличением напорной характеристики</t>
  </si>
  <si>
    <t>22.3.3.5.25</t>
  </si>
  <si>
    <t>Монтаж дополнительной дренажной линии для освобождения оборудования и трубопроводов метанола от кустов газовых скважин и входных шлейфов, блок-бокса арматурных узлов метанола в приемно-дренажную подземную емкость поз. ГП 7.</t>
  </si>
  <si>
    <t>22.3.3.55.24</t>
  </si>
  <si>
    <t>Монтаж точек отбора (Гелиепровод)</t>
  </si>
  <si>
    <t>22.3.3.59.24</t>
  </si>
  <si>
    <t>Установка расходомера трубопровода подачи газа с КЦ-2 ЦДКС на УМВГК (с интеграцией в АСУ ТП ЧНГКМ)</t>
  </si>
  <si>
    <t>22.3.3.6.25</t>
  </si>
  <si>
    <t>Модернизация системы подачи метанола на входные нитки и КГС - монтаж линии Ду50 от блок-бокса насосной метанола до блок-бокса арматурных узлов (блок-боксы модернизированы)</t>
  </si>
  <si>
    <t>22.3.3.7.25</t>
  </si>
  <si>
    <t>Монтаж линии возврата продукта из дренажной емкости 10Е-1 в аварийную 10Е-3</t>
  </si>
  <si>
    <t>22.3.3.8.26</t>
  </si>
  <si>
    <t>Обеспечение транспортирования КГН и ВМР с УППГ-2 до буферной емкости 30Е-1 УСК УКПГ-3 после снижения пластового давления</t>
  </si>
  <si>
    <t>22.3.3.9.26</t>
  </si>
  <si>
    <t>Обеспечение подачи газа передавливания в буферные емкости 30Е-1 УСК УКПГ-3</t>
  </si>
  <si>
    <t>22.3.3.10.26</t>
  </si>
  <si>
    <t>Изменение системы сброса газа с ПСК БПГСН УКПГ-3 на аварийное освобождение</t>
  </si>
  <si>
    <t>22.3.3.11.26</t>
  </si>
  <si>
    <t>Обеспечение транспортирования КГН и ВМР с УППГ-4 до буферной емкости 30Е-1 УСК УКПГ-3 после снижения пластового давления</t>
  </si>
  <si>
    <t>22.4.3.74.24</t>
  </si>
  <si>
    <t>Замена расходомеров топливного газа ГПА № 11, 12, 13.</t>
  </si>
  <si>
    <t>22.4.3.9.25</t>
  </si>
  <si>
    <t>Установка дополнительного обратного клапана ДУ1200 (перед краном №7) на площадке отключения арматуры КЦ-2 ЦДКС</t>
  </si>
  <si>
    <t>22.4.3.10.25</t>
  </si>
  <si>
    <t>Перенос датчиков (на стойки, на тросовые подвесы) или монтаж площадок для обслуживания в местах, где нет доступа, на больших высотах.</t>
  </si>
  <si>
    <t>22.4.3.13.25</t>
  </si>
  <si>
    <t>Установка тепловентиляторов в ангарные укрытия ГПА ЦДКС КЦ-1 и ГПА МКС 1-й и 2-й ступени</t>
  </si>
  <si>
    <t>22.4.3.14.25</t>
  </si>
  <si>
    <t>Нанесение теплоизоляционного покрытия TLN Ceramic на технологические трубопроводы в обвязке ДКС УМВГК</t>
  </si>
  <si>
    <t>22.4.3.15.25</t>
  </si>
  <si>
    <t>Техническое перевооружение площадок обслуживания и маршевых проходов, а также укрытий на узле подключения и узле замера газа на территории МКС УМВГК</t>
  </si>
  <si>
    <t>22.4.3.17.25</t>
  </si>
  <si>
    <t>Замена снятых с производства программно-технических средств "Теконик" на программно-технические средства производства РФ</t>
  </si>
  <si>
    <t>22.4.3.18.25</t>
  </si>
  <si>
    <t>Перенос стоек КИП на ГПА-61, 62, 63</t>
  </si>
  <si>
    <t>6.3.1.1.24</t>
  </si>
  <si>
    <t>Монтаж системы обогрева технологических трубопроводов ГП-1</t>
  </si>
  <si>
    <t>6.3.3.1.24</t>
  </si>
  <si>
    <t>Монтаж системы обогрева технологических трубопроводов ГП-3</t>
  </si>
  <si>
    <t>6.3.4.1.24</t>
  </si>
  <si>
    <t>Монтаж системы обогрева технологических трубопроводов ГП-4</t>
  </si>
  <si>
    <t>6.3.6.1.24</t>
  </si>
  <si>
    <t>Монтаж системы обогрева технологических трубопроводов ГП-6</t>
  </si>
  <si>
    <t>6.3.8.1.24</t>
  </si>
  <si>
    <t>Монтаж системы обогрева технологических трубопроводов ГП-8</t>
  </si>
  <si>
    <t>6.3.9.1.24</t>
  </si>
  <si>
    <t>Монтаж системы обогрева технологических трубопроводов ГП-9</t>
  </si>
  <si>
    <t>6.3.1.2.24</t>
  </si>
  <si>
    <t>Система противоаварийной защиты УКПГ-1</t>
  </si>
  <si>
    <t>6.3.3.2.24</t>
  </si>
  <si>
    <t>Система противоаварийной защиты УКПГ-3</t>
  </si>
  <si>
    <t>6.3.4.2.24</t>
  </si>
  <si>
    <t>Система противоаварийной защиты УКПГ-4</t>
  </si>
  <si>
    <t>6.3.6.2.24</t>
  </si>
  <si>
    <t>Система противоаварийной защиты УКПГ-6</t>
  </si>
  <si>
    <t>6.3.8.2.24</t>
  </si>
  <si>
    <t>Система противоаврийной защиты УКПГ-8</t>
  </si>
  <si>
    <t>6.3.9.2.24</t>
  </si>
  <si>
    <t>Система противоаврийной защиты УКПГ-9</t>
  </si>
  <si>
    <t>6.4.1.1.24</t>
  </si>
  <si>
    <t>Система противоаварийной защиты ДКС-1</t>
  </si>
  <si>
    <t>6.4.3.1.24</t>
  </si>
  <si>
    <t>Система противоаварийной защиты ДКС-3</t>
  </si>
  <si>
    <t>6.4.4.1.24</t>
  </si>
  <si>
    <t>Система противоаварийной защиты ДКС-4</t>
  </si>
  <si>
    <t>6.4.6.1.24</t>
  </si>
  <si>
    <t>Система противоаварийной защиты ДКС-6</t>
  </si>
  <si>
    <t>6.4.8.1.24</t>
  </si>
  <si>
    <t>Система противоаварийной защиты ДКС-8</t>
  </si>
  <si>
    <t>6.4.9.1.24</t>
  </si>
  <si>
    <t>Система противоаварийной защиты ДКС-9</t>
  </si>
  <si>
    <t>8.3.0.1.24</t>
  </si>
  <si>
    <t>Система противоаварийной защиты УКПГ Ямсовейского НГКМ</t>
  </si>
  <si>
    <t>8.4.0.1.24</t>
  </si>
  <si>
    <t>Система противоаварийной защиты ДКС Ямсовейского НГКМ</t>
  </si>
  <si>
    <t>9.8.0.1.24</t>
  </si>
  <si>
    <t>9.8.2.1.24</t>
  </si>
  <si>
    <t>Комплекс инженерно-технических средств охраны ГП-2 Бованенковского НГКМ</t>
  </si>
  <si>
    <t>22.5.3.14.23</t>
  </si>
  <si>
    <t>Техническое перевооружение СОИ СИКН № 1514</t>
  </si>
  <si>
    <t>22.5.3.3.25</t>
  </si>
  <si>
    <t>Модернизация СОУ ПСП – НСП-11</t>
  </si>
  <si>
    <t>22.5.3.16.23</t>
  </si>
  <si>
    <t>Техническое перевооружение видеонаблюдения ПСП «Чаяндинский»</t>
  </si>
  <si>
    <t>22.5.3.15.23</t>
  </si>
  <si>
    <t>Оснащение трубопроводной арматуры ПСП «Чаяндинский» системой контроля разности давлений с целью обеспечения резервной схемы учета</t>
  </si>
  <si>
    <t>22.5.3.13.23</t>
  </si>
  <si>
    <t>Техническое перевооружение высоковольтных частотных преобразователей в составе распределительного устройства 10 кВ здания насосной резервуарного парка ПСП (поз. ГП № 9)</t>
  </si>
  <si>
    <t>22.5.3.11.23</t>
  </si>
  <si>
    <t>Техническое перевооружение закрытых распределительных устройств 10 кВ (ЗРУ 10 кВ), поз. ГП 68 с установкой устройства быстродействующего автоматического включения резерва 10 кВ (БАВР)</t>
  </si>
  <si>
    <t>22.5.3.1.25</t>
  </si>
  <si>
    <t>Техническое перевооружение системы пробоотбора БИК СИКН на ПСП</t>
  </si>
  <si>
    <t>22.5.3.2.25</t>
  </si>
  <si>
    <t>Техническое перевооружение СиСА АСУТП ПСП</t>
  </si>
  <si>
    <t>22.6.3.77.24</t>
  </si>
  <si>
    <t>Техническое перевооружение системы электрообогрева ПСП</t>
  </si>
  <si>
    <t>22.6.3.12.23</t>
  </si>
  <si>
    <t>Реконструкция противопожарного водоснабжения ПСП (поз. ГП 42)</t>
  </si>
  <si>
    <t>22.8.3.76.24</t>
  </si>
  <si>
    <t>Доработка системы пожаротушения ПСП "Чаяндинский"</t>
  </si>
  <si>
    <t>22.8.3.16.23</t>
  </si>
  <si>
    <t>Реконструкция системы контроля и управления доступом на ПСП «Чаяндинский»</t>
  </si>
  <si>
    <t>22.8.3.1.25</t>
  </si>
  <si>
    <t>Дооснащение насосной резервуарного парка (поз. ГП № 9) для обеспечения поставки нефти в объеме до 3,705 млн. тонн в год</t>
  </si>
  <si>
    <t>22.8.3.17.25</t>
  </si>
  <si>
    <t>Реконструкция резервуарного парка ПСП «Чаяндинский»</t>
  </si>
  <si>
    <t>22.8.3.18.25</t>
  </si>
  <si>
    <t>Техническое перевооружение площадок обслуживания оборудования</t>
  </si>
  <si>
    <t>19.3.1В.1.25</t>
  </si>
  <si>
    <t>Система эжектирования газов выветривания и дегазации УКПГ-1В</t>
  </si>
  <si>
    <t>19.3.2В.1.25</t>
  </si>
  <si>
    <t>Система эжектирования газов выветривания и дегазации УКПГ-2В</t>
  </si>
  <si>
    <t>11.3.1.2.25</t>
  </si>
  <si>
    <t>Устройство системы проитвопожарного водоснабжения</t>
  </si>
  <si>
    <t>11.8.1.1.25</t>
  </si>
  <si>
    <t>Техническое перевооружение элементов конструкций зданий СЭРБ, ПЭБ</t>
  </si>
  <si>
    <t>13.2.1.1.25</t>
  </si>
  <si>
    <t>Техническое перевооружение охранных кранов Ду 1000</t>
  </si>
  <si>
    <t>13.2.1.2.25</t>
  </si>
  <si>
    <t>Техническое перевооружение крана Ду 500</t>
  </si>
  <si>
    <t>22.3.3.8.25</t>
  </si>
  <si>
    <t>Модернизация системы управления противопожарными клапанами, изменение системы подключения кабелей для электроснабжения и автоматизации на УППГ-2 поз. по ГП №№1, 50 и УКПГ-3 поз. по ГП №№ 1, 15, 30, 55, 77, 78, 79, 133, 134, 147</t>
  </si>
  <si>
    <t>22.3.3.9.25</t>
  </si>
  <si>
    <t>Монтаж трубопровода пожсистемы Ду 50 (поз. ГП 20)</t>
  </si>
  <si>
    <t>22.3.3.10.25</t>
  </si>
  <si>
    <t>Перенос внутриплощадочных извещателей пожарных ручных</t>
  </si>
  <si>
    <t>22.3.3.11.25</t>
  </si>
  <si>
    <t>Нанесение огнезащитного покрытия на воздуховоды (поз. по ГП №№ 30, 55, 77, 79, 133, 134, 144, 147)</t>
  </si>
  <si>
    <t>22.3.3.12.25</t>
  </si>
  <si>
    <t>Приведение в соответствиие к противопожарным нормам позиций ГП 133, 134, 55 (замена дверей) с заменой индикаторов средств пожаротушения на поз. ГП 133, 134, 147</t>
  </si>
  <si>
    <t>22.3.3.13.25</t>
  </si>
  <si>
    <t>Монтаж опусков с устройством дренажных кранов на трубопроводах системы пенного пожаротушения в поз. по ГП 15, 30, 147</t>
  </si>
  <si>
    <t>22.3.3.14.25</t>
  </si>
  <si>
    <t>Монтаж противопожарной индикации с подключением к аварийному освешению (поз. по ГП 48)</t>
  </si>
  <si>
    <t>22.3.3.15.25</t>
  </si>
  <si>
    <t>Монтаж противопожарных клапанов на системы вентиляции, автоматизация  (поз. по ГП №№ 55, 77, 79, 133, 134)</t>
  </si>
  <si>
    <t>22.3.3.16.25</t>
  </si>
  <si>
    <t>22.3.3.17.25</t>
  </si>
  <si>
    <t>Нанесение огнезащитного покрытия на воздуховоды (поз. по ГП №№454, 471, 481а,б)</t>
  </si>
  <si>
    <t>22.3.3.18.25</t>
  </si>
  <si>
    <t>Монтаж противопожарных клапанов на системы вентиляции, автоматизация (поз. по ГП № 471)</t>
  </si>
  <si>
    <t>22.3.2.12.25</t>
  </si>
  <si>
    <t>Техническое перевооружение насосной противопожарного водоснабжения УППГ-2 (поз. ГП 38)</t>
  </si>
  <si>
    <t>22.3.2.13.25</t>
  </si>
  <si>
    <t>22.3.2.14.25</t>
  </si>
  <si>
    <t>Монтаж опусков с устройством дренажных кранов на трубопроводах системы пенного пожаротушения в поз. по ГП 1</t>
  </si>
  <si>
    <t>22.3.2.15.25</t>
  </si>
  <si>
    <t>Нанесение огнезащитного покрытия на воздуховоды (поз. по ГП №№1, 50)</t>
  </si>
  <si>
    <t>22.3.2.16.25</t>
  </si>
  <si>
    <t>Монтаж противопожарных клапанов системы вентиляции, автоматизация (поз. по ГП №№1, 50)</t>
  </si>
  <si>
    <t>22.3.2.17.25</t>
  </si>
  <si>
    <t>Монтаж противопожарной индикации с подключением к аварийному освешению (поз. по ГП 38)</t>
  </si>
  <si>
    <t>22.4.2.32.25</t>
  </si>
  <si>
    <t>22.4.2.33.25</t>
  </si>
  <si>
    <t>Нанесение огнезащитного покрытия на воздуховоды поз. по ГП №№176</t>
  </si>
  <si>
    <t>22.4.2.34.25</t>
  </si>
  <si>
    <t>Монтаж противопожарных клапанов системы вентиляции, автоматизация поз. по ГП №176</t>
  </si>
  <si>
    <t>22.8.3.2.25</t>
  </si>
  <si>
    <t>Модернизация системы пожарной сигнализации (СПС) объектов обустройства Чаяндинского НГКМ</t>
  </si>
  <si>
    <t>22.8.3.3.25</t>
  </si>
  <si>
    <t>Система освещения</t>
  </si>
  <si>
    <t>22.8.3.4.25</t>
  </si>
  <si>
    <t>Монтаж системы противодымной вентиляции</t>
  </si>
  <si>
    <t>22.8.3.5.25</t>
  </si>
  <si>
    <t>Приведение в соответствиие к противопожарным нормам позиций ГП 63, 152 (монтаж лестниц)</t>
  </si>
  <si>
    <t>22.8.3.6.25</t>
  </si>
  <si>
    <t>Приведение в соответствиие к противопожарным нормам позиций ГП 151, 8, 63, 163, в т.ч.:
- Монтаж дверей люков (материал) металл либо пластик (поз. 151);
- Монтаж притивопожарного люка (поз.151);
- Монтаж дверей (поз. 8, 63, 163)/</t>
  </si>
  <si>
    <t>22.8.3.7.25</t>
  </si>
  <si>
    <t>Монтаж проемов и окон (поз. ГП 130)</t>
  </si>
  <si>
    <t>22.8.3.8.25</t>
  </si>
  <si>
    <t>Нанесение огнезащитного покрытия на воздуховоды (поз. по ГП №№8, 71, 162, 120, 130)</t>
  </si>
  <si>
    <t>22.8.3.9.25</t>
  </si>
  <si>
    <t>Монтаж противопожарных клапанов на системы вентиляции, автоматизация (поз. по ГП №№2, 7, 8, 41, 63, 120, 130, 140, 151, 152, 153, 156а, 156б, 156в, 156г, 162, 163, 164, 186)</t>
  </si>
  <si>
    <t>22.8.3.10.25</t>
  </si>
  <si>
    <t>Монтаж противопожарной индикации с подключением к аварийному освешению позиции ГП 93</t>
  </si>
  <si>
    <t>22.8.3.11.25</t>
  </si>
  <si>
    <t>Подключение позиции по ГП 93 к контроллеру АСПС, КЗ и ПТ объекта ОБ и ВЖК.</t>
  </si>
  <si>
    <t>22.8.3.12.25</t>
  </si>
  <si>
    <t>Нанесение огнезащитного покрытия на воздуховоды поз. по ГП №20</t>
  </si>
  <si>
    <t>22.8.3.13.25</t>
  </si>
  <si>
    <t>Монтаж противопожарных клапанов системы вентиляции, автоматизация поз. по ГП №№16, 21, 81</t>
  </si>
  <si>
    <t>22.8.3.14.25</t>
  </si>
  <si>
    <t>22.8.3.15.25</t>
  </si>
  <si>
    <t>Монтаж извещателей пожарных ручных у входов в здания категории А по взрывопожарной опасности (поз. по ГП 14, 14а)</t>
  </si>
  <si>
    <t>22.8.3.16.25</t>
  </si>
  <si>
    <t>Монтаж противопожарной индикации с подключением к аварийному освешению позиции по ГП 42</t>
  </si>
  <si>
    <t>23.3.1.1.25</t>
  </si>
  <si>
    <t>Реконструкция узлов редуцирования газа</t>
  </si>
  <si>
    <t>23.3.1.2.25</t>
  </si>
  <si>
    <t>Реконструкция ПНГ-100</t>
  </si>
  <si>
    <t>23.3.1.3.25</t>
  </si>
  <si>
    <t>Реконструкция ПНГ-50</t>
  </si>
  <si>
    <t>23.3.1.4.25</t>
  </si>
  <si>
    <t>Реконструкция УСК</t>
  </si>
  <si>
    <t>23.3.1.5.25</t>
  </si>
  <si>
    <t>Реконструкция сетей подачи метанолла</t>
  </si>
  <si>
    <t>15.3.9.1.25</t>
  </si>
  <si>
    <t>Реконструкция ТЛ с установкой модульной компрессорной станции</t>
  </si>
  <si>
    <t>15.3.2.1.25</t>
  </si>
  <si>
    <t>Установка подготовки газа УКПГ-2</t>
  </si>
  <si>
    <t>15.3.2.2.25</t>
  </si>
  <si>
    <t>АСУ ТП с центром управления на УКПГ-2 с учетом реализации смежных проектов на УКПГ-6,1,12</t>
  </si>
  <si>
    <t>15.3.2.3.25</t>
  </si>
  <si>
    <t>Склад метанола и установка приготовления ингибиторов УКПГ-2</t>
  </si>
  <si>
    <t>15.3.2.4.25</t>
  </si>
  <si>
    <t>Технологическая насосная, компрессорная воздуха КИП УКПГ-2</t>
  </si>
  <si>
    <t>15.3.2.5.25</t>
  </si>
  <si>
    <t>Реконструкция газосборных сетей УКПГ-2 (скважина - БВН)</t>
  </si>
  <si>
    <t>15.3.2.6.25</t>
  </si>
  <si>
    <t>Реконструкция систем межпромысловых трубопроводов для транспорта УВС с УКПГ-1,6,12 на УКПГ-2</t>
  </si>
  <si>
    <t>15.3.2.7.25</t>
  </si>
  <si>
    <t>Сети и сооружения</t>
  </si>
  <si>
    <t>15.3.6.1.25</t>
  </si>
  <si>
    <t>Реконструкция газосборных сетей (участок скважина - БВН)</t>
  </si>
  <si>
    <t>15.3.6.2.25</t>
  </si>
  <si>
    <t>Переключение АСУ ТП на УКПГ-2</t>
  </si>
  <si>
    <t>15.3.6.3.25</t>
  </si>
  <si>
    <t>Ликвидация площадного объекта</t>
  </si>
  <si>
    <t>15.3.6.4.25</t>
  </si>
  <si>
    <t>Реконструкция  участка г.н.г. УКПГ-6-ГПЗ</t>
  </si>
  <si>
    <t>15.3.6.5.25</t>
  </si>
  <si>
    <t>Замена существующих УЗПП и ЗА</t>
  </si>
  <si>
    <t>15.3.6.6.25</t>
  </si>
  <si>
    <t>Ликвидация участка г.н.г. УКПГ-6-ГПЗ II нитка</t>
  </si>
  <si>
    <t>15.3.15.1.25</t>
  </si>
  <si>
    <t>Реконструкция факельных и дренажных систем УКПГ-15</t>
  </si>
  <si>
    <t>15.3.15.2.25</t>
  </si>
  <si>
    <t>Установка подготовки газа УКПГ-15</t>
  </si>
  <si>
    <t>15.3.15.3.25</t>
  </si>
  <si>
    <t>Установка подготовки нефти УКПГ-15</t>
  </si>
  <si>
    <t>15.3.15.5.25</t>
  </si>
  <si>
    <t>Склад метанола и установка приготовления ингибиторов УКПГ-15</t>
  </si>
  <si>
    <t>15.3.15.6.25</t>
  </si>
  <si>
    <t>Технологическая насосная, компрессорная воздуха КИП УКПГ-15</t>
  </si>
  <si>
    <t>15.3.15.7.25</t>
  </si>
  <si>
    <t>Реконструкция газосборных сетей УКПГ-15 (участок скважина - БВН)</t>
  </si>
  <si>
    <t>15.3.15.9.25</t>
  </si>
  <si>
    <t>12.2.1.1.25</t>
  </si>
  <si>
    <t>Реконструкция ГСС для подключения скважин ЗТГМ к ГСС</t>
  </si>
  <si>
    <t>21.3.1.12</t>
  </si>
  <si>
    <t>Реконструкция установки получения азота</t>
  </si>
  <si>
    <t>13.8.0.1.26</t>
  </si>
  <si>
    <t>Оборудование системой фотосъемки и (или) видеофиксации движения транспортных средств, доставляющих отходы на полигон. Система весового контроля, автоматизированной системы учета процессов полигона. Система радиометрического контроля поступающих на полигон отходов. Система сбора и отвода биогаза. Автоматизированная система учета и передачи данных в государственную информационную систему.</t>
  </si>
  <si>
    <t>Техническое перевооружение скважин Бованенковского НГКМ эксплуатирующих пласты ТП1-6 (замена НКТ)</t>
  </si>
  <si>
    <t>1.4.2.1.26</t>
  </si>
  <si>
    <t>Замена сменной проточной части газоперекачивающих агрегатов ДКС 2 очереди УКПГ-2 с увеличением степени сжатия.</t>
  </si>
  <si>
    <t>1.4.3.1.26</t>
  </si>
  <si>
    <t>Замена сменной проточной части газоперекачивающих агрегатов ДКС 2 очереди УКПГ-3 с увеличением степени сжатия.</t>
  </si>
  <si>
    <t>1.4.4.1.26</t>
  </si>
  <si>
    <t>Замена сменной проточной части газоперекачивающих агрегатов ДКС 2 очереди УКПГ-4 с увеличением степени сжатия.</t>
  </si>
  <si>
    <t>1.4.7.1.26</t>
  </si>
  <si>
    <t>Замена сменной проточной части газоперекачивающих агрегатов ДКС 2 очереди УКПГ-7 с увеличением степени сжатия.</t>
  </si>
  <si>
    <t>4.4.13.3.26</t>
  </si>
  <si>
    <t>Техническое перевооружение ДКС (1 ступень) на УКПГ-13</t>
  </si>
  <si>
    <t>4.4.1.3.26</t>
  </si>
  <si>
    <t>Техническое перевооружение ДКС (1 ступень) на УКПГ-1</t>
  </si>
  <si>
    <t>4.1.0.8.26</t>
  </si>
  <si>
    <t>Организация подачи ПАВ и ингибиторов на фонде скважин Уренгойского, Северо-Уренгойского, Ен-Яхинского НГКМ, в т.ч. УКПГ-1, УКПГ-3, УКПГ-4, УКПГ-5, УКПГ-6, УКПГ-7, УКПГ-8, УКПГ-9, УКПГ-10</t>
  </si>
  <si>
    <t>4.1.0.9.26</t>
  </si>
  <si>
    <t>Организация подачи ПАВ и ингибиторов на фонде скважин Уренгойского, Северо-Уренгойского, Ен-Яхинского НГКМ, в т.ч. УКПГ-15</t>
  </si>
  <si>
    <t>4.1.0.10.26</t>
  </si>
  <si>
    <t>Организация подачи ПАВ и ингибиторов на фонде скважин Уренгойского, Северо-Уренгойского, Ен-Яхинского НГКМ, в т.ч. УКПГ-16</t>
  </si>
  <si>
    <t>4.1.0.11.26</t>
  </si>
  <si>
    <t>5.1.0.12.26</t>
  </si>
  <si>
    <t>Организация подачи ПАВ и ингибиторов на фонде скважин Уренгойского, Северо-Уренгойского, Ен-Яхинского НГКМ, в т.ч. УКПГ-1, УКПГ-1А, УКПГ-2В, УКПГ-8В</t>
  </si>
  <si>
    <t>4.1.0.13.26</t>
  </si>
  <si>
    <t>5.1.0.14.26</t>
  </si>
  <si>
    <t>Организация подачи ПАВ и ингибиторов на фонде скважин Уренгойского, Северо-Уренгойского, Ен-Яхинского НГКМ, в т.ч. УКПГ-1А, УКПГ-5В</t>
  </si>
  <si>
    <t>5.1.0.15.26</t>
  </si>
  <si>
    <t>Организация подачи ПАВ и ингибиторов на фонде скважин Уренгойского, Северо-Уренгойского, Ен-Яхинского НГКМ, в т.ч. УКПГ-2В, УКПГ-5В</t>
  </si>
  <si>
    <t>5.1.0.16.26</t>
  </si>
  <si>
    <t>Организация подачи ПАВ и ингибиторов на фонде скважин Уренгойского, Северо-Уренгойского, Ен-Яхинского НГКМ, в т.ч. НГДУ</t>
  </si>
  <si>
    <t>5.1.0.17.26</t>
  </si>
  <si>
    <t>20.2.22.5.26</t>
  </si>
  <si>
    <t>Замена обвязок ГКС ГКП-22 Уренгойского НГКМ на трубную продукцию из стали группы прочности Х80 тип 13 хром. I этап</t>
  </si>
  <si>
    <t>20.2.22.6.26</t>
  </si>
  <si>
    <t>Замена обвязок ГКС ГКП-22 Уренгойского НГКМ на трубную продукцию из стали группы прочности Х80 тип 13 хром. II этап</t>
  </si>
  <si>
    <t>20.2.21.1.26</t>
  </si>
  <si>
    <t>Замена обвязок ГКС ГКП-21 Уренгойского НГКМ на трубную продукцию из стали группы прочности Х80 тип 13 хром</t>
  </si>
  <si>
    <t>15.3.1.1.26</t>
  </si>
  <si>
    <t>15.3.12.1.26</t>
  </si>
  <si>
    <t>15.3.14.1.26</t>
  </si>
  <si>
    <t>Реконструкция газосборных сетей УКПГ-14 (участок скважина - БВН)</t>
  </si>
  <si>
    <t>3.3.1C.1.26</t>
  </si>
  <si>
    <t>Техническое перевооружение системы термостабилизации грунтов ГП-1С</t>
  </si>
  <si>
    <t>3.3.2C.1.26</t>
  </si>
  <si>
    <t>Техническое перевооружение системы термостабилизации грунтов ГП-2С</t>
  </si>
  <si>
    <t>3.3.3C.1.26</t>
  </si>
  <si>
    <t>Техническое перевооружение системы термостабилизации грунтов ГП-3С</t>
  </si>
  <si>
    <t>19.3.1В.1.26</t>
  </si>
  <si>
    <t>Техническое перевооружение  системы термостабилизации грунтов ГП-1В</t>
  </si>
  <si>
    <t>19.3.2В.1.26</t>
  </si>
  <si>
    <t>Техническое перевооружение  системы термостабилизации грунтов ГП-2В</t>
  </si>
  <si>
    <t>3(19).2.0.1.26</t>
  </si>
  <si>
    <t>Техническое перевооружение системы термостабилизации грунтов ЛЭС</t>
  </si>
  <si>
    <t>26.3.2.23.25</t>
  </si>
  <si>
    <t>Подключение линии отвода конденсата из дренажных емкостей Е-2 Компрессорной станции газов стабилизации УКПГ-2 к технологическим сетям УКПГ-2.</t>
  </si>
  <si>
    <t>26.8.0.30.25</t>
  </si>
  <si>
    <t>Реконструкция емкостей хранения конденсата для обеспечения требований пожарной безопасности ТОК в п. Окунайский Ковыктинского ГКМ</t>
  </si>
  <si>
    <t>26.3.3.31.26</t>
  </si>
  <si>
    <t>Обустройство СПАЗ сброса НК из насосов 20Н-1 УКПГ-3</t>
  </si>
  <si>
    <t>26.3.3.32.26</t>
  </si>
  <si>
    <t>Обустройство СПАЗ сброса НК из внутрицеховых трубопроводов УКПГ-3 и УКПГ-2</t>
  </si>
  <si>
    <t>26.3.2.33.26</t>
  </si>
  <si>
    <t>Обустройство продувочных линий в змеевиках печей нагрева углеводородного конденсата УСК УКПГ-2</t>
  </si>
  <si>
    <t>26.3.2.34.26</t>
  </si>
  <si>
    <t>Сообщение дренажной емкости 30Е-4 и 30Е-6 с факельной системой УКПГ-2</t>
  </si>
  <si>
    <t>26.3.3.35.26</t>
  </si>
  <si>
    <t>Обустройство сепарационного оборудования Цехов подготовки газа УКПГ-2 и УКПГ-3 узлами замера капельного уноса в соответствия с ТУ ООО "Газпром ВНИИГАЗ"</t>
  </si>
  <si>
    <t>26.3.2.36.26</t>
  </si>
  <si>
    <t>Обустройство общей линии подачи газа выветривания (пассивного газа) на все блоки эжекторов.</t>
  </si>
  <si>
    <t>26.3.2.37.26</t>
  </si>
  <si>
    <t>Реконструкция линии подачи потока КГН+ВМР в 30Е-1 № 1,2,3 в части реализации равномерного распределения ВМР по технологическим ниткам УСК</t>
  </si>
  <si>
    <t>26.3.2.24.25</t>
  </si>
  <si>
    <t>Монтаж перемычки между метанолопроводами кустов газовых скважин 308 (УКПГ-3) и 201 (УКПГ-2)</t>
  </si>
  <si>
    <t>26.3.2.41.26</t>
  </si>
  <si>
    <t>Оснащение конденсатопровода УКПГ-2 – ТОК пос. Окунайский линиями продувки и узлами подключения сепараторов</t>
  </si>
  <si>
    <t>26.2.3.39.26</t>
  </si>
  <si>
    <t>Монтаж трубопровода постоянной подачи осушенного газа в продуктопровод УКПГ-3 - УКПГ-2 для возможности проведения работ  по очистке полости от жидкости с применением очистных поршней</t>
  </si>
  <si>
    <t>26.2.2.40.26</t>
  </si>
  <si>
    <t>Монтаж трубопровода постоянной подачи осушенного газа в конденсатопровод УКПГ-2 - ТОК Окунайский для возможности проведения работ по очистке полости от конденсата с применением очистных поршней</t>
  </si>
  <si>
    <t>26.2.2.38.26</t>
  </si>
  <si>
    <t>Монтаж УЗОУ – УПОУ на газосборном коллекторе кустов газовых скважин № 206, 207, 208 УКПГ-2</t>
  </si>
  <si>
    <t>Вид оборудования</t>
  </si>
  <si>
    <t>Флажок 4</t>
  </si>
  <si>
    <t>Новые скважины</t>
  </si>
  <si>
    <t>Боковой ствол</t>
  </si>
  <si>
    <t>Перевод скважин</t>
  </si>
  <si>
    <t>Перевод скважин в нагнетание</t>
  </si>
  <si>
    <t>Перевод скважин на газлифт</t>
  </si>
  <si>
    <t>Скважина с ЭЦН</t>
  </si>
  <si>
    <t>Cистема подачи ингибитора коррозии</t>
  </si>
  <si>
    <t>Абсорбер</t>
  </si>
  <si>
    <t>АВО</t>
  </si>
  <si>
    <t>Автодорога</t>
  </si>
  <si>
    <t>Амбары ГФУ</t>
  </si>
  <si>
    <t>АСДО ДКС</t>
  </si>
  <si>
    <t>АСПС КЗиПТ ГПА</t>
  </si>
  <si>
    <t>АСПС КЗиПТ ДКС</t>
  </si>
  <si>
    <t>АСПС КЗиПТ ПО</t>
  </si>
  <si>
    <t>АСУТП КЦ ДКС</t>
  </si>
  <si>
    <t>АСУТП ПО</t>
  </si>
  <si>
    <t>АСУТП УКПГ</t>
  </si>
  <si>
    <t>АСУЭ</t>
  </si>
  <si>
    <t>АЭК</t>
  </si>
  <si>
    <t>ВНС</t>
  </si>
  <si>
    <t>Внутриплощадочные электрические сети</t>
  </si>
  <si>
    <t>Водозабор</t>
  </si>
  <si>
    <t>ВОС</t>
  </si>
  <si>
    <t>Вспомогательные системы ДКС</t>
  </si>
  <si>
    <t>Газлифтная установка</t>
  </si>
  <si>
    <t>ГПА</t>
  </si>
  <si>
    <t>ГФУ</t>
  </si>
  <si>
    <t>Датчики прохождения поршня</t>
  </si>
  <si>
    <t>Десорбер</t>
  </si>
  <si>
    <t>Здания и сооружения</t>
  </si>
  <si>
    <t>ЗРА (горячая серия)</t>
  </si>
  <si>
    <t>ЗРУ</t>
  </si>
  <si>
    <t>ИУС</t>
  </si>
  <si>
    <t>Канализация ливневая</t>
  </si>
  <si>
    <t>КЗПОУ</t>
  </si>
  <si>
    <t>КИТСО</t>
  </si>
  <si>
    <t>КЛК</t>
  </si>
  <si>
    <t>КНС</t>
  </si>
  <si>
    <t>Компрессорная воздуха КИП</t>
  </si>
  <si>
    <t>КОС</t>
  </si>
  <si>
    <t>Котел</t>
  </si>
  <si>
    <t>Котельная</t>
  </si>
  <si>
    <t>КП ЛТМ</t>
  </si>
  <si>
    <t>КТП</t>
  </si>
  <si>
    <t>КУ</t>
  </si>
  <si>
    <t>ЛЭП</t>
  </si>
  <si>
    <t>Механический регулятор метанола</t>
  </si>
  <si>
    <t>МКУ</t>
  </si>
  <si>
    <t>Нагнетатель ГПА</t>
  </si>
  <si>
    <t>Нагревательный кабель скважин</t>
  </si>
  <si>
    <t>Насосная</t>
  </si>
  <si>
    <t>НКТ</t>
  </si>
  <si>
    <t>Отделение подогрева теплоносителя</t>
  </si>
  <si>
    <t>Переход через преграды</t>
  </si>
  <si>
    <t>Печь</t>
  </si>
  <si>
    <t>ПО</t>
  </si>
  <si>
    <t>Подземная продувочная емкость</t>
  </si>
  <si>
    <t>Подогреватель нефти</t>
  </si>
  <si>
    <t>ПРГ</t>
  </si>
  <si>
    <t>Привод ГПА</t>
  </si>
  <si>
    <t>Прискважинное оборудование</t>
  </si>
  <si>
    <t>Разделитель</t>
  </si>
  <si>
    <t>Резервуар</t>
  </si>
  <si>
    <t>САКЗ</t>
  </si>
  <si>
    <t>САУ ГПА</t>
  </si>
  <si>
    <t>Связь</t>
  </si>
  <si>
    <t>Сепаратор</t>
  </si>
  <si>
    <t>Сепаратор ПУ</t>
  </si>
  <si>
    <t>Сети водоснабжения и канализации</t>
  </si>
  <si>
    <t>Система вентиляции и кондиционирования</t>
  </si>
  <si>
    <t>Система компримирования газа стабилизации, дегазации</t>
  </si>
  <si>
    <t>Система подачи метанола</t>
  </si>
  <si>
    <t>Система подготовки пластовой воды</t>
  </si>
  <si>
    <t>Система с установкой средств коррозионного мониторинга</t>
  </si>
  <si>
    <t>Скважинный подогреватель</t>
  </si>
  <si>
    <t>Склад абсорбента</t>
  </si>
  <si>
    <t>Склад ГСМ</t>
  </si>
  <si>
    <t>Склад метанола</t>
  </si>
  <si>
    <t>СКМ</t>
  </si>
  <si>
    <t>СПЧ нагнетателей ГПА</t>
  </si>
  <si>
    <t>СПЧ турбодетандеров</t>
  </si>
  <si>
    <t>СЭБ</t>
  </si>
  <si>
    <t>ТДА</t>
  </si>
  <si>
    <t>Телемеханика (телеметрия ) скважин</t>
  </si>
  <si>
    <t>Тепловая изоляция наземных трубопроводов сырого газа УКПГ</t>
  </si>
  <si>
    <t>Тепловая сеть</t>
  </si>
  <si>
    <t>Теплообменник</t>
  </si>
  <si>
    <t>ТП</t>
  </si>
  <si>
    <t>УЗГ</t>
  </si>
  <si>
    <t>УК КЛК</t>
  </si>
  <si>
    <t>Установка получения азота</t>
  </si>
  <si>
    <t>Установка регенерации гликоля</t>
  </si>
  <si>
    <t>Установка регенерации метанола</t>
  </si>
  <si>
    <t>Установка утилизации продуктов поршевания</t>
  </si>
  <si>
    <t>Устройство подачи ПАВ</t>
  </si>
  <si>
    <t>ФА</t>
  </si>
  <si>
    <t>Факельная установка скважин (куста скважин)</t>
  </si>
  <si>
    <t>ФУ УКПГ</t>
  </si>
  <si>
    <t>Химлаборатория</t>
  </si>
  <si>
    <t>ЭСН</t>
  </si>
  <si>
    <t>ЭХЗ</t>
  </si>
  <si>
    <t>АСПС КЗиПТ УКПГ</t>
  </si>
  <si>
    <t>Газлифтный трубопровод</t>
  </si>
  <si>
    <t>ГСС</t>
  </si>
  <si>
    <t>ЗРА</t>
  </si>
  <si>
    <t>Конденсатопровод</t>
  </si>
  <si>
    <t>Метанолопровод</t>
  </si>
  <si>
    <t>МПТ</t>
  </si>
  <si>
    <t>МЦК</t>
  </si>
  <si>
    <t>051-2001317.(16.1.1.5).Астраханское.Карбон.Р.С.Скважины.Прискважинное оборудование</t>
  </si>
  <si>
    <t>051-2001317.(16.1.1.7).Астраханское.Карбон.Р.С.Скважины.Прискважинное оборудование</t>
  </si>
  <si>
    <t>051-2001317.(16.1.1.8).Астраханское.Карбон.Р.С.Скважины.Прискважинное оборудование</t>
  </si>
  <si>
    <t>051-2001317.(16.1.1.20).Астраханское.Карбон.Р.С.Скважины.Прискважинное оборудование</t>
  </si>
  <si>
    <t>051-2001317.(16.1.1.18).Астраханское.Карбон.Р.С.Скважины.Прискважинное оборудование</t>
  </si>
  <si>
    <t>051-2001317.(16.1.1.10).Астраханское.Карбон.Р.С.Скважины.Прискважинное оборудование</t>
  </si>
  <si>
    <t>051-2001317.(16.1.2.16).Астраханское.Карбон.Р.С.Скважины.Прискважинное оборудование</t>
  </si>
  <si>
    <t>051-2001317.(16.1.2.17).Астраханское.Карбон.Р.С.Скважины.Прискважинное оборудование</t>
  </si>
  <si>
    <t>051-2001317.(16.1.2.6).Астраханское.Карбон.Р.С.Скважины.Прискважинное оборудование</t>
  </si>
  <si>
    <t>051-2001317.(16.1.2.11).Астраханское.Карбон.Р.С.Скважины.Прискважинное оборудование</t>
  </si>
  <si>
    <t>051-2001317.(16.1.2.15).Астраханское.Карбон.Р.С.Скважины.Прискважинное оборудование</t>
  </si>
  <si>
    <t>051-2001317.(16.1.2.8).Астраханское.Карбон.Р.С.Скважины.Прискважинное оборудование</t>
  </si>
  <si>
    <t>051-2001317.(16.1.1.21).Астраханское.Карбон.Р.С.Скважины.Прискважинное оборудование</t>
  </si>
  <si>
    <t>051-2001317.(16.1.2.12).Астраханское.Карбон.Р.С.Скважины.Прискважинное оборудование</t>
  </si>
  <si>
    <t>051-2001317.(16.1.2.18).Астраханское.Карбон.Р.С.Скважины.Прискважинное оборудование</t>
  </si>
  <si>
    <t>051-2001317.(16.1.2.19).Астраханское.Карбон.Р.С.Скважины.Прискважинное оборудование</t>
  </si>
  <si>
    <t>051-2001317.(16.1.1.16).Астраханское.Карбон.Р.С.Скважины.Прискважинное оборудование</t>
  </si>
  <si>
    <t>051-2001317.(16.1.2.1.23).Астраханское.Карбон.Р.С.Скважины.Прискважинное оборудование</t>
  </si>
  <si>
    <t>051-2001317.(16.1.1.1.23).Астраханское.Карбон.Р.С.Скважины.Прискважинное оборудование</t>
  </si>
  <si>
    <t>051-2001317.(16.1.1.2.23).Астраханское.Карбон.Р.С.Скважины.Прискважинное оборудование</t>
  </si>
  <si>
    <t>051-2001317.(16.1.1.3.23).Астраханское.Карбон.Р.С.Скважины.Прискважинное оборудование</t>
  </si>
  <si>
    <t>051-2001317.(16.1.1.1.25).Астраханское.Карбон.Р.С.Скважины.Прискважинное оборудование</t>
  </si>
  <si>
    <t>051-2001317.(16.1.1.2.25).Астраханское.Карбон.Р.С.Скважины.Прискважинное оборудование</t>
  </si>
  <si>
    <t>051-2001317.(16.1.1.3.25).Астраханское.Карбон.Р.С.Скважины.Прискважинное оборудование</t>
  </si>
  <si>
    <t>051-2001317.(16.2.2.1).Астраханское.Карбон.Р.Г.ГСС.ЗРА</t>
  </si>
  <si>
    <t>051-2001317.(16.3.1.1).Астраханское.Карбон.Р.П.УКПГ.Насосная</t>
  </si>
  <si>
    <t>051-2001317.(16.3.1.1).Астраханское.Карбон.Р.П.УКПГ.ЗРА</t>
  </si>
  <si>
    <t>051-2001317.(16.3.1.1).Астраханское.Карбон.Р.П.УКПГ.ЭСН</t>
  </si>
  <si>
    <t>051-2001317.(16.3.2.1).Астраханское.Карбон.Р.П.УКПГ.Сети водоснабжения и канализации</t>
  </si>
  <si>
    <t>051-2001317.(16.3.2.1).Астраханское.Карбон.Р.П.УКПГ.Насосная</t>
  </si>
  <si>
    <t>051-2001317.(16.3.2.1).Астраханское.Карбон.Р.П.УКПГ.ЗРА</t>
  </si>
  <si>
    <t>051-2001317.(16.3.2.1).Астраханское.Карбон.Р.П.УКПГ.ЭСН</t>
  </si>
  <si>
    <t>051-2001317.(16.6.1.1).Астраханское.Карбон.Р.П.Прочие.КТП</t>
  </si>
  <si>
    <t>051-2001317.(16.6.2.1).Астраханское.Карбон.Р.П.Прочие.КТП</t>
  </si>
  <si>
    <t>051-2001317.(16.6.1.3).Астраханское.Карбон.Р.П.Прочие.ЭХЗ</t>
  </si>
  <si>
    <t>051-2001317.(16.6.2.2).Астраханское.Карбон.Р.П.Прочие.ЭХЗ</t>
  </si>
  <si>
    <t>051-2001317.(16.3.1.1.25).Астраханское.Карбон.Р.П.УКПГ.Сети водоснабжения и канализации</t>
  </si>
  <si>
    <t>051-2004395.(16.1.6.2).Астраханское.Карбон.Т.С.Скважины.НКТ</t>
  </si>
  <si>
    <t>051-2004395.(16.1.6.2).Астраханское.Карбон.Т.С.Скважины.ПО</t>
  </si>
  <si>
    <t>051-2004395.(16.1.6.2).Астраханское.Карбон.Т.С.Скважины.ФА</t>
  </si>
  <si>
    <t>051-2000005.().Астраханское.Карбон.Т.С.Скважины.Прискважинное оборудование</t>
  </si>
  <si>
    <t>051-2002202.().Астраханское.Карбон.С.С.Скважины.Новые скважины</t>
  </si>
  <si>
    <t>051-2000010.().Астраханское.Карбон.С.С.Скважины.Новые скважины</t>
  </si>
  <si>
    <t>б/н.(1).Астраханское.Карбон.С.П.УКПГ.Здания и сооружения</t>
  </si>
  <si>
    <t>б/н.(2).Астраханское.Карбон.С.П.УКПГ.Здания и сооружения</t>
  </si>
  <si>
    <t>Иванов И.И.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</si>
</sst>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>
    <font>
      <sz val="10"/>
      <color rgb="FF000000"/>
      <name val="Arial"/>
      <scheme val="minor"/>
    </font>
    <font>
      <sz val="10"/>
      <color rgb="FF000000"/>
      <name val="Arial"/>
      <family val="2"/>
      <charset val="204"/>
      <scheme val="minor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theme="1"/>
      <name val="Times New Roman"/>
      <family val="1"/>
    </font>
    <font>
      <sz val="12"/>
      <color rgb="FF000000"/>
      <name val="Times New Roman"/>
      <family val="1"/>
      <charset val="204"/>
    </font>
    <font>
      <sz val="10"/>
      <color rgb="FF000000"/>
      <name val="Arial"/>
      <family val="2"/>
      <scheme val="minor"/>
    </font>
    <font>
      <sz val="12"/>
      <color rgb="FF000000"/>
      <name val="Arial"/>
      <family val="2"/>
      <charset val="204"/>
      <scheme val="minor"/>
    </font>
    <font>
      <b/>
      <sz val="12"/>
      <color rgb="FF000000"/>
      <name val="Arial"/>
      <family val="2"/>
      <scheme val="minor"/>
    </font>
    <font>
      <b/>
      <u/>
      <sz val="12"/>
      <color rgb="FF000000"/>
      <name val="Arial (Основной текст)"/>
      <charset val="204"/>
    </font>
    <font>
      <sz val="10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sz val="12"/>
      <color rgb="FF000000"/>
      <name val="Times New Roman"/>
      <family val="1"/>
      <charset val="1"/>
    </font>
    <font>
      <sz val="10"/>
      <color rgb="FF000000"/>
      <name val="Arial"/>
      <family val="2"/>
      <charset val="204"/>
      <scheme val="minor"/>
    </font>
    <font>
      <b/>
      <sz val="10"/>
      <color theme="1"/>
      <name val="Times New Roman"/>
      <family val="1"/>
      <charset val="1"/>
    </font>
    <font>
      <sz val="10"/>
      <color rgb="FF000000"/>
      <name val="Times New Roman"/>
      <family val="1"/>
      <charset val="1"/>
    </font>
    <font>
      <b/>
      <sz val="10"/>
      <color rgb="FF000000"/>
      <name val="Times New Roman"/>
      <family val="1"/>
      <charset val="1"/>
    </font>
    <font>
      <sz val="10"/>
      <color rgb="FF000000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b/>
      <vertAlign val="superscript"/>
      <sz val="10"/>
      <color theme="1"/>
      <name val="Times New Roman"/>
      <family val="1"/>
      <charset val="204"/>
    </font>
    <font>
      <sz val="10"/>
      <color theme="0" tint="-0.499984740745262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rgb="FFB3CEFB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rgb="FFD9E7FD"/>
      </patternFill>
    </fill>
    <fill>
      <patternFill patternType="solid">
        <fgColor rgb="FFFFFF00"/>
        <bgColor rgb="FFD9E7FD"/>
      </patternFill>
    </fill>
    <fill>
      <patternFill patternType="solid">
        <fgColor theme="7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6" fillId="0" borderId="0"/>
    <xf numFmtId="0" fontId="17" fillId="0" borderId="0"/>
    <xf numFmtId="0" fontId="13" fillId="0" borderId="0"/>
  </cellStyleXfs>
  <cellXfs count="71">
    <xf numFmtId="0" fontId="0" fillId="0" borderId="0" xfId="0"/>
    <xf numFmtId="0" fontId="7" fillId="0" borderId="0" xfId="2" applyFont="1" applyAlignment="1">
      <alignment wrapText="1"/>
    </xf>
    <xf numFmtId="0" fontId="8" fillId="0" borderId="0" xfId="2" applyFont="1" applyAlignment="1">
      <alignment horizontal="left" vertical="top" wrapText="1"/>
    </xf>
    <xf numFmtId="0" fontId="7" fillId="0" borderId="0" xfId="2" applyFont="1" applyAlignment="1">
      <alignment vertical="top" wrapText="1"/>
    </xf>
    <xf numFmtId="0" fontId="1" fillId="0" borderId="0" xfId="1"/>
    <xf numFmtId="0" fontId="11" fillId="3" borderId="1" xfId="1" applyFont="1" applyFill="1" applyBorder="1" applyAlignment="1">
      <alignment horizontal="center" vertical="center"/>
    </xf>
    <xf numFmtId="0" fontId="1" fillId="0" borderId="0" xfId="1" applyAlignment="1">
      <alignment wrapText="1"/>
    </xf>
    <xf numFmtId="0" fontId="1" fillId="0" borderId="0" xfId="1" applyAlignment="1">
      <alignment horizontal="center" vertical="center"/>
    </xf>
    <xf numFmtId="0" fontId="0" fillId="0" borderId="0" xfId="0" applyAlignment="1">
      <alignment wrapText="1"/>
    </xf>
    <xf numFmtId="0" fontId="5" fillId="0" borderId="0" xfId="2" applyFont="1" applyAlignment="1">
      <alignment horizontal="left" vertical="center" wrapText="1"/>
    </xf>
    <xf numFmtId="0" fontId="12" fillId="0" borderId="0" xfId="2" applyFont="1" applyAlignment="1">
      <alignment horizontal="left" vertical="center" wrapText="1"/>
    </xf>
    <xf numFmtId="0" fontId="10" fillId="0" borderId="0" xfId="1" applyFont="1" applyAlignment="1">
      <alignment horizontal="left" vertical="center" wrapText="1"/>
    </xf>
    <xf numFmtId="0" fontId="1" fillId="0" borderId="0" xfId="1" applyAlignment="1">
      <alignment horizontal="left" vertical="center" wrapText="1"/>
    </xf>
    <xf numFmtId="0" fontId="1" fillId="0" borderId="0" xfId="1" applyAlignment="1">
      <alignment horizontal="left" vertical="center"/>
    </xf>
    <xf numFmtId="0" fontId="11" fillId="3" borderId="1" xfId="1" applyFont="1" applyFill="1" applyBorder="1" applyAlignment="1">
      <alignment horizontal="left" vertical="center"/>
    </xf>
    <xf numFmtId="0" fontId="15" fillId="0" borderId="0" xfId="3" applyFont="1" applyAlignment="1">
      <alignment wrapText="1"/>
    </xf>
    <xf numFmtId="0" fontId="14" fillId="4" borderId="1" xfId="3" applyFont="1" applyFill="1" applyBorder="1" applyAlignment="1">
      <alignment horizontal="center" vertical="center" wrapText="1"/>
    </xf>
    <xf numFmtId="0" fontId="15" fillId="0" borderId="1" xfId="3" applyFont="1" applyBorder="1" applyAlignment="1">
      <alignment vertical="top" wrapText="1"/>
    </xf>
    <xf numFmtId="0" fontId="17" fillId="0" borderId="1" xfId="3" applyBorder="1" applyAlignment="1">
      <alignment wrapText="1"/>
    </xf>
    <xf numFmtId="0" fontId="16" fillId="0" borderId="0" xfId="3" applyFont="1" applyAlignment="1">
      <alignment horizontal="left" vertical="center"/>
    </xf>
    <xf numFmtId="0" fontId="15" fillId="5" borderId="1" xfId="3" applyFont="1" applyFill="1" applyBorder="1" applyAlignment="1">
      <alignment horizontal="left" vertical="top" wrapText="1"/>
    </xf>
    <xf numFmtId="0" fontId="17" fillId="5" borderId="1" xfId="3" applyFill="1" applyBorder="1" applyAlignment="1">
      <alignment wrapText="1"/>
    </xf>
    <xf numFmtId="0" fontId="3" fillId="0" borderId="0" xfId="0" applyFont="1" applyAlignment="1" applyProtection="1">
      <alignment wrapText="1"/>
      <protection locked="0"/>
    </xf>
    <xf numFmtId="0" fontId="2" fillId="0" borderId="0" xfId="0" applyFont="1" applyAlignment="1" applyProtection="1">
      <alignment vertical="top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2" fillId="0" borderId="1" xfId="0" applyFont="1" applyBorder="1" applyAlignment="1" applyProtection="1">
      <alignment horizontal="right" vertical="center" wrapText="1"/>
      <protection locked="0"/>
    </xf>
    <xf numFmtId="0" fontId="3" fillId="0" borderId="1" xfId="0" applyFont="1" applyBorder="1" applyAlignment="1" applyProtection="1">
      <alignment vertical="top" wrapText="1"/>
      <protection locked="0"/>
    </xf>
    <xf numFmtId="0" fontId="3" fillId="0" borderId="0" xfId="0" applyFont="1" applyAlignment="1" applyProtection="1">
      <alignment vertical="top" wrapText="1"/>
      <protection locked="0"/>
    </xf>
    <xf numFmtId="0" fontId="4" fillId="0" borderId="1" xfId="0" applyFont="1" applyBorder="1" applyAlignment="1" applyProtection="1">
      <alignment horizontal="right" vertical="center" wrapTex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16" fillId="0" borderId="1" xfId="0" applyFont="1" applyBorder="1" applyAlignment="1" applyProtection="1">
      <alignment horizontal="right" wrapText="1"/>
      <protection locked="0"/>
    </xf>
    <xf numFmtId="0" fontId="18" fillId="6" borderId="1" xfId="0" applyFont="1" applyFill="1" applyBorder="1" applyAlignment="1" applyProtection="1">
      <alignment horizontal="right"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right" vertical="center" wrapText="1"/>
      <protection locked="0"/>
    </xf>
    <xf numFmtId="0" fontId="20" fillId="7" borderId="9" xfId="0" applyFont="1" applyFill="1" applyBorder="1" applyAlignment="1" applyProtection="1">
      <alignment horizontal="right" vertical="center" wrapText="1"/>
      <protection locked="0"/>
    </xf>
    <xf numFmtId="0" fontId="20" fillId="7" borderId="1" xfId="0" applyFont="1" applyFill="1" applyBorder="1" applyAlignment="1" applyProtection="1">
      <alignment horizontal="left" vertical="center" wrapText="1"/>
      <protection locked="0"/>
    </xf>
    <xf numFmtId="0" fontId="5" fillId="0" borderId="0" xfId="2" applyFont="1" applyAlignment="1">
      <alignment vertical="top" wrapText="1"/>
    </xf>
    <xf numFmtId="0" fontId="3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15" fillId="0" borderId="0" xfId="0" applyFont="1" applyAlignment="1" applyProtection="1">
      <alignment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164" fontId="3" fillId="0" borderId="1" xfId="0" applyNumberFormat="1" applyFont="1" applyBorder="1" applyAlignment="1" applyProtection="1">
      <alignment horizontal="left" vertical="center" wrapText="1"/>
      <protection locked="0"/>
    </xf>
    <xf numFmtId="164" fontId="3" fillId="0" borderId="1" xfId="0" applyNumberFormat="1" applyFont="1" applyBorder="1" applyAlignment="1" applyProtection="1">
      <alignment horizontal="left" vertical="top" wrapText="1"/>
      <protection locked="0"/>
    </xf>
    <xf numFmtId="0" fontId="15" fillId="6" borderId="1" xfId="0" applyFont="1" applyFill="1" applyBorder="1" applyAlignment="1" applyProtection="1">
      <alignment vertical="center" wrapText="1"/>
      <protection locked="0"/>
    </xf>
    <xf numFmtId="0" fontId="14" fillId="0" borderId="1" xfId="0" applyFont="1" applyBorder="1" applyAlignment="1" applyProtection="1">
      <alignment horizontal="right" wrapText="1"/>
      <protection locked="0"/>
    </xf>
    <xf numFmtId="0" fontId="23" fillId="0" borderId="1" xfId="0" applyFont="1" applyBorder="1" applyAlignment="1" applyProtection="1">
      <alignment horizontal="right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4" fillId="2" borderId="3" xfId="0" applyFont="1" applyFill="1" applyBorder="1" applyAlignment="1" applyProtection="1">
      <alignment horizontal="center" vertical="center" wrapText="1"/>
      <protection locked="0"/>
    </xf>
    <xf numFmtId="0" fontId="4" fillId="2" borderId="4" xfId="0" applyFont="1" applyFill="1" applyBorder="1" applyAlignment="1" applyProtection="1">
      <alignment horizontal="center" vertical="center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  <protection locked="0"/>
    </xf>
    <xf numFmtId="14" fontId="3" fillId="0" borderId="1" xfId="0" applyNumberFormat="1" applyFont="1" applyBorder="1" applyAlignment="1" applyProtection="1">
      <alignment vertical="top" wrapText="1"/>
      <protection locked="0"/>
    </xf>
    <xf numFmtId="0" fontId="3" fillId="9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7" fillId="0" borderId="0" xfId="2" applyFont="1" applyAlignment="1">
      <alignment horizontal="left" vertical="top" wrapText="1"/>
    </xf>
    <xf numFmtId="0" fontId="20" fillId="8" borderId="10" xfId="0" applyFont="1" applyFill="1" applyBorder="1" applyAlignment="1" applyProtection="1">
      <alignment horizontal="center" vertical="center" wrapText="1"/>
      <protection locked="0"/>
    </xf>
    <xf numFmtId="0" fontId="20" fillId="8" borderId="11" xfId="0" applyFont="1" applyFill="1" applyBorder="1" applyAlignment="1" applyProtection="1">
      <alignment horizontal="center" vertical="center" wrapText="1"/>
      <protection locked="0"/>
    </xf>
    <xf numFmtId="0" fontId="20" fillId="8" borderId="12" xfId="0" applyFont="1" applyFill="1" applyBorder="1" applyAlignment="1" applyProtection="1">
      <alignment horizontal="center" vertical="center" wrapText="1"/>
      <protection locked="0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 applyAlignment="1" applyProtection="1">
      <alignment horizontal="center" vertical="center" wrapText="1"/>
      <protection locked="0"/>
    </xf>
    <xf numFmtId="0" fontId="4" fillId="2" borderId="8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 applyProtection="1">
      <alignment horizontal="center" vertical="center" wrapText="1"/>
      <protection locked="0"/>
    </xf>
    <xf numFmtId="0" fontId="4" fillId="2" borderId="4" xfId="0" applyFont="1" applyFill="1" applyBorder="1" applyAlignment="1" applyProtection="1">
      <alignment horizontal="center" vertical="center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  <protection locked="0"/>
    </xf>
    <xf numFmtId="0" fontId="4" fillId="6" borderId="6" xfId="0" applyFont="1" applyFill="1" applyBorder="1" applyAlignment="1" applyProtection="1">
      <alignment horizontal="center" vertical="center" wrapText="1"/>
      <protection locked="0"/>
    </xf>
    <xf numFmtId="0" fontId="4" fillId="6" borderId="7" xfId="0" applyFont="1" applyFill="1" applyBorder="1" applyAlignment="1" applyProtection="1">
      <alignment horizontal="center" vertical="center" wrapText="1"/>
      <protection locked="0"/>
    </xf>
    <xf numFmtId="0" fontId="4" fillId="6" borderId="8" xfId="0" applyFont="1" applyFill="1" applyBorder="1" applyAlignment="1" applyProtection="1">
      <alignment horizontal="center" vertical="center" wrapText="1"/>
      <protection locked="0"/>
    </xf>
    <xf numFmtId="0" fontId="14" fillId="4" borderId="1" xfId="3" applyFont="1" applyFill="1" applyBorder="1" applyAlignment="1">
      <alignment horizontal="center" vertical="center" wrapText="1"/>
    </xf>
  </cellXfs>
  <cellStyles count="5">
    <cellStyle name="Обычный" xfId="0" builtinId="0"/>
    <cellStyle name="Обычный 2" xfId="1" xr:uid="{00000000-0005-0000-0000-000001000000}"/>
    <cellStyle name="Обычный 2 2" xfId="2" xr:uid="{00000000-0005-0000-0000-000002000000}"/>
    <cellStyle name="Обычный 3" xfId="3" xr:uid="{00000000-0005-0000-0000-000003000000}"/>
    <cellStyle name="Обычный 5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45721</xdr:colOff>
      <xdr:row>0</xdr:row>
      <xdr:rowOff>38101</xdr:rowOff>
    </xdr:from>
    <xdr:to>
      <xdr:col>1</xdr:col>
      <xdr:colOff>259080</xdr:colOff>
      <xdr:row>5</xdr:row>
      <xdr:rowOff>187030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7F2D2B81-0336-894A-AC3D-0CFD38455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1" y="38101"/>
          <a:ext cx="4899659" cy="1491954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>
    <xdr:from>
      <xdr:col>1</xdr:col>
      <xdr:colOff>281942</xdr:colOff>
      <xdr:row>3</xdr:row>
      <xdr:rowOff>190500</xdr:rowOff>
    </xdr:from>
    <xdr:to>
      <xdr:col>2</xdr:col>
      <xdr:colOff>622300</xdr:colOff>
      <xdr:row>3</xdr:row>
      <xdr:rowOff>199391</xdr:rowOff>
    </xdr:to>
    <xdr:cxnSp macro="">
      <xdr:nvCxnSpPr>
        <xdr:cNvPr id="3" name="Прямая со стрелкой 2">
          <a:extLst>
            <a:ext uri="{FF2B5EF4-FFF2-40B4-BE49-F238E27FC236}">
              <a16:creationId xmlns:a16="http://schemas.microsoft.com/office/drawing/2014/main" id="{CE301CC9-10F5-CF43-8CAB-393AABC52E69}"/>
            </a:ext>
          </a:extLst>
        </xdr:cNvPr>
        <xdr:cNvCxnSpPr/>
      </xdr:nvCxnSpPr>
      <xdr:spPr>
        <a:xfrm flipH="1">
          <a:off x="4968242" y="771525"/>
          <a:ext cx="902333" cy="8891"/>
        </a:xfrm>
        <a:prstGeom prst="straightConnector1">
          <a:avLst/>
        </a:prstGeom>
        <a:ln>
          <a:tailEnd type="stealth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45720</xdr:colOff>
      <xdr:row>7</xdr:row>
      <xdr:rowOff>1</xdr:rowOff>
    </xdr:from>
    <xdr:to>
      <xdr:col>2</xdr:col>
      <xdr:colOff>552450</xdr:colOff>
      <xdr:row>9</xdr:row>
      <xdr:rowOff>617523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ED5CFC5F-2B72-4046-9235-265CB005D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" y="1724026"/>
          <a:ext cx="5783580" cy="1379522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>
    <xdr:from>
      <xdr:col>0</xdr:col>
      <xdr:colOff>4352927</xdr:colOff>
      <xdr:row>7</xdr:row>
      <xdr:rowOff>127000</xdr:rowOff>
    </xdr:from>
    <xdr:to>
      <xdr:col>2</xdr:col>
      <xdr:colOff>647700</xdr:colOff>
      <xdr:row>9</xdr:row>
      <xdr:rowOff>209552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308C170A-95C2-9049-A3E1-4273D4E560C9}"/>
            </a:ext>
          </a:extLst>
        </xdr:cNvPr>
        <xdr:cNvCxnSpPr/>
      </xdr:nvCxnSpPr>
      <xdr:spPr>
        <a:xfrm flipH="1">
          <a:off x="4352927" y="1851025"/>
          <a:ext cx="1514473" cy="844552"/>
        </a:xfrm>
        <a:prstGeom prst="straightConnector1">
          <a:avLst/>
        </a:prstGeom>
        <a:ln>
          <a:tailEnd type="stealth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330200</xdr:colOff>
      <xdr:row>9</xdr:row>
      <xdr:rowOff>190500</xdr:rowOff>
    </xdr:from>
    <xdr:to>
      <xdr:col>2</xdr:col>
      <xdr:colOff>622300</xdr:colOff>
      <xdr:row>9</xdr:row>
      <xdr:rowOff>190500</xdr:rowOff>
    </xdr:to>
    <xdr:cxnSp macro="">
      <xdr:nvCxnSpPr>
        <xdr:cNvPr id="6" name="Прямая со стрелкой 5">
          <a:extLst>
            <a:ext uri="{FF2B5EF4-FFF2-40B4-BE49-F238E27FC236}">
              <a16:creationId xmlns:a16="http://schemas.microsoft.com/office/drawing/2014/main" id="{0E1FB325-714C-2443-A1BC-3B69043B6C07}"/>
            </a:ext>
          </a:extLst>
        </xdr:cNvPr>
        <xdr:cNvCxnSpPr/>
      </xdr:nvCxnSpPr>
      <xdr:spPr>
        <a:xfrm flipH="1">
          <a:off x="5016500" y="2676525"/>
          <a:ext cx="854075" cy="0"/>
        </a:xfrm>
        <a:prstGeom prst="straightConnector1">
          <a:avLst/>
        </a:prstGeom>
        <a:ln>
          <a:tailEnd type="stealth" w="lg" len="lg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1076325</xdr:colOff>
      <xdr:row>5</xdr:row>
      <xdr:rowOff>9525</xdr:rowOff>
    </xdr:from>
    <xdr:to>
      <xdr:col>5</xdr:col>
      <xdr:colOff>0</xdr:colOff>
      <xdr:row>8</xdr:row>
      <xdr:rowOff>38100</xdr:rowOff>
    </xdr:to>
    <xdr:sp macro="[0]!Лист2.HideColumnsBasedOnSelec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943850" y="1323975"/>
          <a:ext cx="1790700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7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 шаблон </a:t>
          </a:r>
          <a:r>
            <a:rPr lang="ru-RU" sz="17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ФСД</a:t>
          </a:r>
          <a:endParaRPr lang="ru-RU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1095375</xdr:colOff>
      <xdr:row>8</xdr:row>
      <xdr:rowOff>190500</xdr:rowOff>
    </xdr:from>
    <xdr:to>
      <xdr:col>5</xdr:col>
      <xdr:colOff>0</xdr:colOff>
      <xdr:row>11</xdr:row>
      <xdr:rowOff>38100</xdr:rowOff>
    </xdr:to>
    <xdr:sp macro="[0]!Лист1.ClearHiddenColumnsFromRow17AndSave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966982" y="2136321"/>
          <a:ext cx="2877911" cy="7048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7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 </a:t>
          </a:r>
          <a:r>
            <a:rPr lang="ru-RU" sz="17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ФСД</a:t>
          </a:r>
          <a:endParaRPr lang="ru-RU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lads/Desktop/&#1059;&#1095;&#1077;&#1073;&#1072;%20&#1080;%20&#1056;&#1072;&#1073;&#1086;&#1090;&#1072;/&#1056;&#1072;&#1073;&#1086;&#1090;&#1072;/&#1042;&#1085;&#1080;&#1080;&#1075;&#1072;&#1079;/&#1052;&#1086;&#1076;&#1091;&#1083;&#1100;_&#1101;&#1082;&#1086;&#1085;&#1086;&#1084;&#1080;&#1082;&#1072;/&#1069;&#1082;&#1086;&#1085;&#1060;&#1057;&#1044;/&#1053;&#1086;&#1074;&#1099;&#1077;%20&#1060;&#1057;&#1044;/&#1058;&#1077;&#1089;&#1090;&#1086;&#1074;&#1099;&#1081;%205.1_&#1060;&#1057;&#1044;_&#1084;&#1072;&#1082;&#1089;_&#1089;&#1091;&#1090;_&#1050;&#1055;&#105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"/>
      <sheetName val="ФСД-5.мероприятия"/>
      <sheetName val="ФСД-5 Макс. суточная добыча"/>
      <sheetName val="Справочник"/>
    </sheetNames>
    <sheetDataSet>
      <sheetData sheetId="0"/>
      <sheetData sheetId="1"/>
      <sheetData sheetId="2"/>
      <sheetData sheetId="3">
        <row r="5">
          <cell r="O5" t="str">
            <v>Флажок 1</v>
          </cell>
          <cell r="P5" t="str">
            <v>Флажок 2</v>
          </cell>
          <cell r="Q5" t="str">
            <v>Флажок 3</v>
          </cell>
          <cell r="R5" t="str">
            <v>Флажок 4</v>
          </cell>
          <cell r="S5" t="str">
            <v>Краткое наименование мероприятия</v>
          </cell>
        </row>
        <row r="6">
          <cell r="O6" t="str">
            <v>051-200131716.1.1.5Прискважинное оборудование</v>
          </cell>
          <cell r="P6" t="str">
            <v>051-2001317</v>
          </cell>
          <cell r="Q6" t="str">
            <v>16.1.1.5</v>
          </cell>
          <cell r="R6" t="str">
            <v>Прискважинное оборудование</v>
          </cell>
          <cell r="S6" t="str">
            <v>051-2001317.(16.1.1.5).Астраханское.Карбон.Р.С.Скважины.Прискважинное оборудование</v>
          </cell>
          <cell r="W6" t="str">
            <v>051-2001317</v>
          </cell>
          <cell r="X6" t="str">
            <v>Реконструкция промысловых объектов ООО "Астраханьгазпром"</v>
          </cell>
          <cell r="Y6" t="str">
            <v>036-20010435.2.2В.1.2</v>
          </cell>
          <cell r="Z6" t="str">
            <v>036-2001043</v>
          </cell>
          <cell r="AA6" t="str">
            <v>5.2.2В.1.2</v>
          </cell>
          <cell r="AB6" t="str">
            <v>Раздельно-групповое переподключение газосборных коллекторов с различными параметрами УКПГ-2В (ГСС). I этап</v>
          </cell>
        </row>
        <row r="7">
          <cell r="O7" t="str">
            <v>051-200131716.1.1.7Прискважинное оборудование</v>
          </cell>
          <cell r="P7" t="str">
            <v>051-2001317</v>
          </cell>
          <cell r="Q7" t="str">
            <v>16.1.1.7</v>
          </cell>
          <cell r="R7" t="str">
            <v>Прискважинное оборудование</v>
          </cell>
          <cell r="S7" t="str">
            <v>051-2001317.(16.1.1.7).Астраханское.Карбон.Р.С.Скважины.Прискважинное оборудование</v>
          </cell>
          <cell r="W7" t="str">
            <v>051-2000006</v>
          </cell>
          <cell r="X7" t="str">
            <v>Реконструкция эксплуатационных скважин Астраханского газоконденсатного месторождения с боковой зарезкой стволов</v>
          </cell>
          <cell r="Y7" t="str">
            <v>036-20010435.2.2В.1.3</v>
          </cell>
          <cell r="Z7" t="str">
            <v>036-2001043</v>
          </cell>
          <cell r="AA7" t="str">
            <v>5.2.2В.1.3</v>
          </cell>
          <cell r="AB7" t="str">
            <v>Раздельно-групповое переподключение газосборных коллекторов с различными параметрами УКПГ-2В (ГСС). II этап</v>
          </cell>
        </row>
        <row r="8">
          <cell r="O8" t="str">
            <v>051-200131716.1.1.8Прискважинное оборудование</v>
          </cell>
          <cell r="P8" t="str">
            <v>051-2001317</v>
          </cell>
          <cell r="Q8" t="str">
            <v>16.1.1.8</v>
          </cell>
          <cell r="R8" t="str">
            <v>Прискважинное оборудование</v>
          </cell>
          <cell r="S8" t="str">
            <v>051-2001317.(16.1.1.8).Астраханское.Карбон.Р.С.Скважины.Прискважинное оборудование</v>
          </cell>
          <cell r="W8" t="str">
            <v>051-2004395</v>
          </cell>
          <cell r="X8" t="str">
            <v>Техническое перевооружение фонда скважин АГКМ</v>
          </cell>
          <cell r="Y8" t="str">
            <v>036-20010435.2.2В.1.4</v>
          </cell>
          <cell r="Z8" t="str">
            <v>036-2001043</v>
          </cell>
          <cell r="AA8" t="str">
            <v>5.2.2В.1.4</v>
          </cell>
          <cell r="AB8" t="str">
            <v>Раздельно-групповое переподключение газосборных коллекторов с различными параметрами УКПГ-2В (ГСС).  III этап</v>
          </cell>
        </row>
        <row r="9">
          <cell r="O9" t="str">
            <v>051-200131716.1.1.20Прискважинное оборудование</v>
          </cell>
          <cell r="P9" t="str">
            <v>051-2001317</v>
          </cell>
          <cell r="Q9" t="str">
            <v>16.1.1.20</v>
          </cell>
          <cell r="R9" t="str">
            <v>Прискважинное оборудование</v>
          </cell>
          <cell r="S9" t="str">
            <v>051-2001317.(16.1.1.20).Астраханское.Карбон.Р.С.Скважины.Прискважинное оборудование</v>
          </cell>
          <cell r="W9" t="str">
            <v>051-2000010</v>
          </cell>
          <cell r="X9" t="str">
            <v>Подключение дополнительных скважин к существующим мощностям I и II очередей АГКМ (этап 3)</v>
          </cell>
          <cell r="Y9" t="str">
            <v>036-20010435.2.2В.1.5</v>
          </cell>
          <cell r="Z9" t="str">
            <v>036-2001043</v>
          </cell>
          <cell r="AA9" t="str">
            <v>5.2.2В.1.5</v>
          </cell>
          <cell r="AB9" t="str">
            <v>Раздельно-групповое переподключение газосборных коллекторов с различными параметрами УКПГ-2В (ГСС).  IV этап</v>
          </cell>
        </row>
        <row r="10">
          <cell r="O10" t="str">
            <v>051-200131716.1.1.18Прискважинное оборудование</v>
          </cell>
          <cell r="P10" t="str">
            <v>051-2001317</v>
          </cell>
          <cell r="Q10" t="str">
            <v>16.1.1.18</v>
          </cell>
          <cell r="R10" t="str">
            <v>Прискважинное оборудование</v>
          </cell>
          <cell r="S10" t="str">
            <v>051-2001317.(16.1.1.18).Астраханское.Карбон.Р.С.Скважины.Прискважинное оборудование</v>
          </cell>
          <cell r="W10" t="str">
            <v>051-3000010</v>
          </cell>
          <cell r="X10" t="str">
            <v>Бурение эксплуатационное на м/р. Подключение дополнительных скважин к существующим мощностям I и II очередей Астраханского газоконденсатного месторождения (этап 3)</v>
          </cell>
          <cell r="Y10" t="str">
            <v>036-20010435.2.5В.1.6</v>
          </cell>
          <cell r="Z10" t="str">
            <v>036-2001043</v>
          </cell>
          <cell r="AA10" t="str">
            <v>5.2.5В.1.6</v>
          </cell>
          <cell r="AB10" t="str">
            <v>Раздельно-групповое переподключение газосборных коллекторов с различными параметрами УКПГ-5В (ГСС).  I этап</v>
          </cell>
        </row>
        <row r="11">
          <cell r="O11" t="str">
            <v>051-200131716.1.1.10Прискважинное оборудование</v>
          </cell>
          <cell r="P11" t="str">
            <v>051-2001317</v>
          </cell>
          <cell r="Q11" t="str">
            <v>16.1.1.10</v>
          </cell>
          <cell r="R11" t="str">
            <v>Прискважинное оборудование</v>
          </cell>
          <cell r="S11" t="str">
            <v>051-2001317.(16.1.1.10).Астраханское.Карбон.Р.С.Скважины.Прискважинное оборудование</v>
          </cell>
          <cell r="W11" t="str">
            <v>001-2002202</v>
          </cell>
          <cell r="X11" t="str">
            <v>Подключение дополнительных скважин к существующим мощностям I и II очередей АГКМ (этап 2)</v>
          </cell>
          <cell r="Y11" t="str">
            <v>036-20010435.2.5В.1.2</v>
          </cell>
          <cell r="Z11" t="str">
            <v>036-2001043</v>
          </cell>
          <cell r="AA11" t="str">
            <v>5.2.5В.1.2</v>
          </cell>
          <cell r="AB11" t="str">
            <v>Раздельно-групповое переподключение газосборных коллекторов с различными параметрами УКПГ-5В (ГСС).  II этап</v>
          </cell>
        </row>
        <row r="12">
          <cell r="O12" t="str">
            <v>051-200131716.1.2.16Прискважинное оборудование</v>
          </cell>
          <cell r="P12" t="str">
            <v>051-2001317</v>
          </cell>
          <cell r="Q12" t="str">
            <v>16.1.2.16</v>
          </cell>
          <cell r="R12" t="str">
            <v>Прискважинное оборудование</v>
          </cell>
          <cell r="S12" t="str">
            <v>051-2001317.(16.1.2.16).Астраханское.Карбон.Р.С.Скважины.Прискважинное оборудование</v>
          </cell>
          <cell r="W12" t="str">
            <v>051-2002202</v>
          </cell>
          <cell r="X12" t="str">
            <v>Подключение дополнительных скважин к существующим мощностям I и II очередей АГКМ (этап 2)</v>
          </cell>
          <cell r="Y12" t="str">
            <v>036-20010435.2.5В.1.3</v>
          </cell>
          <cell r="Z12" t="str">
            <v>036-2001043</v>
          </cell>
          <cell r="AA12" t="str">
            <v>5.2.5В.1.3</v>
          </cell>
          <cell r="AB12" t="str">
            <v>Раздельно-групповое переподключение газосборных коллекторов с различными параметрами УКПГ-5В (ГСС).  II этап</v>
          </cell>
        </row>
        <row r="13">
          <cell r="O13" t="str">
            <v>051-200131716.1.2.17Прискважинное оборудование</v>
          </cell>
          <cell r="P13" t="str">
            <v>051-2001317</v>
          </cell>
          <cell r="Q13" t="str">
            <v>16.1.2.17</v>
          </cell>
          <cell r="R13" t="str">
            <v>Прискважинное оборудование</v>
          </cell>
          <cell r="S13" t="str">
            <v>051-2001317.(16.1.2.17).Астраханское.Карбон.Р.С.Скважины.Прискважинное оборудование</v>
          </cell>
          <cell r="W13" t="str">
            <v>051-3002202</v>
          </cell>
          <cell r="X13" t="str">
            <v>Бурение эксплуатационное на м/р. Подключение дополнительных скважин к существующим мощностям I и II очередей АГКМ (этап 2)</v>
          </cell>
          <cell r="Y13" t="str">
            <v>036-20010434.2.0.2</v>
          </cell>
          <cell r="Z13" t="str">
            <v>036-2001043</v>
          </cell>
          <cell r="AA13" t="str">
            <v>4.2.0.2</v>
          </cell>
          <cell r="AB13" t="str">
            <v>Система технологической связи. Диспетчерская связь</v>
          </cell>
        </row>
        <row r="14">
          <cell r="O14" t="str">
            <v>051-200131716.1.2.6Прискважинное оборудование</v>
          </cell>
          <cell r="P14" t="str">
            <v>051-2001317</v>
          </cell>
          <cell r="Q14" t="str">
            <v>16.1.2.6</v>
          </cell>
          <cell r="R14" t="str">
            <v>Прискважинное оборудование</v>
          </cell>
          <cell r="S14" t="str">
            <v>051-2001317.(16.1.2.6).Астраханское.Карбон.Р.С.Скважины.Прискважинное оборудование</v>
          </cell>
          <cell r="W14" t="str">
            <v>051-3003732</v>
          </cell>
          <cell r="X14" t="str">
            <v>Бурение эксплуатационное на м/р. Бурение технологических скважин</v>
          </cell>
          <cell r="Y14" t="str">
            <v>036-20010434.2.0.1.3</v>
          </cell>
          <cell r="Z14" t="str">
            <v>036-2001043</v>
          </cell>
          <cell r="AA14" t="str">
            <v>4.2.0.1.3</v>
          </cell>
          <cell r="AB14" t="str">
            <v>Система технологической связи. Производственная громкоговорящая связь</v>
          </cell>
        </row>
        <row r="15">
          <cell r="O15" t="str">
            <v>051-200131716.1.2.11Прискважинное оборудование</v>
          </cell>
          <cell r="P15" t="str">
            <v>051-2001317</v>
          </cell>
          <cell r="Q15" t="str">
            <v>16.1.2.11</v>
          </cell>
          <cell r="R15" t="str">
            <v>Прискважинное оборудование</v>
          </cell>
          <cell r="S15" t="str">
            <v>051-2001317.(16.1.2.11).Астраханское.Карбон.Р.С.Скважины.Прискважинное оборудование</v>
          </cell>
          <cell r="W15" t="str">
            <v>051-2004715</v>
          </cell>
          <cell r="X15" t="str">
            <v>Опытный полигон для отработки технологии обратной закачки на разбуренной части АГКМ</v>
          </cell>
          <cell r="Y15" t="str">
            <v>036-20010434.2.0.1.4</v>
          </cell>
          <cell r="Z15" t="str">
            <v>036-2001043</v>
          </cell>
          <cell r="AA15" t="str">
            <v>4.2.0.1.4</v>
          </cell>
          <cell r="AB15" t="str">
            <v>Системы технологической связи. Радиорелейные линии связи</v>
          </cell>
        </row>
        <row r="16">
          <cell r="O16" t="str">
            <v>051-200131716.1.2.15Прискважинное оборудование</v>
          </cell>
          <cell r="P16" t="str">
            <v>051-2001317</v>
          </cell>
          <cell r="Q16" t="str">
            <v>16.1.2.15</v>
          </cell>
          <cell r="R16" t="str">
            <v>Прискважинное оборудование</v>
          </cell>
          <cell r="S16" t="str">
            <v>051-2001317.(16.1.2.15).Астраханское.Карбон.Р.С.Скважины.Прискважинное оборудование</v>
          </cell>
          <cell r="W16" t="str">
            <v>051-2000005</v>
          </cell>
          <cell r="X16" t="str">
            <v>Техническое перевооружение фонда скважин АГКМ (Модернизация морально и физически устаревшего оборудования обвязки устья скважин АГКМ (этап 2)</v>
          </cell>
          <cell r="Y16" t="str">
            <v>036-20010434.2.0.1.5</v>
          </cell>
          <cell r="Z16" t="str">
            <v>036-2001043</v>
          </cell>
          <cell r="AA16" t="str">
            <v>4.2.0.1.5</v>
          </cell>
          <cell r="AB16" t="str">
            <v>Системы технологической связи. Радиорелейные линии связи</v>
          </cell>
        </row>
        <row r="17">
          <cell r="O17" t="str">
            <v>051-200131716.1.2.8Прискважинное оборудование</v>
          </cell>
          <cell r="P17" t="str">
            <v>051-2001317</v>
          </cell>
          <cell r="Q17" t="str">
            <v>16.1.2.8</v>
          </cell>
          <cell r="R17" t="str">
            <v>Прискважинное оборудование</v>
          </cell>
          <cell r="S17" t="str">
            <v>051-2001317.(16.1.2.8).Астраханское.Карбон.Р.С.Скважины.Прискважинное оборудование</v>
          </cell>
          <cell r="W17" t="str">
            <v>051-2000737</v>
          </cell>
          <cell r="X17" t="str">
            <v>Обустройство Бейсугского месторождения</v>
          </cell>
          <cell r="Y17" t="str">
            <v>036-20010434.6.1А.1</v>
          </cell>
          <cell r="Z17" t="str">
            <v>036-2001043</v>
          </cell>
          <cell r="AA17" t="str">
            <v>4.6.1А.1</v>
          </cell>
          <cell r="AB17" t="str">
            <v>Системы электро-, тепло-, водоснабжения объектов ГКП-1А (1).</v>
          </cell>
        </row>
        <row r="18">
          <cell r="O18" t="str">
            <v>051-200131716.1.1.21Прискважинное оборудование</v>
          </cell>
          <cell r="P18" t="str">
            <v>051-2001317</v>
          </cell>
          <cell r="Q18" t="str">
            <v>16.1.1.21</v>
          </cell>
          <cell r="R18" t="str">
            <v>Прискважинное оборудование</v>
          </cell>
          <cell r="S18" t="str">
            <v>051-2001317.(16.1.1.21).Астраханское.Карбон.Р.С.Скважины.Прискважинное оборудование</v>
          </cell>
          <cell r="W18" t="str">
            <v>051-3000737</v>
          </cell>
          <cell r="X18" t="str">
            <v>Эксплуатационное бурение. Бейсугское газовое месторождение</v>
          </cell>
          <cell r="Y18" t="str">
            <v>036-20010434.6.1А.2</v>
          </cell>
          <cell r="Z18" t="str">
            <v>036-2001043</v>
          </cell>
          <cell r="AA18" t="str">
            <v>4.6.1А.2</v>
          </cell>
          <cell r="AB18" t="str">
            <v>Системы электро-, тепло-, водоснабжения объектов ГКП-1А (2).</v>
          </cell>
        </row>
        <row r="19">
          <cell r="O19" t="str">
            <v>051-200131716.1.2.12Прискважинное оборудование</v>
          </cell>
          <cell r="P19" t="str">
            <v>051-2001317</v>
          </cell>
          <cell r="Q19" t="str">
            <v>16.1.2.12</v>
          </cell>
          <cell r="R19" t="str">
            <v>Прискважинное оборудование</v>
          </cell>
          <cell r="S19" t="str">
            <v>051-2001317.(16.1.2.12).Астраханское.Карбон.Р.С.Скважины.Прискважинное оборудование</v>
          </cell>
          <cell r="W19" t="str">
            <v>051-2004681</v>
          </cell>
          <cell r="X19" t="str">
            <v>Реконструкция ФА и технологических трубопроводов с установкой средств коррозионного мониторинга объектов на Бованенковском НГКМ</v>
          </cell>
          <cell r="Y19" t="str">
            <v>036-20010434.6.5.1</v>
          </cell>
          <cell r="Z19" t="str">
            <v>036-2001043</v>
          </cell>
          <cell r="AA19" t="str">
            <v>4.6.5.1</v>
          </cell>
          <cell r="AB19" t="str">
            <v>Системы электро-, тепло-, водоснабжения объектов ГКП-5.</v>
          </cell>
        </row>
        <row r="20">
          <cell r="O20" t="str">
            <v>051-200131716.1.2.18Прискважинное оборудование</v>
          </cell>
          <cell r="P20" t="str">
            <v>051-2001317</v>
          </cell>
          <cell r="Q20" t="str">
            <v>16.1.2.18</v>
          </cell>
          <cell r="R20" t="str">
            <v>Прискважинное оборудование</v>
          </cell>
          <cell r="S20" t="str">
            <v>051-2001317.(16.1.2.18).Астраханское.Карбон.Р.С.Скважины.Прискважинное оборудование</v>
          </cell>
          <cell r="W20" t="str">
            <v>051-2005706</v>
          </cell>
          <cell r="X20" t="str">
            <v>Модернизация системы водоподготовки котельной "Сермет" на промбазе  ГП-1 Бованековского НГКМ</v>
          </cell>
          <cell r="Y20" t="str">
            <v>036-20010434.6.5.2</v>
          </cell>
          <cell r="Z20" t="str">
            <v>036-2001043</v>
          </cell>
          <cell r="AA20" t="str">
            <v>4.6.5.2</v>
          </cell>
          <cell r="AB20" t="str">
            <v>Системы электро-, тепло-, водоснабжения объектов ГКП-5 (2).</v>
          </cell>
        </row>
        <row r="21">
          <cell r="O21" t="str">
            <v>051-200131716.1.2.19Прискважинное оборудование</v>
          </cell>
          <cell r="P21" t="str">
            <v>051-2001317</v>
          </cell>
          <cell r="Q21" t="str">
            <v>16.1.2.19</v>
          </cell>
          <cell r="R21" t="str">
            <v>Прискважинное оборудование</v>
          </cell>
          <cell r="S21" t="str">
            <v>051-2001317.(16.1.2.19).Астраханское.Карбон.Р.С.Скважины.Прискважинное оборудование</v>
          </cell>
          <cell r="W21" t="str">
            <v>051-2005692</v>
          </cell>
          <cell r="X21" t="str">
            <v>Техническое перевооружение газоперекачивающих агрегатов на ДКС (1 очередь) ГП-1 Бованенковского НГКМ (замена ГТУ)</v>
          </cell>
          <cell r="Y21" t="str">
            <v>036-20010434.6.8.1</v>
          </cell>
          <cell r="Z21" t="str">
            <v>036-2001043</v>
          </cell>
          <cell r="AA21" t="str">
            <v>4.6.8.1</v>
          </cell>
          <cell r="AB21" t="str">
            <v>Системы электро-, тепло-, водоснабжения объектов ГКП-8.</v>
          </cell>
        </row>
        <row r="22">
          <cell r="O22" t="str">
            <v>051-200131716.1.1.16Прискважинное оборудование</v>
          </cell>
          <cell r="P22" t="str">
            <v>051-2001317</v>
          </cell>
          <cell r="Q22" t="str">
            <v>16.1.1.16</v>
          </cell>
          <cell r="R22" t="str">
            <v>Прискважинное оборудование</v>
          </cell>
          <cell r="S22" t="str">
            <v>051-2001317.(16.1.1.16).Астраханское.Карбон.Р.С.Скважины.Прискважинное оборудование</v>
          </cell>
          <cell r="W22" t="str">
            <v>051-2006188</v>
          </cell>
          <cell r="X22" t="str">
            <v>Техническое перевооружение наблюдательных скважин №№ 5600, 6100, 6400, 6800 УКПГ-1 Бованенковского НГКМ</v>
          </cell>
          <cell r="Y22" t="str">
            <v>036-20010434.6.8.2</v>
          </cell>
          <cell r="Z22" t="str">
            <v>036-2001043</v>
          </cell>
          <cell r="AA22" t="str">
            <v>4.6.8.2</v>
          </cell>
          <cell r="AB22" t="str">
            <v>Системы электро-, тепло-, водоснабжения объектов ГКП-8 (2)</v>
          </cell>
        </row>
        <row r="23">
          <cell r="O23" t="str">
            <v>051-200131716.1.2.1.23Прискважинное оборудование</v>
          </cell>
          <cell r="P23" t="str">
            <v>051-2001317</v>
          </cell>
          <cell r="Q23" t="str">
            <v>16.1.2.1.23</v>
          </cell>
          <cell r="R23" t="str">
            <v>Прискважинное оборудование</v>
          </cell>
          <cell r="S23" t="str">
            <v>051-2001317.(16.1.2.1.23).Астраханское.Карбон.Р.С.Скважины.Прискважинное оборудование</v>
          </cell>
          <cell r="W23" t="str">
            <v>051-2006513</v>
          </cell>
          <cell r="X23" t="str">
            <v>Техническое перевооружение ГПА ДКС (2 и 3 очередей) ГП-1, ГП-2 Бованенковского НГКМ (замена СПЧ)</v>
          </cell>
          <cell r="Y23" t="str">
            <v>036-20010434.6.8.3</v>
          </cell>
          <cell r="Z23" t="str">
            <v>036-2001043</v>
          </cell>
          <cell r="AA23" t="str">
            <v>4.6.8.3</v>
          </cell>
          <cell r="AB23" t="str">
            <v>Системы электро-, тепло-, водоснабжения объектов ГКП-8 (3)</v>
          </cell>
        </row>
        <row r="24">
          <cell r="O24" t="str">
            <v>051-200131716.1.1.1.23Прискважинное оборудование</v>
          </cell>
          <cell r="P24" t="str">
            <v>051-2001317</v>
          </cell>
          <cell r="Q24" t="str">
            <v>16.1.1.1.23</v>
          </cell>
          <cell r="R24" t="str">
            <v>Прискважинное оборудование</v>
          </cell>
          <cell r="S24" t="str">
            <v>051-2001317.(16.1.1.1.23).Астраханское.Карбон.Р.С.Скважины.Прискважинное оборудование</v>
          </cell>
          <cell r="W24" t="str">
            <v>051-2006342</v>
          </cell>
          <cell r="X24" t="str">
            <v>Реконструкция полигона твердых бытовых и производственных отходов Бованенковского НГКМ</v>
          </cell>
          <cell r="Y24" t="str">
            <v>051-10056734.6.0.1</v>
          </cell>
          <cell r="Z24" t="str">
            <v>051-1005673</v>
          </cell>
          <cell r="AA24" t="str">
            <v>4.6.0.1</v>
          </cell>
          <cell r="AB24" t="str">
            <v>Реконструкция водозабора Таб-Яха</v>
          </cell>
        </row>
        <row r="25">
          <cell r="O25" t="str">
            <v>051-200131716.1.1.2.23Прискважинное оборудование</v>
          </cell>
          <cell r="P25" t="str">
            <v>051-2001317</v>
          </cell>
          <cell r="Q25" t="str">
            <v>16.1.1.2.23</v>
          </cell>
          <cell r="R25" t="str">
            <v>Прискважинное оборудование</v>
          </cell>
          <cell r="S25" t="str">
            <v>051-2001317.(16.1.1.2.23).Астраханское.Карбон.Р.С.Скважины.Прискважинное оборудование</v>
          </cell>
          <cell r="W25" t="str">
            <v>051-2006571</v>
          </cell>
          <cell r="X25" t="str">
            <v>Техническое перевооружение оборудования резервуарного парка расходного склада ГСМ промбазы ГП-1 Бованенковского НГКМ</v>
          </cell>
          <cell r="Y25" t="str">
            <v>051-10056734.6.0.2</v>
          </cell>
          <cell r="Z25" t="str">
            <v>051-1005673</v>
          </cell>
          <cell r="AA25" t="str">
            <v>4.6.0.2</v>
          </cell>
          <cell r="AB25" t="str">
            <v>Реконструкция водозабора Хадуттэ</v>
          </cell>
        </row>
        <row r="26">
          <cell r="O26" t="str">
            <v>051-200131716.1.1.3.23Прискважинное оборудование</v>
          </cell>
          <cell r="P26" t="str">
            <v>051-2001317</v>
          </cell>
          <cell r="Q26" t="str">
            <v>16.1.1.3.23</v>
          </cell>
          <cell r="R26" t="str">
            <v>Прискважинное оборудование</v>
          </cell>
          <cell r="S26" t="str">
            <v>051-2001317.(16.1.1.3.23).Астраханское.Карбон.Р.С.Скважины.Прискважинное оборудование</v>
          </cell>
          <cell r="W26" t="str">
            <v>051-2006570</v>
          </cell>
          <cell r="X26" t="str">
            <v>Реконструкция и техническое перевооружение электромодуля №1 ЭСН на промбазе ГП-2 Бованенковского НГКМ (2 очередь, 1 этап)</v>
          </cell>
          <cell r="Y26" t="str">
            <v>051-200000616.1.1.3</v>
          </cell>
          <cell r="Z26" t="str">
            <v>051-2000006</v>
          </cell>
          <cell r="AA26" t="str">
            <v>16.1.1.3</v>
          </cell>
          <cell r="AB26" t="str">
            <v>Бурение бокового ствола, скв. 58</v>
          </cell>
        </row>
        <row r="27">
          <cell r="O27" t="str">
            <v>051-200131716.1.1.1.25Прискважинное оборудование</v>
          </cell>
          <cell r="P27" t="str">
            <v>051-2001317</v>
          </cell>
          <cell r="Q27" t="str">
            <v>16.1.1.1.25</v>
          </cell>
          <cell r="R27" t="str">
            <v>Прискважинное оборудование</v>
          </cell>
          <cell r="S27" t="str">
            <v>051-2001317.(16.1.1.1.25).Астраханское.Карбон.Р.С.Скважины.Прискважинное оборудование</v>
          </cell>
          <cell r="W27" t="str">
            <v>051-2006967</v>
          </cell>
          <cell r="X27" t="str">
            <v>Техническое перевооружение теплой стоянки на 50 машин базы АТП на промбазе ГП-1 Бованенковского НГКМ</v>
          </cell>
          <cell r="Y27" t="str">
            <v>051-200000616.1.1.2</v>
          </cell>
          <cell r="Z27" t="str">
            <v>051-2000006</v>
          </cell>
          <cell r="AA27" t="str">
            <v>16.1.1.2</v>
          </cell>
          <cell r="AB27" t="str">
            <v>Бурение бокового ствола, скв. 68</v>
          </cell>
        </row>
        <row r="28">
          <cell r="O28" t="str">
            <v>051-200131716.1.1.2.25Прискважинное оборудование</v>
          </cell>
          <cell r="P28" t="str">
            <v>051-2001317</v>
          </cell>
          <cell r="Q28" t="str">
            <v>16.1.1.2.25</v>
          </cell>
          <cell r="R28" t="str">
            <v>Прискважинное оборудование</v>
          </cell>
          <cell r="S28" t="str">
            <v>051-2001317.(16.1.1.2.25).Астраханское.Карбон.Р.С.Скважины.Прискважинное оборудование</v>
          </cell>
          <cell r="W28" t="str">
            <v>051-2006968</v>
          </cell>
          <cell r="X28" t="str">
            <v>Реконструкция и техническое перевооружение комплекса инженерно-технических средств охраны ГП-2 Бованенковского НГКМ (УКПГ, ДКС 1 очередь, (1,2 модуль))</v>
          </cell>
          <cell r="Y28" t="str">
            <v>051-200000616.1.2.1</v>
          </cell>
          <cell r="Z28" t="str">
            <v>051-2000006</v>
          </cell>
          <cell r="AA28" t="str">
            <v>16.1.2.1</v>
          </cell>
          <cell r="AB28" t="str">
            <v>Бурение бокового ствола, скв. 260</v>
          </cell>
        </row>
        <row r="29">
          <cell r="O29" t="str">
            <v>051-200131716.1.1.3.25Прискважинное оборудование</v>
          </cell>
          <cell r="P29" t="str">
            <v>051-2001317</v>
          </cell>
          <cell r="Q29" t="str">
            <v>16.1.1.3.25</v>
          </cell>
          <cell r="R29" t="str">
            <v>Прискважинное оборудование</v>
          </cell>
          <cell r="S29" t="str">
            <v>051-2001317.(16.1.1.3.25).Астраханское.Карбон.Р.С.Скважины.Прискважинное оборудование</v>
          </cell>
          <cell r="W29" t="str">
            <v>051-2007288</v>
          </cell>
          <cell r="X29" t="str">
            <v>Техническое перевооружение скважин Бованенковского НГКМ (замена НКТ)</v>
          </cell>
          <cell r="Y29" t="str">
            <v>051-200000616.1.2.2</v>
          </cell>
          <cell r="Z29" t="str">
            <v>051-2000006</v>
          </cell>
          <cell r="AA29" t="str">
            <v>16.1.2.2</v>
          </cell>
          <cell r="AB29" t="str">
            <v>Бурение бокового ствола, скв.211Д</v>
          </cell>
        </row>
        <row r="30">
          <cell r="O30" t="str">
            <v>051-200131716.2.2.1ЗРА</v>
          </cell>
          <cell r="P30" t="str">
            <v>051-2001317</v>
          </cell>
          <cell r="Q30" t="str">
            <v>16.2.2.1</v>
          </cell>
          <cell r="R30" t="str">
            <v>ЗРА</v>
          </cell>
          <cell r="S30" t="str">
            <v>051-2001317.(16.2.2.1).Астраханское.Карбон.Р.Г.ГСС.ЗРА</v>
          </cell>
          <cell r="W30" t="str">
            <v>051-2000815</v>
          </cell>
          <cell r="X30" t="str">
            <v>Обустройство сеноман-аптских залежей Бованенковского НГКМ</v>
          </cell>
          <cell r="Y30" t="str">
            <v>051-20007916.8.ВЖК.1.23</v>
          </cell>
          <cell r="Z30" t="str">
            <v>051-2000791</v>
          </cell>
          <cell r="AA30" t="str">
            <v>6.8.ВЖК.1.23</v>
          </cell>
          <cell r="AB30" t="str">
            <v>Система охраны ВЖК ГП-7 Медвежьего НГКМ</v>
          </cell>
        </row>
        <row r="31">
          <cell r="O31" t="str">
            <v>051-200131716.3.1.1Насосная</v>
          </cell>
          <cell r="P31" t="str">
            <v>051-2001317</v>
          </cell>
          <cell r="Q31" t="str">
            <v>16.3.1.1</v>
          </cell>
          <cell r="R31" t="str">
            <v>Насосная</v>
          </cell>
          <cell r="S31" t="str">
            <v>051-2001317.(16.3.1.1).Астраханское.Карбон.Р.П.УКПГ.Насосная</v>
          </cell>
          <cell r="W31" t="str">
            <v>051-2004674</v>
          </cell>
          <cell r="X31" t="str">
            <v>Дообустройство сеноман-аптских залежей Бованенковского НГКМ</v>
          </cell>
          <cell r="Y31" t="str">
            <v>051-20007928.8.1.1</v>
          </cell>
          <cell r="Z31" t="str">
            <v>051-2000792</v>
          </cell>
          <cell r="AA31" t="str">
            <v>8.8.1.1</v>
          </cell>
          <cell r="AB31" t="str">
            <v>Пункт контрольно-пропускной поста охраны Ямсовейского НГКМ</v>
          </cell>
        </row>
        <row r="32">
          <cell r="O32" t="str">
            <v>051-200131716.3.1.1ЗРА</v>
          </cell>
          <cell r="P32" t="str">
            <v>051-2001317</v>
          </cell>
          <cell r="Q32" t="str">
            <v>16.3.1.1</v>
          </cell>
          <cell r="R32" t="str">
            <v>ЗРА</v>
          </cell>
          <cell r="S32" t="str">
            <v>051-2001317.(16.3.1.1).Астраханское.Карбон.Р.П.УКПГ.ЗРА</v>
          </cell>
          <cell r="W32" t="str">
            <v>051-3000815</v>
          </cell>
          <cell r="X32" t="str">
            <v>Эксплуатационное бурение. Бованенковское НГКМ</v>
          </cell>
          <cell r="Y32" t="str">
            <v>051-20007937.6.1.2</v>
          </cell>
          <cell r="Z32" t="str">
            <v>051-2000793</v>
          </cell>
          <cell r="AA32" t="str">
            <v>7.6.1.2</v>
          </cell>
          <cell r="AB32" t="str">
            <v>Реконструкция электростанции собственных нужд Юбилейного НГКМ</v>
          </cell>
        </row>
        <row r="33">
          <cell r="O33" t="str">
            <v>051-200131716.3.1.1ЭСН</v>
          </cell>
          <cell r="P33" t="str">
            <v>051-2001317</v>
          </cell>
          <cell r="Q33" t="str">
            <v>16.3.1.1</v>
          </cell>
          <cell r="R33" t="str">
            <v>ЭСН</v>
          </cell>
          <cell r="S33" t="str">
            <v>051-2001317.(16.3.1.1).Астраханское.Карбон.Р.П.УКПГ.ЭСН</v>
          </cell>
          <cell r="W33" t="str">
            <v>051-3004674</v>
          </cell>
          <cell r="X33" t="str">
            <v>Эксплуатационное бурение. Бованенковское НГКМ (Дообустройство сеноман-аптских залежей)</v>
          </cell>
          <cell r="Y33" t="str">
            <v>051-20007937.6.1.3</v>
          </cell>
          <cell r="Z33" t="str">
            <v>051-2000793</v>
          </cell>
          <cell r="AA33" t="str">
            <v>7.6.1.3</v>
          </cell>
          <cell r="AB33" t="str">
            <v>Котельная ВЖК Юбилейного НГКМ</v>
          </cell>
        </row>
        <row r="34">
          <cell r="O34" t="str">
            <v>051-200131716.3.2.1Сети водоснабжения и канализации</v>
          </cell>
          <cell r="P34" t="str">
            <v>051-2001317</v>
          </cell>
          <cell r="Q34" t="str">
            <v>16.3.2.1</v>
          </cell>
          <cell r="R34" t="str">
            <v>Сети водоснабжения и канализации</v>
          </cell>
          <cell r="S34" t="str">
            <v>051-2001317.(16.3.2.1).Астраханское.Карбон.Р.П.УКПГ.Сети водоснабжения и канализации</v>
          </cell>
          <cell r="W34" t="str">
            <v>051-2005523</v>
          </cell>
          <cell r="X34" t="str">
            <v>Техническое перевооружение турбодетандерных агрегатов на газовых промыслах Бованенковского НГКМ (замена СПЧ)</v>
          </cell>
          <cell r="Y34" t="str">
            <v>051-20007937.3.1.2</v>
          </cell>
          <cell r="Z34" t="str">
            <v>051-2000793</v>
          </cell>
          <cell r="AA34" t="str">
            <v>7.3.1.2</v>
          </cell>
          <cell r="AB34" t="str">
            <v>Реконструкция установки закачки промстоков в пласт УКПГ Юбилейного НГКМ</v>
          </cell>
        </row>
        <row r="35">
          <cell r="O35" t="str">
            <v>051-200131716.3.2.1Насосная</v>
          </cell>
          <cell r="P35" t="str">
            <v>051-2001317</v>
          </cell>
          <cell r="Q35" t="str">
            <v>16.3.2.1</v>
          </cell>
          <cell r="R35" t="str">
            <v>Насосная</v>
          </cell>
          <cell r="S35" t="str">
            <v>051-2001317.(16.3.2.1).Астраханское.Карбон.Р.П.УКПГ.Насосная</v>
          </cell>
          <cell r="W35" t="str">
            <v>051-2006734</v>
          </cell>
          <cell r="X35" t="str">
            <v>Обустройство Верхневилючанского месторождения</v>
          </cell>
          <cell r="Y35" t="str">
            <v>051-20007937.8.ВЖК.1</v>
          </cell>
          <cell r="Z35" t="str">
            <v>051-2000793</v>
          </cell>
          <cell r="AA35" t="str">
            <v>7.8.ВЖК.1</v>
          </cell>
          <cell r="AB35" t="str">
            <v>Комплекс инженерно-технических средств охраны и средств антитеррористической защиты ВЖК Юбилейного НГКМ</v>
          </cell>
        </row>
        <row r="36">
          <cell r="O36" t="str">
            <v>051-200131716.3.2.1ЗРА</v>
          </cell>
          <cell r="P36" t="str">
            <v>051-2001317</v>
          </cell>
          <cell r="Q36" t="str">
            <v>16.3.2.1</v>
          </cell>
          <cell r="R36" t="str">
            <v>ЗРА</v>
          </cell>
          <cell r="S36" t="str">
            <v>051-2001317.(16.3.2.1).Астраханское.Карбон.Р.П.УКПГ.ЗРА</v>
          </cell>
          <cell r="W36" t="str">
            <v>051-3006734</v>
          </cell>
          <cell r="X36" t="str">
            <v xml:space="preserve">Бурение эксплуатационное на месторождении. Эксплуатационные газовые скважины Верхневилючанского месторождения </v>
          </cell>
          <cell r="Y36" t="str">
            <v>051-20007937.8.1.1</v>
          </cell>
          <cell r="Z36" t="str">
            <v>051-2000793</v>
          </cell>
          <cell r="AA36" t="str">
            <v>7.8.1.1</v>
          </cell>
          <cell r="AB36" t="str">
            <v>Комплекс инженерно-технических средств охраны и средств антитеррористической защиты КПП УКПГ Юбилейного НГКМ</v>
          </cell>
        </row>
        <row r="37">
          <cell r="O37" t="str">
            <v>051-200131716.3.2.1ЭСН</v>
          </cell>
          <cell r="P37" t="str">
            <v>051-2001317</v>
          </cell>
          <cell r="Q37" t="str">
            <v>16.3.2.1</v>
          </cell>
          <cell r="R37" t="str">
            <v>ЭСН</v>
          </cell>
          <cell r="S37" t="str">
            <v>051-2001317.(16.3.2.1).Астраханское.Карбон.Р.П.УКПГ.ЭСН</v>
          </cell>
          <cell r="W37" t="str">
            <v>019-3000739</v>
          </cell>
          <cell r="X37" t="str">
            <v>Эксплуатационное бурение. Восточно-Прибрежное нефтегазоконденсатное месторождение</v>
          </cell>
          <cell r="Y37" t="str">
            <v>051-20008047.3.1.3</v>
          </cell>
          <cell r="Z37" t="str">
            <v>051-2000804</v>
          </cell>
          <cell r="AA37" t="str">
            <v>7.3.1.3</v>
          </cell>
          <cell r="AB37" t="str">
            <v>Реконструкция внутриплощадочных трубопроводов  УКПГ Юбилейного НГКМ  (этап 2)</v>
          </cell>
        </row>
        <row r="38">
          <cell r="O38" t="str">
            <v>051-200131716.6.1.1КТП</v>
          </cell>
          <cell r="P38" t="str">
            <v>051-2001317</v>
          </cell>
          <cell r="Q38" t="str">
            <v>16.6.1.1</v>
          </cell>
          <cell r="R38" t="str">
            <v>КТП</v>
          </cell>
          <cell r="S38" t="str">
            <v>051-2001317.(16.6.1.1).Астраханское.Карбон.Р.П.Прочие.КТП</v>
          </cell>
          <cell r="W38" t="str">
            <v>051-2006509</v>
          </cell>
          <cell r="X38" t="str">
            <v>Модернизация сепарационного оборудования дожимной компрессорной станции Вуктыльского ГПУ</v>
          </cell>
          <cell r="Y38" t="str">
            <v>051-20008047.5.1.5</v>
          </cell>
          <cell r="Z38" t="str">
            <v>051-2000804</v>
          </cell>
          <cell r="AA38" t="str">
            <v>7.5.1.5</v>
          </cell>
          <cell r="AB38" t="str">
            <v>Техническое перевооружение  АСПС и КЗ объектов ВЖК Юбилейного НГКМ (этап 8)</v>
          </cell>
        </row>
        <row r="39">
          <cell r="O39" t="str">
            <v>051-200131716.6.2.1КТП</v>
          </cell>
          <cell r="P39" t="str">
            <v>051-2001317</v>
          </cell>
          <cell r="Q39" t="str">
            <v>16.6.2.1</v>
          </cell>
          <cell r="R39" t="str">
            <v>КТП</v>
          </cell>
          <cell r="S39" t="str">
            <v>051-2001317.(16.6.2.1).Астраханское.Карбон.Р.П.Прочие.КТП</v>
          </cell>
          <cell r="W39" t="str">
            <v>051-2006510</v>
          </cell>
          <cell r="X39" t="str">
            <v>Реконструкция системы маслоснабжения дожимной компрессорной станции Вуктыльского ГПУ</v>
          </cell>
          <cell r="Y39" t="str">
            <v>051-20008047.5.1.6</v>
          </cell>
          <cell r="Z39" t="str">
            <v>051-2000804</v>
          </cell>
          <cell r="AA39" t="str">
            <v>7.5.1.6</v>
          </cell>
          <cell r="AB39" t="str">
            <v>Техническое перевооружение  АСПС и КЗ объектов ЭСН Юбилейного НГКМ (этап 9)</v>
          </cell>
        </row>
        <row r="40">
          <cell r="O40" t="str">
            <v>051-200131716.6.1.3ЭХЗ</v>
          </cell>
          <cell r="P40" t="str">
            <v>051-2001317</v>
          </cell>
          <cell r="Q40" t="str">
            <v>16.6.1.3</v>
          </cell>
          <cell r="R40" t="str">
            <v>ЭХЗ</v>
          </cell>
          <cell r="S40" t="str">
            <v>051-2001317.(16.6.1.3).Астраханское.Карбон.Р.П.Прочие.ЭХЗ</v>
          </cell>
          <cell r="W40" t="str">
            <v>051-2006518</v>
          </cell>
          <cell r="X40" t="str">
            <v>Внедрение технологии непрерывной дозированной подачи жидких ПАВ в скважины Вынгаяхинского месторождения</v>
          </cell>
          <cell r="Y40" t="str">
            <v>051-20008047.1.1.26</v>
          </cell>
          <cell r="Z40" t="str">
            <v>051-2000804</v>
          </cell>
          <cell r="AA40" t="str">
            <v>7.1.1.26</v>
          </cell>
          <cell r="AB40" t="str">
            <v>Оснащение КГС 10 беспроводными  датчиками телеметрии  (давление, температура) (этап 10)</v>
          </cell>
        </row>
        <row r="41">
          <cell r="O41" t="str">
            <v>051-200131716.6.2.2ЭХЗ</v>
          </cell>
          <cell r="P41" t="str">
            <v>051-2001317</v>
          </cell>
          <cell r="Q41" t="str">
            <v>16.6.2.2</v>
          </cell>
          <cell r="R41" t="str">
            <v>ЭХЗ</v>
          </cell>
          <cell r="S41" t="str">
            <v>051-2001317.(16.6.2.2).Астраханское.Карбон.Р.П.Прочие.ЭХЗ</v>
          </cell>
          <cell r="W41" t="str">
            <v>051-2007238</v>
          </cell>
          <cell r="X41" t="str">
            <v>Реконструкция полигона ТБО Вынгаяхинского ГМ</v>
          </cell>
          <cell r="Y41" t="str">
            <v>051-20008047.1.1.38</v>
          </cell>
          <cell r="Z41" t="str">
            <v>051-2000804</v>
          </cell>
          <cell r="AA41" t="str">
            <v>7.1.1.38</v>
          </cell>
          <cell r="AB41" t="str">
            <v>Оснащение КГС 11 беспроводными  датчиками телеметрии  (давление, температура) (этап 11)</v>
          </cell>
        </row>
        <row r="42">
          <cell r="O42" t="str">
            <v>051-200131716.3.1.1.25Сети водоснабжения и канализации</v>
          </cell>
          <cell r="P42" t="str">
            <v>051-2001317</v>
          </cell>
          <cell r="Q42" t="str">
            <v>16.3.1.1.25</v>
          </cell>
          <cell r="R42" t="str">
            <v>Сети водоснабжения и канализации</v>
          </cell>
          <cell r="S42" t="str">
            <v>051-2001317.(16.3.1.1.25).Астраханское.Карбон.Р.П.УКПГ.Сети водоснабжения и канализации</v>
          </cell>
          <cell r="W42" t="str">
            <v>051-3006280</v>
          </cell>
          <cell r="X42" t="str">
            <v>Бурение эксплуатационное на месторождении. Вынгаяхинское газонефтяное месторождение</v>
          </cell>
          <cell r="Y42" t="str">
            <v>051-20008047.1.1.39</v>
          </cell>
          <cell r="Z42" t="str">
            <v>051-2000804</v>
          </cell>
          <cell r="AA42" t="str">
            <v>7.1.1.39</v>
          </cell>
          <cell r="AB42" t="str">
            <v>Оснащение КГС 12 беспроводными  датчиками телеметрии  (давление, температура) (этап 12)</v>
          </cell>
        </row>
        <row r="43">
          <cell r="O43" t="str">
            <v>051-200000616.1.1.3Боковой ствол</v>
          </cell>
          <cell r="P43" t="str">
            <v>051-2000006</v>
          </cell>
          <cell r="Q43" t="str">
            <v>16.1.1.3</v>
          </cell>
          <cell r="R43" t="str">
            <v>Боковой ствол</v>
          </cell>
          <cell r="S43" t="str">
            <v>051-2000006.(16.1.1.3).Астраханское.Карбон.Р.С.Скважины.Боковой ствол</v>
          </cell>
          <cell r="W43" t="str">
            <v>051-2001057</v>
          </cell>
          <cell r="X43" t="str">
            <v>Дожимная компрессорная станция на УКПГ-11В Ен-Яхинского НГКМ</v>
          </cell>
          <cell r="Y43" t="str">
            <v>051-20008047.1.1.40</v>
          </cell>
          <cell r="Z43" t="str">
            <v>051-2000804</v>
          </cell>
          <cell r="AA43" t="str">
            <v>7.1.1.40</v>
          </cell>
          <cell r="AB43" t="str">
            <v>Оснащение КГС 13 беспроводными  датчиками телеметрии  (давление, температура) (этап 13)</v>
          </cell>
        </row>
        <row r="44">
          <cell r="O44" t="str">
            <v>051-200000616.1.1.2Боковой ствол</v>
          </cell>
          <cell r="P44" t="str">
            <v>051-2000006</v>
          </cell>
          <cell r="Q44" t="str">
            <v>16.1.1.2</v>
          </cell>
          <cell r="R44" t="str">
            <v>Боковой ствол</v>
          </cell>
          <cell r="S44" t="str">
            <v>051-2000006.(16.1.1.2).Астраханское.Карбон.Р.С.Скважины.Боковой ствол</v>
          </cell>
          <cell r="W44" t="str">
            <v>051-2001039</v>
          </cell>
          <cell r="X44" t="str">
            <v>Дообустройство газоконденсатных скважин Ен-Яхинского НГКМ</v>
          </cell>
          <cell r="Y44" t="str">
            <v>051-20008047.1.1.41</v>
          </cell>
          <cell r="Z44" t="str">
            <v>051-2000804</v>
          </cell>
          <cell r="AA44" t="str">
            <v>7.1.1.41</v>
          </cell>
          <cell r="AB44" t="str">
            <v>Оснащение КГС 14 беспроводными  датчиками телеметрии  (давление, температура) (этап 14)</v>
          </cell>
        </row>
        <row r="45">
          <cell r="O45" t="str">
            <v>051-200000616.1.2.1Боковой ствол</v>
          </cell>
          <cell r="P45" t="str">
            <v>051-2000006</v>
          </cell>
          <cell r="Q45" t="str">
            <v>16.1.2.1</v>
          </cell>
          <cell r="R45" t="str">
            <v>Боковой ствол</v>
          </cell>
          <cell r="S45" t="str">
            <v>051-2000006.(16.1.2.1).Астраханское.Карбон.Р.С.Скважины.Боковой ствол</v>
          </cell>
          <cell r="W45" t="str">
            <v>051-3001039</v>
          </cell>
          <cell r="X45" t="str">
            <v>Эксплуатационное бурение. Дообустройство газоконденсатных скважин Ен-Яхинского НГКМ</v>
          </cell>
          <cell r="Y45" t="str">
            <v>051-20008047.1.1.42</v>
          </cell>
          <cell r="Z45" t="str">
            <v>051-2000804</v>
          </cell>
          <cell r="AA45" t="str">
            <v>7.1.1.42</v>
          </cell>
          <cell r="AB45" t="str">
            <v>Оснащение КГС 15 беспроводными  датчиками телеметрии  (давление, температура) (этап 15)</v>
          </cell>
        </row>
        <row r="46">
          <cell r="O46" t="str">
            <v>051-200000616.1.2.2Боковой ствол</v>
          </cell>
          <cell r="P46" t="str">
            <v>051-2000006</v>
          </cell>
          <cell r="Q46" t="str">
            <v>16.1.2.2</v>
          </cell>
          <cell r="R46" t="str">
            <v>Боковой ствол</v>
          </cell>
          <cell r="S46" t="str">
            <v>051-2000006.(16.1.2.2).Астраханское.Карбон.Р.С.Скважины.Боковой ствол</v>
          </cell>
          <cell r="W46" t="str">
            <v>051-2006519</v>
          </cell>
          <cell r="X46" t="str">
            <v>Внедрение технологии непрерывной дозированной подачи жидких ПАВ  в скважины Еты-Пуровского месторождения</v>
          </cell>
          <cell r="Y46" t="str">
            <v>051-20008047.1.1.43</v>
          </cell>
          <cell r="Z46" t="str">
            <v>051-2000804</v>
          </cell>
          <cell r="AA46" t="str">
            <v>7.1.1.43</v>
          </cell>
          <cell r="AB46" t="str">
            <v>Оснащение КГС 16 беспроводными  датчиками телеметрии  (давление, температура) (этап 16)</v>
          </cell>
        </row>
        <row r="47">
          <cell r="O47" t="str">
            <v>051-200439516.1.2.21НКТ</v>
          </cell>
          <cell r="P47" t="str">
            <v>051-2004395</v>
          </cell>
          <cell r="Q47" t="str">
            <v>16.1.2.21</v>
          </cell>
          <cell r="R47" t="str">
            <v>НКТ</v>
          </cell>
          <cell r="S47" t="str">
            <v>051-2004395.(16.1.2.21).Астраханское.Карбон.Т.С.Скважины.НКТ</v>
          </cell>
          <cell r="W47" t="str">
            <v>051-2006584</v>
          </cell>
          <cell r="X47" t="str">
            <v>Техперевооружение ДКС Еты-Пуровского ГМ. Замена СПЧ 3,0.</v>
          </cell>
          <cell r="Y47" t="str">
            <v>051-20008047.1.1.44</v>
          </cell>
          <cell r="Z47" t="str">
            <v>051-2000804</v>
          </cell>
          <cell r="AA47" t="str">
            <v>7.1.1.44</v>
          </cell>
          <cell r="AB47" t="str">
            <v>Оснащение КГС 17 беспроводными  датчиками телеметрии  (давление, температура) (этап 17)</v>
          </cell>
        </row>
        <row r="48">
          <cell r="O48" t="str">
            <v>051-200439516.1.2.21ПО</v>
          </cell>
          <cell r="P48" t="str">
            <v>051-2004395</v>
          </cell>
          <cell r="Q48" t="str">
            <v>16.1.2.21</v>
          </cell>
          <cell r="R48" t="str">
            <v>ПО</v>
          </cell>
          <cell r="S48" t="str">
            <v>051-2004395.(16.1.2.21).Астраханское.Карбон.Т.С.Скважины.ПО</v>
          </cell>
          <cell r="W48" t="str">
            <v>051-2007101</v>
          </cell>
          <cell r="X48" t="str">
            <v>Техническое перевооружение объектов системы сбора газа Вынгаяхинского ГПУ</v>
          </cell>
          <cell r="Y48" t="str">
            <v>051-20008047.1.1.45</v>
          </cell>
          <cell r="Z48" t="str">
            <v>051-2000804</v>
          </cell>
          <cell r="AA48" t="str">
            <v>7.1.1.45</v>
          </cell>
          <cell r="AB48" t="str">
            <v>Оснащение КГС 18 беспроводными  датчиками телеметрии  (давление, температура) (этап 18)</v>
          </cell>
        </row>
        <row r="49">
          <cell r="O49" t="str">
            <v>051-200439516.1.2.21ФА</v>
          </cell>
          <cell r="P49" t="str">
            <v>051-2004395</v>
          </cell>
          <cell r="Q49" t="str">
            <v>16.1.2.21</v>
          </cell>
          <cell r="R49" t="str">
            <v>ФА</v>
          </cell>
          <cell r="S49" t="str">
            <v>051-2004395.(16.1.2.21).Астраханское.Карбон.Т.С.Скважины.ФА</v>
          </cell>
          <cell r="W49" t="str">
            <v>051-2006515</v>
          </cell>
          <cell r="X49" t="str">
            <v>Внедрение технологии непрерывной дозированной подачи жидких ПАВ в скважины  Западно-Таркосалинского газового промысла</v>
          </cell>
          <cell r="Y49" t="str">
            <v>051-20008047.1.1.46</v>
          </cell>
          <cell r="Z49" t="str">
            <v>051-2000804</v>
          </cell>
          <cell r="AA49" t="str">
            <v>7.1.1.46</v>
          </cell>
          <cell r="AB49" t="str">
            <v>Оснащение КГС 19 беспроводными  датчиками телеметрии  (давление, температура) (этап 19)</v>
          </cell>
        </row>
        <row r="50">
          <cell r="O50" t="str">
            <v>051-200439516.1.6.2НКТ</v>
          </cell>
          <cell r="P50" t="str">
            <v>051-2004395</v>
          </cell>
          <cell r="Q50" t="str">
            <v>16.1.6.2</v>
          </cell>
          <cell r="R50" t="str">
            <v>НКТ</v>
          </cell>
          <cell r="S50" t="str">
            <v>051-2004395.(16.1.6.2).Астраханское.Карбон.Т.С.Скважины.НКТ</v>
          </cell>
          <cell r="W50" t="str">
            <v>051-2000826</v>
          </cell>
          <cell r="X50" t="str">
            <v>Реконструкция  Западно-Таркосалинского газового промысла</v>
          </cell>
          <cell r="Y50" t="str">
            <v>051-20008047.1.1.47</v>
          </cell>
          <cell r="Z50" t="str">
            <v>051-2000804</v>
          </cell>
          <cell r="AA50" t="str">
            <v>7.1.1.47</v>
          </cell>
          <cell r="AB50" t="str">
            <v>Оснащение КГС 20 беспроводными  датчиками телеметрии  (давление, температура) (этап 20)</v>
          </cell>
        </row>
        <row r="51">
          <cell r="O51" t="str">
            <v>051-200439516.1.6.2ПО</v>
          </cell>
          <cell r="P51" t="str">
            <v>051-2004395</v>
          </cell>
          <cell r="Q51" t="str">
            <v>16.1.6.2</v>
          </cell>
          <cell r="R51" t="str">
            <v>ПО</v>
          </cell>
          <cell r="S51" t="str">
            <v>051-2004395.(16.1.6.2).Астраханское.Карбон.Т.С.Скважины.ПО</v>
          </cell>
          <cell r="W51" t="str">
            <v>051-2006517</v>
          </cell>
          <cell r="X51" t="str">
            <v>Реконструкция ДКС Западно-Таркосалинского НГКМ. Установка многосекционных ЦБК</v>
          </cell>
          <cell r="Y51" t="str">
            <v>051-20008047.1.1.48</v>
          </cell>
          <cell r="Z51" t="str">
            <v>051-2000804</v>
          </cell>
          <cell r="AA51" t="str">
            <v>7.1.1.48</v>
          </cell>
          <cell r="AB51" t="str">
            <v>Оснащение КГС 21 беспроводными  датчиками телеметрии  (давление, температура) (этап 21)</v>
          </cell>
        </row>
        <row r="52">
          <cell r="O52" t="str">
            <v>051-200439516.1.6.2ФА</v>
          </cell>
          <cell r="P52" t="str">
            <v>051-2004395</v>
          </cell>
          <cell r="Q52" t="str">
            <v>16.1.6.2</v>
          </cell>
          <cell r="R52" t="str">
            <v>ФА</v>
          </cell>
          <cell r="S52" t="str">
            <v>051-2004395.(16.1.6.2).Астраханское.Карбон.Т.С.Скважины.ФА</v>
          </cell>
          <cell r="W52" t="str">
            <v>051-2007133</v>
          </cell>
          <cell r="X52" t="str">
            <v>Реконструкция ГСС  Западно-Таркосалинского газового промысла 2 этап, 2 очередь</v>
          </cell>
          <cell r="Y52" t="str">
            <v>051-20008047.1.1.49</v>
          </cell>
          <cell r="Z52" t="str">
            <v>051-2000804</v>
          </cell>
          <cell r="AA52" t="str">
            <v>7.1.1.49</v>
          </cell>
          <cell r="AB52" t="str">
            <v>Оснащение КГС 22 беспроводными  датчиками телеметрии  (давление, температура) (этап 22)</v>
          </cell>
        </row>
        <row r="53">
          <cell r="O53" t="str">
            <v>051-2000005Прискважинное оборудование</v>
          </cell>
          <cell r="P53" t="str">
            <v>051-2000005</v>
          </cell>
          <cell r="R53" t="str">
            <v>Прискважинное оборудование</v>
          </cell>
          <cell r="S53" t="str">
            <v>051-2000005.().Астраханское.Карбон.Т.С.Скважины.Прискважинное оборудование</v>
          </cell>
          <cell r="W53" t="str">
            <v>051-2005102</v>
          </cell>
          <cell r="X53" t="str">
            <v>Техническое перевооружение газовых и газоконденсатных скважин Заполярного НГКМ</v>
          </cell>
          <cell r="Y53" t="str">
            <v>051-20008047.1.1.50</v>
          </cell>
          <cell r="Z53" t="str">
            <v>051-2000804</v>
          </cell>
          <cell r="AA53" t="str">
            <v>7.1.1.50</v>
          </cell>
          <cell r="AB53" t="str">
            <v>Оснащение КГС 23 беспроводными  датчиками телеметрии  (давление, температура) (этап 23)</v>
          </cell>
        </row>
        <row r="54">
          <cell r="O54" t="str">
            <v>051-2002202Новые скважины</v>
          </cell>
          <cell r="P54" t="str">
            <v>051-2002202</v>
          </cell>
          <cell r="R54" t="str">
            <v>Новые скважины</v>
          </cell>
          <cell r="S54" t="str">
            <v>051-2002202.().Астраханское.Карбон.С.С.Скважины.Новые скважины</v>
          </cell>
          <cell r="W54" t="str">
            <v>051-2005694</v>
          </cell>
          <cell r="X54" t="str">
            <v>Техническое перевооружение газоперекачивающих агрегатов ДКС 1 очереди УКПГ-1С Заполярного НГКМ</v>
          </cell>
          <cell r="Y54" t="str">
            <v>051-20008047.1.1.51</v>
          </cell>
          <cell r="Z54" t="str">
            <v>051-2000804</v>
          </cell>
          <cell r="AA54" t="str">
            <v>7.1.1.51</v>
          </cell>
          <cell r="AB54" t="str">
            <v>Оснащение КГС 24 беспроводными  датчиками телеметрии  (давление, температура) (этап 24)</v>
          </cell>
        </row>
        <row r="55">
          <cell r="O55" t="str">
            <v>051-2000010Новые скважины</v>
          </cell>
          <cell r="P55" t="str">
            <v>051-2000010</v>
          </cell>
          <cell r="R55" t="str">
            <v>Новые скважины</v>
          </cell>
          <cell r="S55" t="str">
            <v>051-2000010.().Астраханское.Карбон.С.С.Скважины.Новые скважины</v>
          </cell>
          <cell r="W55" t="str">
            <v>051-2005495</v>
          </cell>
          <cell r="X55" t="str">
            <v>Реконструкция газопроводов Заполярного НГКМ с устройством узлов пуска и приёма очистных и диагностических устройств</v>
          </cell>
          <cell r="Y55" t="str">
            <v>051-20008047.1.1.52</v>
          </cell>
          <cell r="Z55" t="str">
            <v>051-2000804</v>
          </cell>
          <cell r="AA55" t="str">
            <v>7.1.1.52</v>
          </cell>
          <cell r="AB55" t="str">
            <v>Оснащение КГС 25 беспроводными  датчиками телеметрии  (давление, температура) (этап 25)</v>
          </cell>
        </row>
        <row r="56">
          <cell r="O56" t="str">
            <v>б/н1Здания и сооружения</v>
          </cell>
          <cell r="P56" t="str">
            <v>б/н</v>
          </cell>
          <cell r="Q56">
            <v>1</v>
          </cell>
          <cell r="R56" t="str">
            <v>Здания и сооружения</v>
          </cell>
          <cell r="S56" t="str">
            <v>б/н.(1).Астраханское.Карбон.С.П.УКПГ.Здания и сооружения</v>
          </cell>
          <cell r="W56" t="str">
            <v>051-2005695</v>
          </cell>
          <cell r="X56" t="str">
            <v>Реконструкция и техническое перевооружение систем пожарной сигнализации, контроля загазованности и пожаротушения объектов УКПГ-1С, УКПГ-2С, УКПГ-3С, АГРС БК 2/70 Заполярного НГКМ</v>
          </cell>
          <cell r="Y56" t="str">
            <v>051-20008047.1.1.53</v>
          </cell>
          <cell r="Z56" t="str">
            <v>051-2000804</v>
          </cell>
          <cell r="AA56" t="str">
            <v>7.1.1.53</v>
          </cell>
          <cell r="AB56" t="str">
            <v>Оснащение КГС 26 беспроводными  датчиками телеметрии  (давление, температура) (этап 26)</v>
          </cell>
        </row>
        <row r="57">
          <cell r="O57" t="str">
            <v>б/н2Здания и сооружения</v>
          </cell>
          <cell r="P57" t="str">
            <v>б/н</v>
          </cell>
          <cell r="Q57">
            <v>2</v>
          </cell>
          <cell r="R57" t="str">
            <v>Здания и сооружения</v>
          </cell>
          <cell r="S57" t="str">
            <v>б/н.(2).Астраханское.Карбон.С.П.УКПГ.Здания и сооружения</v>
          </cell>
          <cell r="W57" t="str">
            <v>051-2006021</v>
          </cell>
          <cell r="X57" t="str">
            <v>Реконструкция КАДС Заполярного НГКМ с заменой технологического оборудования и систем автоматизации.</v>
          </cell>
          <cell r="Y57" t="str">
            <v>051-20008047.1.1.54</v>
          </cell>
          <cell r="Z57" t="str">
            <v>051-2000804</v>
          </cell>
          <cell r="AA57" t="str">
            <v>7.1.1.54</v>
          </cell>
          <cell r="AB57" t="str">
            <v>Оснащение КГС 27 беспроводными  датчиками телеметрии  (давление, температура) (этап 27)</v>
          </cell>
        </row>
        <row r="58">
          <cell r="O58"/>
          <cell r="W58" t="str">
            <v>051-2005690</v>
          </cell>
          <cell r="X58" t="str">
            <v>Реконструкция и техническое перевооружение системы электрохимзащиты объектов Заполярного НГКМ</v>
          </cell>
          <cell r="Y58" t="str">
            <v>051-20008047.1.1.55</v>
          </cell>
          <cell r="Z58" t="str">
            <v>051-2000804</v>
          </cell>
          <cell r="AA58" t="str">
            <v>7.1.1.55</v>
          </cell>
          <cell r="AB58" t="str">
            <v>Оснащение КГС 28 беспроводными  датчиками телеметрии  (давление, температура) (этап 28)</v>
          </cell>
        </row>
        <row r="59">
          <cell r="O59" t="str">
            <v/>
          </cell>
          <cell r="W59" t="str">
            <v>051-2005699</v>
          </cell>
          <cell r="X59" t="str">
            <v>Реконструкция и техническое перевооружение электроснабжения объектов ГТЭС-24 Заполярного НГКМ.</v>
          </cell>
          <cell r="Y59" t="str">
            <v>051-20008047.4.1.1</v>
          </cell>
          <cell r="Z59" t="str">
            <v>051-2000804</v>
          </cell>
          <cell r="AA59" t="str">
            <v>7.4.1.1</v>
          </cell>
          <cell r="AB59" t="str">
            <v>Реконструкция объектов ДКС (1 очередь) Юбилейного НГКМ  (этап 3)</v>
          </cell>
        </row>
        <row r="60">
          <cell r="O60" t="str">
            <v/>
          </cell>
          <cell r="W60" t="str">
            <v>051-2005700</v>
          </cell>
          <cell r="X60" t="str">
            <v>Техническое перевооружение технологического оборудования УКПГ-1В, УКПГ-2В Заполярного НГКМ</v>
          </cell>
          <cell r="Y60" t="str">
            <v>051-20008047.8.1.1(2)</v>
          </cell>
          <cell r="Z60" t="str">
            <v>051-2000804</v>
          </cell>
          <cell r="AA60" t="str">
            <v>7.8.1.1(2)</v>
          </cell>
          <cell r="AB60" t="str">
            <v>Стабилизация оснований и фундаментов зданий, сооружений и инженерных сетей Юбилейного НГКМ (зона В) (этап 29)</v>
          </cell>
        </row>
        <row r="61">
          <cell r="O61" t="str">
            <v/>
          </cell>
          <cell r="W61" t="str">
            <v>051-2005199</v>
          </cell>
          <cell r="X61" t="str">
            <v>Реконструкция базы АТП НГДУ на 470 единиц Заполярного ГНКМ</v>
          </cell>
          <cell r="Y61" t="str">
            <v>051-200082612.3.1.1</v>
          </cell>
          <cell r="Z61" t="str">
            <v>051-2000826</v>
          </cell>
          <cell r="AA61" t="str">
            <v>12.3.1.1</v>
          </cell>
          <cell r="AB61" t="str">
            <v>Этап 3</v>
          </cell>
        </row>
        <row r="62">
          <cell r="O62" t="str">
            <v/>
          </cell>
          <cell r="W62" t="str">
            <v>051-2005696</v>
          </cell>
          <cell r="X62" t="str">
            <v>Реконструкция и техническое перевооружения нефтебазы и базы метанола  Заполярного ГНКМ</v>
          </cell>
          <cell r="Y62" t="str">
            <v>051-200084211.1.1.1.25</v>
          </cell>
          <cell r="Z62" t="str">
            <v>051-2000842</v>
          </cell>
          <cell r="AA62" t="str">
            <v>11.1.1.1.25</v>
          </cell>
          <cell r="AB62" t="str">
            <v>Монтаж теплоизоляции с электрообогревом обвязки КГС Восточного купола</v>
          </cell>
        </row>
        <row r="63">
          <cell r="O63" t="str">
            <v/>
          </cell>
          <cell r="W63" t="str">
            <v>051-2006572</v>
          </cell>
          <cell r="X63" t="str">
            <v>Техническое перевооружение газоперекачивающих агрегатов ДКС УКПГ-2С, УКПГ-3С Заполярного НГКМ</v>
          </cell>
          <cell r="Y63" t="str">
            <v>051-200084211.2.1.1.25</v>
          </cell>
          <cell r="Z63" t="str">
            <v>051-2000842</v>
          </cell>
          <cell r="AA63" t="str">
            <v>11.2.1.1.25</v>
          </cell>
          <cell r="AB63" t="str">
            <v>Монтаж камеры запуска и приема диагностического и очистного оборудования (Ду500) на участках трубопровода от УППГ Северного купола до УКПГ</v>
          </cell>
        </row>
        <row r="64">
          <cell r="O64" t="str">
            <v/>
          </cell>
          <cell r="W64" t="str">
            <v>051-2007099</v>
          </cell>
          <cell r="X64" t="str">
            <v>Реконструкция системы утилизации газов выветривания валанжинского комплекса Заполярного НГКМ</v>
          </cell>
          <cell r="Y64" t="str">
            <v>051-200084211.2.1.2.25</v>
          </cell>
          <cell r="Z64" t="str">
            <v>051-2000842</v>
          </cell>
          <cell r="AA64" t="str">
            <v>11.2.1.2.25</v>
          </cell>
          <cell r="AB64" t="str">
            <v>Монтаж камеры запуска и приема диагностического и очистного оборудования (Ду1000) на участках трубопровода от УППГ Северного купола до УКПГ</v>
          </cell>
        </row>
        <row r="65">
          <cell r="O65" t="str">
            <v/>
          </cell>
          <cell r="W65" t="str">
            <v>051-2007297</v>
          </cell>
          <cell r="X65" t="str">
            <v>Техническое перевооружение систем термостабилизации грунтов производственных объектов Заполярного НГКМ</v>
          </cell>
          <cell r="Y65" t="str">
            <v>051-200084211.3.1.1.25</v>
          </cell>
          <cell r="Z65" t="str">
            <v>051-2000842</v>
          </cell>
          <cell r="AA65" t="str">
            <v>11.3.1.1.25</v>
          </cell>
          <cell r="AB65" t="str">
            <v>Устройство перепускной линии на площадке УКПГ от выходного коллектора ЦОГ до ППА</v>
          </cell>
        </row>
        <row r="66">
          <cell r="O66" t="str">
            <v/>
          </cell>
          <cell r="W66" t="str">
            <v>051-3001233</v>
          </cell>
          <cell r="X66" t="str">
            <v>Эксплуатационное бурение. Обустройство газоконденсатных залежей Заполярного НГКМ</v>
          </cell>
          <cell r="Y66" t="str">
            <v>051-200087215.2.0.12</v>
          </cell>
          <cell r="Z66" t="str">
            <v>051-2000872</v>
          </cell>
          <cell r="AA66" t="str">
            <v>15.2.0.12</v>
          </cell>
          <cell r="AB66" t="str">
            <v>Реконструкция газопровода</v>
          </cell>
        </row>
        <row r="67">
          <cell r="O67" t="str">
            <v/>
          </cell>
          <cell r="W67" t="str">
            <v>051-2001243</v>
          </cell>
          <cell r="X67" t="str">
            <v>Дожимная компрессорная станция на УКПГ-2С Заполярного НГКМ (2 очередь)</v>
          </cell>
          <cell r="Y67" t="str">
            <v>051-200087715.2.0.1.24</v>
          </cell>
          <cell r="Z67" t="str">
            <v>051-2000877</v>
          </cell>
          <cell r="AA67" t="str">
            <v>15.2.0.1.24</v>
          </cell>
          <cell r="AB67" t="str">
            <v>Этап 1– Участок трубопровода 0-118 км</v>
          </cell>
        </row>
        <row r="68">
          <cell r="O68" t="str">
            <v/>
          </cell>
          <cell r="W68" t="str">
            <v>051-2001244</v>
          </cell>
          <cell r="X68" t="str">
            <v>Дожимная компрессорная станция на УКПГ-3С Заполярного НГКМ (2 очередь)</v>
          </cell>
          <cell r="Y68" t="str">
            <v>051-200087715.2.0.2.24</v>
          </cell>
          <cell r="Z68" t="str">
            <v>051-2000877</v>
          </cell>
          <cell r="AA68" t="str">
            <v>15.2.0.2.24</v>
          </cell>
          <cell r="AB68" t="str">
            <v>Этап 2- Участок трубопровода 118-233 км</v>
          </cell>
        </row>
        <row r="69">
          <cell r="O69" t="str">
            <v/>
          </cell>
          <cell r="W69" t="str">
            <v>051-2004010</v>
          </cell>
          <cell r="X69" t="str">
            <v>Обустройство туронской залежи Заполярного НГКМ на период ОПР</v>
          </cell>
          <cell r="Y69" t="str">
            <v>051-200087715.2.0.3.24</v>
          </cell>
          <cell r="Z69" t="str">
            <v>051-2000877</v>
          </cell>
          <cell r="AA69" t="str">
            <v>15.2.0.3.24</v>
          </cell>
          <cell r="AB69" t="str">
            <v>Этап 3- Участок трубопровода 233-342 км</v>
          </cell>
        </row>
        <row r="70">
          <cell r="O70" t="str">
            <v/>
          </cell>
          <cell r="W70" t="str">
            <v>051-3004010</v>
          </cell>
          <cell r="X70" t="str">
            <v>Эксплуатационное бурение. Обустройство туронской залежи Заполярного НГКМ на период ОПР</v>
          </cell>
          <cell r="Y70" t="str">
            <v>051-200087815.2.0.16.24</v>
          </cell>
          <cell r="Z70" t="str">
            <v>051-2000878</v>
          </cell>
          <cell r="AA70" t="str">
            <v>15.2.0.16.24</v>
          </cell>
          <cell r="AB70" t="str">
            <v>1 этап - газопровод г.н.г. УКПГ-14 - ГПЗ</v>
          </cell>
        </row>
        <row r="71">
          <cell r="O71" t="str">
            <v/>
          </cell>
          <cell r="W71" t="str">
            <v>051-2005979</v>
          </cell>
          <cell r="X71" t="str">
            <v>ДКС на УКПГ-1В Заполярного НГКМ</v>
          </cell>
          <cell r="Y71" t="str">
            <v>051-200087815.2.0.17.24</v>
          </cell>
          <cell r="Z71" t="str">
            <v>051-2000878</v>
          </cell>
          <cell r="AA71" t="str">
            <v>15.2.0.17.24</v>
          </cell>
          <cell r="AB71" t="str">
            <v>3 этап - газопровод г.н.г. УКПГ-16 - ГПЗ I нитка</v>
          </cell>
        </row>
        <row r="72">
          <cell r="O72" t="str">
            <v/>
          </cell>
          <cell r="W72" t="str">
            <v>051-2005980</v>
          </cell>
          <cell r="X72" t="str">
            <v>ДКС на УКПГ-2В Заполярного НГКМ</v>
          </cell>
          <cell r="Y72" t="str">
            <v>051-200087815.2.0.18.24</v>
          </cell>
          <cell r="Z72" t="str">
            <v>051-2000878</v>
          </cell>
          <cell r="AA72" t="str">
            <v>15.2.0.18.24</v>
          </cell>
          <cell r="AB72" t="str">
            <v>4 этап - конденсатопровод к.н.к. УКПГ-14 - УКПГ-15</v>
          </cell>
        </row>
        <row r="73">
          <cell r="O73" t="str">
            <v/>
          </cell>
          <cell r="W73" t="str">
            <v>051-3001236</v>
          </cell>
          <cell r="X73" t="str">
            <v xml:space="preserve">Эксплуатационное бурение. Обустройство Заполярного ГНКМ </v>
          </cell>
          <cell r="Y73" t="str">
            <v>051-200087815.2.0.19.24</v>
          </cell>
          <cell r="Z73" t="str">
            <v>051-2000878</v>
          </cell>
          <cell r="AA73" t="str">
            <v>15.2.0.19.24</v>
          </cell>
          <cell r="AB73" t="str">
            <v>7 этап - метанолопровод м.с.м УКПГ-15 - УКПГ-14</v>
          </cell>
        </row>
        <row r="74">
          <cell r="O74" t="str">
            <v/>
          </cell>
          <cell r="W74" t="str">
            <v>051-2001219</v>
          </cell>
          <cell r="X74" t="str">
            <v>Обустройство газового месторождения Каменномысское-море</v>
          </cell>
          <cell r="Y74" t="str">
            <v>051-200087815.2.0.20.24</v>
          </cell>
          <cell r="Z74" t="str">
            <v>051-2000878</v>
          </cell>
          <cell r="AA74" t="str">
            <v>15.2.0.20.24</v>
          </cell>
          <cell r="AB74" t="str">
            <v>2 этап - газопровод г.н.г. УКПГ-15 - ГПЗ</v>
          </cell>
        </row>
        <row r="75">
          <cell r="O75" t="str">
            <v/>
          </cell>
          <cell r="W75" t="str">
            <v>051-3001219</v>
          </cell>
          <cell r="X75" t="str">
            <v>Эксплуатационное бурение. Обустройство газового месторождения Каменномысское-море</v>
          </cell>
          <cell r="Y75" t="str">
            <v>051-200087815.2.0.21.24</v>
          </cell>
          <cell r="Z75" t="str">
            <v>051-2000878</v>
          </cell>
          <cell r="AA75" t="str">
            <v>15.2.0.21.24</v>
          </cell>
          <cell r="AB75" t="str">
            <v>5 этап - конденсатопровод к.н.к. УКПГ-15 – ГПЗ</v>
          </cell>
        </row>
        <row r="76">
          <cell r="O76" t="str">
            <v/>
          </cell>
          <cell r="W76" t="str">
            <v>051-2005984</v>
          </cell>
          <cell r="X76" t="str">
            <v>Реконструкция берегового технологического комплекса Киринского ГКМ  (2 очередь)</v>
          </cell>
          <cell r="Y76" t="str">
            <v>051-200087815.2.0.22.24</v>
          </cell>
          <cell r="Z76" t="str">
            <v>051-2000878</v>
          </cell>
          <cell r="AA76" t="str">
            <v>15.2.0.22.24</v>
          </cell>
          <cell r="AB76" t="str">
            <v>6 этап - газопровод г.о.г. УКПГ-15 - УКПГ-14</v>
          </cell>
        </row>
        <row r="77">
          <cell r="O77" t="str">
            <v/>
          </cell>
          <cell r="W77" t="str">
            <v>051-2006278</v>
          </cell>
          <cell r="X77" t="str">
            <v>Реконструкция объектов Киринского ГКМ  (3 очередь)</v>
          </cell>
          <cell r="Y77" t="str">
            <v>051-200087815.2.0.2.25</v>
          </cell>
          <cell r="Z77" t="str">
            <v>051-2000878</v>
          </cell>
          <cell r="AA77" t="str">
            <v>15.2.0.2.25</v>
          </cell>
          <cell r="AB77" t="str">
            <v>8 этап - г.к.п. УКПГ-16-ГПЗ III нитка, г.н.г. УКПГ-16- ГПЗ II нитка (изменение к ТЗ)</v>
          </cell>
        </row>
        <row r="78">
          <cell r="O78" t="str">
            <v/>
          </cell>
          <cell r="W78" t="str">
            <v>051-2007136</v>
          </cell>
          <cell r="X78" t="str">
            <v>Реконструкция азотно-компрессорной станции УКПГ Киринского ГКМ</v>
          </cell>
          <cell r="Y78" t="str">
            <v>051-200088015.1.0.7</v>
          </cell>
          <cell r="Z78" t="str">
            <v>051-2000880</v>
          </cell>
          <cell r="AA78" t="str">
            <v>15.1.0.7</v>
          </cell>
          <cell r="AB78" t="str">
            <v>Оснащение газовых скважин локальной автоматикой</v>
          </cell>
        </row>
        <row r="79">
          <cell r="O79" t="str">
            <v/>
          </cell>
          <cell r="W79" t="str">
            <v>051-2006439</v>
          </cell>
          <cell r="X79" t="str">
            <v>Реконструкция БТК Киринского ГКМ (4 очередь) *</v>
          </cell>
          <cell r="Y79" t="str">
            <v>051-200088015.1.0.5.25</v>
          </cell>
          <cell r="Z79" t="str">
            <v>051-2000880</v>
          </cell>
          <cell r="AA79" t="str">
            <v>15.1.0.5.25</v>
          </cell>
          <cell r="AB79" t="str">
            <v>Оснащение газовых скважин локальной автоматикой</v>
          </cell>
        </row>
        <row r="80">
          <cell r="O80" t="str">
            <v/>
          </cell>
          <cell r="W80" t="str">
            <v>051-2001292</v>
          </cell>
          <cell r="X80" t="str">
            <v>Обустройство Киринского ГКМ</v>
          </cell>
          <cell r="Y80" t="str">
            <v>051-20012042.1.1В.8</v>
          </cell>
          <cell r="Z80" t="str">
            <v>051-2001204</v>
          </cell>
          <cell r="AA80" t="str">
            <v>2.1.1В.8</v>
          </cell>
          <cell r="AB80" t="str">
            <v>Обвязка устьев газовых скважин УКПГ-1В Ямбургского ГКМ (этапы 8-41 - 8-45)</v>
          </cell>
        </row>
        <row r="81">
          <cell r="O81" t="str">
            <v/>
          </cell>
          <cell r="W81" t="str">
            <v>051-2006437</v>
          </cell>
          <cell r="X81" t="str">
            <v>Реконструкция УПГ-102 Ковыктинского ГКМ</v>
          </cell>
          <cell r="Y81" t="str">
            <v>051-20012042.1.2В.1</v>
          </cell>
          <cell r="Z81" t="str">
            <v>051-2001204</v>
          </cell>
          <cell r="AA81" t="str">
            <v>2.1.2В.1</v>
          </cell>
          <cell r="AB81" t="str">
            <v>Обвязка устьев газовых скважин УППГ-2В Ямбургского ГКМ (этапы 9-18 - 9-20)</v>
          </cell>
        </row>
        <row r="82">
          <cell r="O82" t="str">
            <v/>
          </cell>
          <cell r="W82" t="str">
            <v>051-2007331</v>
          </cell>
          <cell r="X82" t="str">
            <v>Техническое перевооружение объектов добычи Ковыктинского ГКМ</v>
          </cell>
          <cell r="Y82" t="str">
            <v>051-20012042.1.3В.1</v>
          </cell>
          <cell r="Z82" t="str">
            <v>051-2001204</v>
          </cell>
          <cell r="AA82" t="str">
            <v>2.1.3В.1</v>
          </cell>
          <cell r="AB82" t="str">
            <v>Обвязка устьев газовых скважин УППГ-3В Ямбургского ГКМ (этапы 10-17 - 10-21)</v>
          </cell>
        </row>
        <row r="83">
          <cell r="O83" t="str">
            <v/>
          </cell>
          <cell r="W83" t="str">
            <v>ГДИ-0002.2026</v>
          </cell>
          <cell r="X83" t="str">
            <v>Техническое перевооружение технологических схем УКПГ-2 и УКПГ-3  Ковыктинского ГКМ</v>
          </cell>
          <cell r="Y83" t="str">
            <v>051-20012042.3.1В.1</v>
          </cell>
          <cell r="Z83" t="str">
            <v>051-2001204</v>
          </cell>
          <cell r="AA83" t="str">
            <v>2.3.1В.1</v>
          </cell>
          <cell r="AB83" t="str">
            <v>Этап 8-1
Реконструкция блока подсобнопроизводственных помещений УКПГ-1В Ямбургского ГКМ</v>
          </cell>
        </row>
        <row r="84">
          <cell r="O84" t="str">
            <v/>
          </cell>
          <cell r="W84" t="str">
            <v>ГДИ-0003.2026</v>
          </cell>
          <cell r="X84" t="str">
            <v>Техническое перевооружение УКПГ-2 и УКПГ-3 Ковыктинского ГКМ</v>
          </cell>
          <cell r="Y84" t="str">
            <v>051-20012042.3.1В.2</v>
          </cell>
          <cell r="Z84" t="str">
            <v>051-2001204</v>
          </cell>
          <cell r="AA84" t="str">
            <v>2.3.1В.2</v>
          </cell>
          <cell r="AB84" t="str">
            <v>Этап 8-4
Реконструкция технологического корпуса регенерации ДЭГа и метанола УКПГ-1В Ямбургского ГКМ</v>
          </cell>
        </row>
        <row r="85">
          <cell r="O85" t="str">
            <v/>
          </cell>
          <cell r="W85" t="str">
            <v>ГДИ-0004.2026</v>
          </cell>
          <cell r="X85" t="str">
            <v>Реконструкция перевооружение газосборного коллектора кустов скважин 206, 207 и 208  Ковыктинского ГКМ</v>
          </cell>
          <cell r="Y85" t="str">
            <v>051-20012042.3.1В.3</v>
          </cell>
          <cell r="Z85" t="str">
            <v>051-2001204</v>
          </cell>
          <cell r="AA85" t="str">
            <v>2.3.1В.3</v>
          </cell>
          <cell r="AB85" t="str">
            <v>Этап 8-6
Реконструкция технологического корпуса подготовки газа и конденсата УКПГ-1В Ямбургского ГКМ</v>
          </cell>
        </row>
        <row r="86">
          <cell r="O86" t="str">
            <v/>
          </cell>
          <cell r="W86" t="str">
            <v>051-3000707</v>
          </cell>
          <cell r="X86" t="str">
            <v>Эксплуатационное бурение. Обустройство Ковыктинского газоконденсатного месторождения на период ОПР</v>
          </cell>
          <cell r="Y86" t="str">
            <v>051-20012042.3.1В.6</v>
          </cell>
          <cell r="Z86" t="str">
            <v>051-2001204</v>
          </cell>
          <cell r="AA86" t="str">
            <v>2.3.1В.6</v>
          </cell>
          <cell r="AB86" t="str">
            <v>Этап 8-9
Реконструкция пункта переключающей арматуры. УКПГ-1В Ямбургского ГКМ</v>
          </cell>
        </row>
        <row r="87">
          <cell r="O87" t="str">
            <v/>
          </cell>
          <cell r="W87" t="str">
            <v>051-2000714</v>
          </cell>
          <cell r="X87" t="str">
            <v>Обустройство Ковыктинского газоконденсатного месторождения</v>
          </cell>
          <cell r="Y87" t="str">
            <v>051-20012042.3.1В.9</v>
          </cell>
          <cell r="Z87" t="str">
            <v>051-2001204</v>
          </cell>
          <cell r="AA87" t="str">
            <v>2.3.1В.9</v>
          </cell>
          <cell r="AB87" t="str">
            <v>Этап 8-12
Реконструкция установки АВО УКПГ-1В ЯГКМ</v>
          </cell>
        </row>
        <row r="88">
          <cell r="O88" t="str">
            <v/>
          </cell>
          <cell r="W88" t="str">
            <v>051-3000714</v>
          </cell>
          <cell r="X88" t="str">
            <v>Эксплуатационное бурение. Обустройство Ковыктинского газоконденсатного месторождения</v>
          </cell>
          <cell r="Y88" t="str">
            <v>051-20012042.3.1В.13</v>
          </cell>
          <cell r="Z88" t="str">
            <v>051-2001204</v>
          </cell>
          <cell r="AA88" t="str">
            <v>2.3.1В.13</v>
          </cell>
          <cell r="AB88" t="str">
            <v>Этап 8-26
Реконструкция системы автоматического пожаротушения УКПГ-1В Ямбургского ГКМ</v>
          </cell>
        </row>
        <row r="89">
          <cell r="O89" t="str">
            <v/>
          </cell>
          <cell r="W89" t="str">
            <v>051-2006438</v>
          </cell>
          <cell r="X89" t="str">
            <v>Обустройство площадки по переработке гидроминерального сырья Ковыктинского ГКМ на период ОПР</v>
          </cell>
          <cell r="Y89" t="str">
            <v>051-20012041.3.1.2</v>
          </cell>
          <cell r="Z89" t="str">
            <v>051-2001204</v>
          </cell>
          <cell r="AA89" t="str">
            <v>1.3.1.2</v>
          </cell>
          <cell r="AB89" t="str">
            <v>Этап 1-2 
Реконструкция технологического корпуса регенерации ДЭГа УКПГ-1 Ямбургского ГКМ</v>
          </cell>
        </row>
        <row r="90">
          <cell r="O90" t="str">
            <v/>
          </cell>
          <cell r="W90" t="str">
            <v>051-2007137</v>
          </cell>
          <cell r="X90" t="str">
            <v>Реконструкция ТОК Окунайский Ковыктинского ГКМ</v>
          </cell>
          <cell r="Y90" t="str">
            <v>051-20012041.3.1.3</v>
          </cell>
          <cell r="Z90" t="str">
            <v>051-2001204</v>
          </cell>
          <cell r="AA90" t="str">
            <v>1.3.1.3</v>
          </cell>
          <cell r="AB90" t="str">
            <v>Этап 1-3 
Насосная технологическая УКПГ-1 Ямбургского ГКМ</v>
          </cell>
        </row>
        <row r="91">
          <cell r="O91" t="str">
            <v/>
          </cell>
          <cell r="W91" t="str">
            <v>051-2007138</v>
          </cell>
          <cell r="X91" t="str">
            <v>Реконструкция дренажной системы КС газов стабилизации УКПГ-2 Ковыктинского ГКМ</v>
          </cell>
          <cell r="Y91" t="str">
            <v>051-20012041.3.1.4</v>
          </cell>
          <cell r="Z91" t="str">
            <v>051-2001204</v>
          </cell>
          <cell r="AA91" t="str">
            <v>1.3.1.4</v>
          </cell>
          <cell r="AB91" t="str">
            <v>Этап 1-4 
Реконструкция  технологического  корпуса подготовки   газа  УКПГ-1  Ямбургского  ГКМ</v>
          </cell>
        </row>
        <row r="92">
          <cell r="O92" t="str">
            <v/>
          </cell>
          <cell r="W92" t="str">
            <v>051-2000842</v>
          </cell>
          <cell r="X92" t="str">
            <v>Реконструкция Комсомольского газового промысла (2 этап)</v>
          </cell>
          <cell r="Y92" t="str">
            <v>051-20012041.3.1.5</v>
          </cell>
          <cell r="Z92" t="str">
            <v>051-2001204</v>
          </cell>
          <cell r="AA92" t="str">
            <v>1.3.1.5</v>
          </cell>
          <cell r="AB92" t="str">
            <v>Этап 1-5
Реконструкция пункта переключающей арматуры. УКПГ-1 Ямбургского ГКМ.</v>
          </cell>
        </row>
        <row r="93">
          <cell r="O93" t="str">
            <v/>
          </cell>
          <cell r="W93" t="str">
            <v>051-2006523</v>
          </cell>
          <cell r="X93" t="str">
            <v>Реконструкция объектов подготовки и транспортировки газа Комсомольского газового промысла</v>
          </cell>
          <cell r="Y93" t="str">
            <v>051-20012041.3.1.6.24</v>
          </cell>
          <cell r="Z93" t="str">
            <v>051-2001204</v>
          </cell>
          <cell r="AA93" t="str">
            <v>1.3.1.6.24</v>
          </cell>
          <cell r="AB93" t="str">
            <v>Этап 1-6
Пункт редуцирования газа собственных нужд УКПГ-1 Ямбургского  ГКМ</v>
          </cell>
        </row>
        <row r="94">
          <cell r="O94" t="str">
            <v/>
          </cell>
          <cell r="W94" t="str">
            <v>051-2006514</v>
          </cell>
          <cell r="X94" t="str">
            <v>Внедрение технологии непрерывной дозированной подачи жидких ПАВ в скважины Комсомольского газового промысла</v>
          </cell>
          <cell r="Y94" t="str">
            <v>051-20012041.3.1.8</v>
          </cell>
          <cell r="Z94" t="str">
            <v>051-2001204</v>
          </cell>
          <cell r="AA94" t="str">
            <v>1.3.1.8</v>
          </cell>
          <cell r="AB94" t="str">
            <v>Этап 1-8
Установка ресиверов азота УКПГ-1 Ямбургского ГКМ</v>
          </cell>
        </row>
        <row r="95">
          <cell r="O95" t="str">
            <v/>
          </cell>
          <cell r="W95" t="str">
            <v>051-2005685</v>
          </cell>
          <cell r="X95" t="str">
            <v>Техперевооружение ДКС Комсомольского газового месторождения. Замена СПЧ ГПА 1-й очереди 3-й ступени сжатия. 2-й этап</v>
          </cell>
          <cell r="Y95" t="str">
            <v>051-20012041.3.1.9</v>
          </cell>
          <cell r="Z95" t="str">
            <v>051-2001204</v>
          </cell>
          <cell r="AA95" t="str">
            <v>1.3.1.9</v>
          </cell>
          <cell r="AB95" t="str">
            <v>Этап 1-9
Реконструкция системы автоматического пожаротушения УКПГ-1 Ямбургского ГКМ</v>
          </cell>
        </row>
        <row r="96">
          <cell r="O96" t="str">
            <v/>
          </cell>
          <cell r="W96" t="str">
            <v>051-2005686</v>
          </cell>
          <cell r="X96" t="str">
            <v>Техническое перевооружение систем автоматизации Комсомольского газового промысла</v>
          </cell>
          <cell r="Y96" t="str">
            <v>051-20012041.3.2.2</v>
          </cell>
          <cell r="Z96" t="str">
            <v>051-2001204</v>
          </cell>
          <cell r="AA96" t="str">
            <v>1.3.2.2</v>
          </cell>
          <cell r="AB96" t="str">
            <v>Этап 2-5
Реконструкция пункта переключающей арматуры УКПГ-2 Ямбургского ГКМ.</v>
          </cell>
        </row>
        <row r="97">
          <cell r="O97" t="str">
            <v/>
          </cell>
          <cell r="W97" t="str">
            <v>051-2006341</v>
          </cell>
          <cell r="X97" t="str">
            <v>Техперевооружение газовых скважин Комсомольского газового промысла. Замена НКТ</v>
          </cell>
          <cell r="Y97" t="str">
            <v>051-20012041.3.3.3</v>
          </cell>
          <cell r="Z97" t="str">
            <v>051-2001204</v>
          </cell>
          <cell r="AA97" t="str">
            <v>1.3.3.3</v>
          </cell>
          <cell r="AB97" t="str">
            <v>Этап 3-5
Реконструкция УКПГ-3 (Реконструкция пункта переключающей арматуры УКПГ-3 Ямбургского ГКМ.</v>
          </cell>
        </row>
        <row r="98">
          <cell r="O98" t="str">
            <v/>
          </cell>
          <cell r="W98" t="str">
            <v>051-2007100</v>
          </cell>
          <cell r="X98" t="str">
            <v>Техническое перевооружение систем противопожарной защиты Комсомольского НГКМ</v>
          </cell>
          <cell r="Y98" t="str">
            <v>051-20012041.3.4.2</v>
          </cell>
          <cell r="Z98" t="str">
            <v>051-2001204</v>
          </cell>
          <cell r="AA98" t="str">
            <v>1.3.4.2</v>
          </cell>
          <cell r="AB98" t="str">
            <v>Этап 4-2 
Реконструкция технологического корпуса регенерации ДЭГа и метанола УКПГ-4 Ямбургского ГКМ</v>
          </cell>
        </row>
        <row r="99">
          <cell r="O99" t="str">
            <v/>
          </cell>
          <cell r="W99" t="str">
            <v>051-2004687</v>
          </cell>
          <cell r="X99" t="str">
            <v>Техперевооружение обвязки кустов газовых скважин Комсомольского газового промысла</v>
          </cell>
          <cell r="Y99" t="str">
            <v>051-20012041.3.4.3</v>
          </cell>
          <cell r="Z99" t="str">
            <v>051-2001204</v>
          </cell>
          <cell r="AA99" t="str">
            <v>1.3.4.3</v>
          </cell>
          <cell r="AB99" t="str">
            <v>Этап 4-3
Насосная технологическая. УКПГ-4 Ямбургского ГКМ</v>
          </cell>
        </row>
        <row r="100">
          <cell r="O100" t="str">
            <v/>
          </cell>
          <cell r="W100" t="str">
            <v>051-2006343</v>
          </cell>
          <cell r="X100" t="str">
            <v>Реконструкция полигона ТБиПО Кшукского ГКМ</v>
          </cell>
          <cell r="Y100" t="str">
            <v>051-20012041.3.4.4</v>
          </cell>
          <cell r="Z100" t="str">
            <v>051-2001204</v>
          </cell>
          <cell r="AA100" t="str">
            <v>1.3.4.4</v>
          </cell>
          <cell r="AB100" t="str">
            <v>Этап 4-4 
Реконструкция  технологического  корпуса подготовки   газа  УКПГ-4  Ямбургского  ГКМ</v>
          </cell>
        </row>
        <row r="101">
          <cell r="O101" t="str">
            <v/>
          </cell>
          <cell r="W101" t="str">
            <v>051-2006023</v>
          </cell>
          <cell r="X101" t="str">
            <v>Расширение Кшукского газоконденсатного месторождения. Подключение скважин №№ 71, 72</v>
          </cell>
          <cell r="Y101" t="str">
            <v>051-20012041.3.4.5</v>
          </cell>
          <cell r="Z101" t="str">
            <v>051-2001204</v>
          </cell>
          <cell r="AA101" t="str">
            <v>1.3.4.5</v>
          </cell>
          <cell r="AB101" t="str">
            <v>Этап 4-5
Реконструкция пункта переключающей арматуры. УКПГ-4 Ямбургского ГКМ.</v>
          </cell>
        </row>
        <row r="102">
          <cell r="O102" t="str">
            <v/>
          </cell>
          <cell r="W102" t="str">
            <v>051-2000791</v>
          </cell>
          <cell r="X102" t="str">
            <v>Газовые промыслы Медвежьего НГКМ. Реконструкция и техперевооружение. 2-я очередь строительства</v>
          </cell>
          <cell r="Y102" t="str">
            <v>051-20012041.3.4.8</v>
          </cell>
          <cell r="Z102" t="str">
            <v>051-2001204</v>
          </cell>
          <cell r="AA102" t="str">
            <v>1.3.4.8</v>
          </cell>
          <cell r="AB102" t="str">
            <v>Этап 4-8
Установка ресиверов азота УКПГ-4 Ямбургского ГКМ</v>
          </cell>
        </row>
        <row r="103">
          <cell r="O103" t="str">
            <v/>
          </cell>
          <cell r="W103" t="str">
            <v>051-2005701</v>
          </cell>
          <cell r="X103" t="str">
            <v>Реконструкция ЦДКС Медвежьего НГКМ</v>
          </cell>
          <cell r="Y103" t="str">
            <v>051-20012041.3.4.9</v>
          </cell>
          <cell r="Z103" t="str">
            <v>051-2001204</v>
          </cell>
          <cell r="AA103" t="str">
            <v>1.3.4.9</v>
          </cell>
          <cell r="AB103" t="str">
            <v>Этап 4-9
Реконструкция системы автоматического пожаротушения УКПГ-4 Ямбургского ГКМ</v>
          </cell>
        </row>
        <row r="104">
          <cell r="O104" t="str">
            <v/>
          </cell>
          <cell r="W104" t="str">
            <v>051-2005703</v>
          </cell>
          <cell r="X104" t="str">
            <v>Реконструкция МПК 1, 2, 3 Медвежьего НГКМ</v>
          </cell>
          <cell r="Y104" t="str">
            <v>051-20012041.3.4.11.24</v>
          </cell>
          <cell r="Z104" t="str">
            <v>051-2001204</v>
          </cell>
          <cell r="AA104" t="str">
            <v>1.3.4.11.24</v>
          </cell>
          <cell r="AB104" t="str">
            <v>Этап 4-6
Пункт редуцирования газа собственных нужд УКПГ-4 Ямбургского ГКМ</v>
          </cell>
        </row>
        <row r="105">
          <cell r="O105" t="str">
            <v/>
          </cell>
          <cell r="W105" t="str">
            <v>051-2005702</v>
          </cell>
          <cell r="X105" t="str">
            <v>Внедрение технологии непрерывной дозированной подачи жидких ПАВ в скважины Медвежьего НГКМ</v>
          </cell>
          <cell r="Y105" t="str">
            <v>051-20012041.3.5.1</v>
          </cell>
          <cell r="Z105" t="str">
            <v>051-2001204</v>
          </cell>
          <cell r="AA105" t="str">
            <v>1.3.5.1</v>
          </cell>
          <cell r="AB105" t="str">
            <v>Этап 5-5
Реконструкция УКПГ-5 Реконструкция пункта переключающей арматуры,  Реконструкция системы автоматического пожаротушения.</v>
          </cell>
        </row>
        <row r="106">
          <cell r="O106" t="str">
            <v/>
          </cell>
          <cell r="W106" t="str">
            <v>051-2006585</v>
          </cell>
          <cell r="X106" t="str">
            <v>Техническое перевооружение сети УКВ-радиосвязи на газовых промыслах Надым-Пур-Тазовского региона</v>
          </cell>
          <cell r="Y106" t="str">
            <v>051-20012041.3.6.2</v>
          </cell>
          <cell r="Z106" t="str">
            <v>051-2001204</v>
          </cell>
          <cell r="AA106" t="str">
            <v>1.3.6.2</v>
          </cell>
          <cell r="AB106" t="str">
            <v>Этап 6-2
Реконструкция технологического корпуса регенерации ДЭГа и метанола УКПГ-6 Ямбургского ГКМ</v>
          </cell>
        </row>
        <row r="107">
          <cell r="O107" t="str">
            <v/>
          </cell>
          <cell r="W107" t="str">
            <v>051-2006586</v>
          </cell>
          <cell r="X107" t="str">
            <v>Реконструкция сети оперативно-диспетчерской связи и оповещения ГОиЧС на газовых промыслах Надым-Пур-Тазовского региона</v>
          </cell>
          <cell r="Y107" t="str">
            <v>051-20012041.3.6.3</v>
          </cell>
          <cell r="Z107" t="str">
            <v>051-2001204</v>
          </cell>
          <cell r="AA107" t="str">
            <v>1.3.6.3</v>
          </cell>
          <cell r="AB107" t="str">
            <v>Этап 6-3
Насосная технологическая УКПГ-6 Ямбургского ГКМ</v>
          </cell>
        </row>
        <row r="108">
          <cell r="O108" t="str">
            <v/>
          </cell>
          <cell r="W108" t="str">
            <v>051-2006965</v>
          </cell>
          <cell r="X108" t="str">
            <v>Техническое перевооружение внутриплощадочных сетей газовых промыслов Медвежьего НГКМ</v>
          </cell>
          <cell r="Y108" t="str">
            <v>051-20012041.3.6.4</v>
          </cell>
          <cell r="Z108" t="str">
            <v>051-2001204</v>
          </cell>
          <cell r="AA108" t="str">
            <v>1.3.6.4</v>
          </cell>
          <cell r="AB108" t="str">
            <v>Этап 6-4
Реконструкция технологического корпуса подготовки газа УКПГ-6 Ямбургского ГКМ</v>
          </cell>
        </row>
        <row r="109">
          <cell r="O109" t="str">
            <v/>
          </cell>
          <cell r="W109" t="str">
            <v>051-2000812</v>
          </cell>
          <cell r="X109" t="str">
            <v>Обустройство берриас-валанжинских отложений Ныдинского участка Медвежьего НГКМ</v>
          </cell>
          <cell r="Y109" t="str">
            <v>051-20012041.3.6.5</v>
          </cell>
          <cell r="Z109" t="str">
            <v>051-2001204</v>
          </cell>
          <cell r="AA109" t="str">
            <v>1.3.6.5</v>
          </cell>
          <cell r="AB109" t="str">
            <v>Этап 6-5
Реконструкция пункта переключающей арматуры. УКПГ-6 Ямбургского ГКМ.</v>
          </cell>
        </row>
        <row r="110">
          <cell r="O110" t="str">
            <v/>
          </cell>
          <cell r="W110" t="str">
            <v>051-3000812</v>
          </cell>
          <cell r="X110" t="str">
            <v>Эксплуатационное бурение. Медвежье НГКМ Ныдинский участок (берриас-валанжинские отложения)</v>
          </cell>
          <cell r="Y110" t="str">
            <v>051-20012041.3.6.7</v>
          </cell>
          <cell r="Z110" t="str">
            <v>051-2001204</v>
          </cell>
          <cell r="AA110" t="str">
            <v>1.3.6.7</v>
          </cell>
          <cell r="AB110" t="str">
            <v>Этап 6-9
Установка ресиверов азота УКПГ-6 Ямбургского ГКМ</v>
          </cell>
        </row>
        <row r="111">
          <cell r="O111" t="str">
            <v/>
          </cell>
          <cell r="W111" t="str">
            <v>051-2000821</v>
          </cell>
          <cell r="X111" t="str">
            <v>Обустройство площадей в районе 
УКПГ-1 Медвежьего НГКМ (пласты БН-3,4,5)</v>
          </cell>
          <cell r="Y111" t="str">
            <v>051-20012041.3.6.8</v>
          </cell>
          <cell r="Z111" t="str">
            <v>051-2001204</v>
          </cell>
          <cell r="AA111" t="str">
            <v>1.3.6.8</v>
          </cell>
          <cell r="AB111" t="str">
            <v>Этап 6-10
Реконструкция системы автоматического пожаротушения УКПГ-6 Ямбургского ГКМ</v>
          </cell>
        </row>
        <row r="112">
          <cell r="O112" t="str">
            <v/>
          </cell>
          <cell r="W112" t="str">
            <v>051-3000821</v>
          </cell>
          <cell r="X112" t="str">
            <v xml:space="preserve">Эксплуатационное бурение. Медвежье НГКМ (Обустройство площадей в районе УКПГ-1) </v>
          </cell>
          <cell r="Y112" t="str">
            <v>051-20012041.3.6.9.24</v>
          </cell>
          <cell r="Z112" t="str">
            <v>051-2001204</v>
          </cell>
          <cell r="AA112" t="str">
            <v>1.3.6.9.24</v>
          </cell>
          <cell r="AB112" t="str">
            <v>Этап 6-6
Пункт  редуцирования  газа  собственных нужд  УКПГ-6  Ямбургского  ГКМ</v>
          </cell>
        </row>
        <row r="113">
          <cell r="O113" t="str">
            <v/>
          </cell>
          <cell r="W113" t="str">
            <v>051-3006560</v>
          </cell>
          <cell r="X113" t="str">
            <v>Эксплуатационное бурение. Медвежье НГКМ. Восстановление газовых скважин зарезкой боковых стволов</v>
          </cell>
          <cell r="Y113" t="str">
            <v>051-20012042.3.2В.1</v>
          </cell>
          <cell r="Z113" t="str">
            <v>051-2001204</v>
          </cell>
          <cell r="AA113" t="str">
            <v>2.3.2В.1</v>
          </cell>
          <cell r="AB113" t="str">
            <v>Этап 9-1
Реконструкция корпуса технологического УППГ-2В</v>
          </cell>
        </row>
        <row r="114">
          <cell r="O114" t="str">
            <v/>
          </cell>
          <cell r="W114" t="str">
            <v>051-2005678</v>
          </cell>
          <cell r="X114" t="str">
            <v>ДКС на УКПГ-Н Медвежьего НГКМ</v>
          </cell>
          <cell r="Y114" t="str">
            <v>051-20012042.3.2В.2</v>
          </cell>
          <cell r="Z114" t="str">
            <v>051-2001204</v>
          </cell>
          <cell r="AA114" t="str">
            <v>2.3.2В.2</v>
          </cell>
          <cell r="AB114" t="str">
            <v>Этап 9-2
Реконструкция  здания подогрева газа УППГ-2В</v>
          </cell>
        </row>
        <row r="115">
          <cell r="O115" t="str">
            <v/>
          </cell>
          <cell r="W115" t="str">
            <v>051-3004873</v>
          </cell>
          <cell r="X115" t="str">
            <v>Эксплуатационное бурение. Мирненское газоконденсатное месторождение (нижний мел)</v>
          </cell>
          <cell r="Y115" t="str">
            <v>051-20012042.3.2В.3</v>
          </cell>
          <cell r="Z115" t="str">
            <v>051-2001204</v>
          </cell>
          <cell r="AA115" t="str">
            <v>2.3.2В.3</v>
          </cell>
          <cell r="AB115" t="str">
            <v>Этап 9-4
Реконструкция факельного хозяйства УППГ-2В</v>
          </cell>
        </row>
        <row r="116">
          <cell r="O116" t="str">
            <v/>
          </cell>
          <cell r="W116" t="str">
            <v>051-2006521</v>
          </cell>
          <cell r="X116" t="str">
            <v>Внедрение технологии непрерывной дозированной подачи жидких ПАВ в скважины Нижнеквакчикского месторождения</v>
          </cell>
          <cell r="Y116" t="str">
            <v>051-20012042.3.2В.4</v>
          </cell>
          <cell r="Z116" t="str">
            <v>051-2001204</v>
          </cell>
          <cell r="AA116" t="str">
            <v>2.3.2В.4</v>
          </cell>
          <cell r="AB116" t="str">
            <v>Этап 9-5
Установка ресиверов азота УППГ-2В</v>
          </cell>
        </row>
        <row r="117">
          <cell r="O117" t="str">
            <v/>
          </cell>
          <cell r="W117" t="str">
            <v>051-2007103</v>
          </cell>
          <cell r="X117" t="str">
            <v>Реконструкция Камчатского ГПУ</v>
          </cell>
          <cell r="Y117" t="str">
            <v>051-20012042.3.2В.5</v>
          </cell>
          <cell r="Z117" t="str">
            <v>051-2001204</v>
          </cell>
          <cell r="AA117" t="str">
            <v>2.3.2В.5</v>
          </cell>
          <cell r="AB117" t="str">
            <v>Этап 9-6
Реконструкция системы автоматического пожаротушения  УППГ-2В</v>
          </cell>
        </row>
        <row r="118">
          <cell r="O118" t="str">
            <v/>
          </cell>
          <cell r="W118" t="str">
            <v>051-2006340</v>
          </cell>
          <cell r="X118" t="str">
            <v>Техперевооружение газоконденсатных скважин Нижнеквакчикского ГКМ. Замена НКТ</v>
          </cell>
          <cell r="Y118" t="str">
            <v>051-20012042.3.2В.6</v>
          </cell>
          <cell r="Z118" t="str">
            <v>051-2001204</v>
          </cell>
          <cell r="AA118" t="str">
            <v>2.3.2В.6</v>
          </cell>
          <cell r="AB118" t="str">
            <v>Этап 9-8
Реконструкция подстанции комплектной трансформаторной УППГ-2В</v>
          </cell>
        </row>
        <row r="119">
          <cell r="O119" t="str">
            <v/>
          </cell>
          <cell r="W119" t="str">
            <v>051-2004688</v>
          </cell>
          <cell r="X119" t="str">
            <v>ДКС Нижне-Квакчикского газоконденсатного месторождения</v>
          </cell>
          <cell r="Y119" t="str">
            <v>051-20012042.3.2В.7</v>
          </cell>
          <cell r="Z119" t="str">
            <v>051-2001204</v>
          </cell>
          <cell r="AA119" t="str">
            <v>2.3.2В.7</v>
          </cell>
          <cell r="AB119" t="str">
            <v>Этап 9-11
Реконструкция установки подогрева теплоносителя УППГ-2В</v>
          </cell>
        </row>
        <row r="120">
          <cell r="O120" t="str">
            <v/>
          </cell>
          <cell r="W120" t="str">
            <v>051-2001315</v>
          </cell>
          <cell r="X120" t="str">
            <v>Техническое перевооружение и реконструкция объектов добычи газа ОНГКМ</v>
          </cell>
          <cell r="Y120" t="str">
            <v>051-20012042.3.2В.8</v>
          </cell>
          <cell r="Z120" t="str">
            <v>051-2001204</v>
          </cell>
          <cell r="AA120" t="str">
            <v>2.3.2В.8</v>
          </cell>
          <cell r="AB120" t="str">
            <v>Этап 9-17
Реконструкция системы автоматического пожаротушения УППГ-2В</v>
          </cell>
        </row>
        <row r="121">
          <cell r="O121" t="str">
            <v/>
          </cell>
          <cell r="W121" t="str">
            <v>051-2006449</v>
          </cell>
          <cell r="X121" t="str">
            <v>Техническое перевооружение скважин Оренбургского НГКМ</v>
          </cell>
          <cell r="Y121" t="str">
            <v>051-20012042.3.3В.1</v>
          </cell>
          <cell r="Z121" t="str">
            <v>051-2001204</v>
          </cell>
          <cell r="AA121" t="str">
            <v>2.3.3В.1</v>
          </cell>
          <cell r="AB121" t="str">
            <v>Этап 10-1 
Реконструкция корпуса технологического УППГ-3В</v>
          </cell>
        </row>
        <row r="122">
          <cell r="O122" t="str">
            <v/>
          </cell>
          <cell r="W122" t="str">
            <v>051-2001320</v>
          </cell>
          <cell r="X122" t="str">
            <v>Реконструкция ДКС-1,2 на Оренбургском НГКМ</v>
          </cell>
          <cell r="Y122" t="str">
            <v>051-20012042.3.3В.2</v>
          </cell>
          <cell r="Z122" t="str">
            <v>051-2001204</v>
          </cell>
          <cell r="AA122" t="str">
            <v>2.3.3В.2</v>
          </cell>
          <cell r="AB122" t="str">
            <v>Этап 10-2
Реконструкция огневых подогревателей УППГ-3В</v>
          </cell>
        </row>
        <row r="123">
          <cell r="O123" t="str">
            <v/>
          </cell>
          <cell r="W123" t="str">
            <v>051-2004003</v>
          </cell>
          <cell r="X123" t="str">
            <v>Реконструкция ДКС-3 Оренбургского НГКМ</v>
          </cell>
          <cell r="Y123" t="str">
            <v>051-20012042.3.3В.3</v>
          </cell>
          <cell r="Z123" t="str">
            <v>051-2001204</v>
          </cell>
          <cell r="AA123" t="str">
            <v>2.3.3В.3</v>
          </cell>
          <cell r="AB123" t="str">
            <v>Этап 10-4
Реконструкция факельного хозяйства УППГ-3В</v>
          </cell>
        </row>
        <row r="124">
          <cell r="O124" t="str">
            <v/>
          </cell>
          <cell r="W124" t="str">
            <v>051-2006450</v>
          </cell>
          <cell r="X124" t="str">
            <v>Подключение скважин, переведенных в эксплуатационный фонд Оренбургского НГКМ</v>
          </cell>
          <cell r="Y124" t="str">
            <v>051-20012042.3.3В.4</v>
          </cell>
          <cell r="Z124" t="str">
            <v>051-2001204</v>
          </cell>
          <cell r="AA124" t="str">
            <v>2.3.3В.4</v>
          </cell>
          <cell r="AB124" t="str">
            <v>Этап 10-5
Реконструкция системы автоматического пожаротушения УППГ-3В</v>
          </cell>
        </row>
        <row r="125">
          <cell r="O125" t="str">
            <v/>
          </cell>
          <cell r="W125" t="str">
            <v>051-2000880</v>
          </cell>
          <cell r="X125" t="str">
            <v>Оснащение устьев газовых скважин в затапливаемой зоне локальной автоматикой и телемеханикой управления скважиной</v>
          </cell>
          <cell r="Y125" t="str">
            <v>051-20012042.4.1В.2</v>
          </cell>
          <cell r="Z125" t="str">
            <v>051-2001204</v>
          </cell>
          <cell r="AA125" t="str">
            <v>2.4.1В.2</v>
          </cell>
          <cell r="AB125" t="str">
            <v>Этап 8-31
Реконструкция дожимной компрессорной станции (1 очередь) УКПГ-1В Ямбургского ГКМ</v>
          </cell>
        </row>
        <row r="126">
          <cell r="O126" t="str">
            <v/>
          </cell>
          <cell r="W126" t="str">
            <v>051-2005354</v>
          </cell>
          <cell r="X126" t="str">
            <v>Обводненный фонд газовых скважин Оренбургского нефтегазоконденсатного месторождения</v>
          </cell>
          <cell r="Y126" t="str">
            <v>051-20012042.5.1В.3</v>
          </cell>
          <cell r="Z126" t="str">
            <v>051-2001204</v>
          </cell>
          <cell r="AA126" t="str">
            <v>2.5.1В.3</v>
          </cell>
          <cell r="AB126" t="str">
            <v>Этап 8-34
Автоматизированная система управления энергоснабжением (АСУ Э) УКПГ-1В Ямбургского ГКМ</v>
          </cell>
        </row>
        <row r="127">
          <cell r="O127" t="str">
            <v/>
          </cell>
          <cell r="W127" t="str">
            <v>051-2005355</v>
          </cell>
          <cell r="X127" t="str">
            <v>Реконструкция скважины № 178 Оренбургского НГКМ для механизированной добычи газа по схеме прямой закачки пластовой воды в поглощающий горизонт</v>
          </cell>
          <cell r="Y127" t="str">
            <v>051-20012042.5.2В.1</v>
          </cell>
          <cell r="Z127" t="str">
            <v>051-2001204</v>
          </cell>
          <cell r="AA127" t="str">
            <v>2.5.2В.1</v>
          </cell>
          <cell r="AB127" t="str">
            <v>Этап 9-16
Автоматизированная система управления энергоснабжением (АСУ Э) УППГ-2В</v>
          </cell>
        </row>
        <row r="128">
          <cell r="O128" t="str">
            <v/>
          </cell>
          <cell r="W128" t="str">
            <v>051-2005482</v>
          </cell>
          <cell r="X128" t="str">
            <v>Реконструкция объектов ГПУ для приема, подготовки и учета продукции нефтяных скважин Филипповской залежи</v>
          </cell>
          <cell r="Y128" t="str">
            <v>051-20012042.5.3В.1</v>
          </cell>
          <cell r="Z128" t="str">
            <v>051-2001204</v>
          </cell>
          <cell r="AA128" t="str">
            <v>2.5.3В.1</v>
          </cell>
          <cell r="AB128" t="str">
            <v>Этап 10-16
Автоматизированная система управления энергоснабжением (АСУ Э) УППГ-3В</v>
          </cell>
        </row>
        <row r="129">
          <cell r="O129" t="str">
            <v/>
          </cell>
          <cell r="W129" t="str">
            <v>051-2005353</v>
          </cell>
          <cell r="X129" t="str">
            <v>Оснащение скважин сероводородсодержащих месторождений энергонезависимой системой телемеханики с функциями аварийной защиты и раннего оповещения</v>
          </cell>
          <cell r="Y129" t="str">
            <v>051-20012042.6.1В.1</v>
          </cell>
          <cell r="Z129" t="str">
            <v>051-2001204</v>
          </cell>
          <cell r="AA129" t="str">
            <v>2.6.1В.1</v>
          </cell>
          <cell r="AB129" t="str">
            <v>Этап 8-24
Реконструкция подстанции комплектной трансформаторной вспомогательных зданий и сооружений УКПГ-1В Ямбургского ГКМ</v>
          </cell>
        </row>
        <row r="130">
          <cell r="O130" t="str">
            <v/>
          </cell>
          <cell r="W130" t="str">
            <v>051-2005715</v>
          </cell>
          <cell r="X130" t="str">
            <v>Техперевооружение обвязки устьев скважин для регулировки подачи метанола</v>
          </cell>
          <cell r="Y130" t="str">
            <v>051-20012042.6.1В.3</v>
          </cell>
          <cell r="Z130" t="str">
            <v>051-2001204</v>
          </cell>
          <cell r="AA130" t="str">
            <v>2.6.1В.3</v>
          </cell>
          <cell r="AB130" t="str">
            <v>Этап 8-28
Реконструкция установки подогрева теплоносителя УКПГ-1В Ямбургского ГКМ</v>
          </cell>
        </row>
        <row r="131">
          <cell r="O131" t="str">
            <v/>
          </cell>
          <cell r="W131" t="str">
            <v>051-2006451</v>
          </cell>
          <cell r="X131" t="str">
            <v>Реконструкция технологических линий УКПГ-10 Оренбургского НГКМ</v>
          </cell>
          <cell r="Y131" t="str">
            <v>051-20012042.6.1В.4</v>
          </cell>
          <cell r="Z131" t="str">
            <v>051-2001204</v>
          </cell>
          <cell r="AA131" t="str">
            <v>2.6.1В.4</v>
          </cell>
          <cell r="AB131" t="str">
            <v>Этап 8-32
Сети внеплощадочные УКПГ-1В Ямбургского ГКМ</v>
          </cell>
        </row>
        <row r="132">
          <cell r="O132" t="str">
            <v/>
          </cell>
          <cell r="W132" t="str">
            <v>051-2000877</v>
          </cell>
          <cell r="X132" t="str">
            <v>Техперевооружение газоконденсатопроводов УЭСП по Абдулинскому направлению</v>
          </cell>
          <cell r="Y132" t="str">
            <v>051-20012042.6.1В.5.24</v>
          </cell>
          <cell r="Z132" t="str">
            <v>051-2001204</v>
          </cell>
          <cell r="AA132" t="str">
            <v>2.6.1В.5.24</v>
          </cell>
          <cell r="AB132" t="str">
            <v>Этап 8-27
Реконструкция станции водонасосной с резервуарами запаса воды УКПГ-1В Ямбургского ГКМ</v>
          </cell>
        </row>
        <row r="133">
          <cell r="O133" t="str">
            <v/>
          </cell>
          <cell r="W133" t="str">
            <v>051-2004659</v>
          </cell>
          <cell r="X133" t="str">
            <v>Газоконденсатопродуктопроводы УЭСП по Дедуровскому коридору</v>
          </cell>
          <cell r="Y133" t="str">
            <v>051-20012041.6.2.1</v>
          </cell>
          <cell r="Z133" t="str">
            <v>051-2001204</v>
          </cell>
          <cell r="AA133" t="str">
            <v>1.6.2.1</v>
          </cell>
          <cell r="AB133" t="str">
            <v>Этап 2-16
Реконструкция устройства закрытого распределительного ЗРУ-35/6кВ УКПГ-2 Ямбургского ГКМ</v>
          </cell>
        </row>
        <row r="134">
          <cell r="O134" t="str">
            <v/>
          </cell>
          <cell r="W134" t="str">
            <v>051-2000878</v>
          </cell>
          <cell r="X134" t="str">
            <v>Газоконденсатопродуктопроводы УЭСП по Западному коридору</v>
          </cell>
          <cell r="Y134" t="str">
            <v>051-20012041.6.2.2</v>
          </cell>
          <cell r="Z134" t="str">
            <v>051-2001204</v>
          </cell>
          <cell r="AA134" t="str">
            <v>1.6.2.2</v>
          </cell>
          <cell r="AB134" t="str">
            <v>Этап 2-17
Котельная УКПГ-2 Ямбургского ГКМ</v>
          </cell>
        </row>
        <row r="135">
          <cell r="O135" t="str">
            <v/>
          </cell>
          <cell r="W135" t="str">
            <v>051-2004652</v>
          </cell>
          <cell r="X135" t="str">
            <v>Газоконденсатопродуктопроводы УЭСП по Павловскому коридору</v>
          </cell>
          <cell r="Y135" t="str">
            <v>051-20012041.6.4.2</v>
          </cell>
          <cell r="Z135" t="str">
            <v>051-2001204</v>
          </cell>
          <cell r="AA135" t="str">
            <v>1.6.4.2</v>
          </cell>
          <cell r="AB135" t="str">
            <v>Этап 4-14
Реконструкция станции водонасосной, резервуаров запаса воды УКПГ-4 Ямбургского ГКМ</v>
          </cell>
        </row>
        <row r="136">
          <cell r="O136" t="str">
            <v/>
          </cell>
          <cell r="W136" t="str">
            <v>051-2004616</v>
          </cell>
          <cell r="X136" t="str">
            <v>Продуктопроводы УЭСП Салаватско-Уфимского направления</v>
          </cell>
          <cell r="Y136" t="str">
            <v>051-20012041.6.4.3.24</v>
          </cell>
          <cell r="Z136" t="str">
            <v>051-2001204</v>
          </cell>
          <cell r="AA136" t="str">
            <v>1.6.4.3.24</v>
          </cell>
          <cell r="AB136" t="str">
            <v>Этап 4-18
Реконструкция подстанции комплектной трансформаторной вспомогательных зданий и сооружений</v>
          </cell>
        </row>
        <row r="137">
          <cell r="O137" t="str">
            <v/>
          </cell>
          <cell r="W137" t="str">
            <v>051-2000872</v>
          </cell>
          <cell r="X137" t="str">
            <v>Реконструкция газопровода очищенного газа "Союз" - ДКС-1"</v>
          </cell>
          <cell r="Y137" t="str">
            <v>051-20012042.6.2В.1</v>
          </cell>
          <cell r="Z137" t="str">
            <v>051-2001204</v>
          </cell>
          <cell r="AA137" t="str">
            <v>2.6.2В.1</v>
          </cell>
          <cell r="AB137" t="str">
            <v>Этап 9-12. Реконструкция станции водонасосной УППГ-2В Ямбургского ГКМ</v>
          </cell>
        </row>
        <row r="138">
          <cell r="O138" t="str">
            <v/>
          </cell>
          <cell r="W138" t="str">
            <v>051-2007105</v>
          </cell>
          <cell r="X138" t="str">
            <v>Реконструкция технологической линии УКПГ-9 Оренбургского НГКМ с применением МКУ</v>
          </cell>
          <cell r="Y138" t="str">
            <v>051-20012042.6.2В.2</v>
          </cell>
          <cell r="Z138" t="str">
            <v>051-2001204</v>
          </cell>
          <cell r="AA138" t="str">
            <v>2.6.2В.2</v>
          </cell>
          <cell r="AB138" t="str">
            <v>Этап 9-15
Сети внеплощадочные УППГ-2В</v>
          </cell>
        </row>
        <row r="139">
          <cell r="O139" t="str">
            <v/>
          </cell>
          <cell r="W139" t="str">
            <v>051-2007106</v>
          </cell>
          <cell r="X139" t="str">
            <v>Реконструкция и техническое перевооружение УКПГ-2 ОНГКМ</v>
          </cell>
          <cell r="Y139" t="str">
            <v>051-20012042.6.3В.1</v>
          </cell>
          <cell r="Z139" t="str">
            <v>051-2001204</v>
          </cell>
          <cell r="AA139" t="str">
            <v>2.6.3В.1</v>
          </cell>
          <cell r="AB139" t="str">
            <v>Этап 10-7 Реконструкция подстанции комплектной трансформаторной УППГ-3В Ямбургского ГКМ</v>
          </cell>
        </row>
        <row r="140">
          <cell r="O140" t="str">
            <v/>
          </cell>
          <cell r="W140" t="str">
            <v>051-2007107</v>
          </cell>
          <cell r="X140" t="str">
            <v>Реконструкция и техническое перевооружение УКПГ-6 ОНГКМ</v>
          </cell>
          <cell r="Y140" t="str">
            <v>051-20012042.6.3В.2</v>
          </cell>
          <cell r="Z140" t="str">
            <v>051-2001204</v>
          </cell>
          <cell r="AA140" t="str">
            <v>2.6.3В.2</v>
          </cell>
          <cell r="AB140" t="str">
            <v>Этап 10-11 Реконструкция установки подогрева теплоносителя УППГ-3В Ямбургского ГКМ</v>
          </cell>
        </row>
        <row r="141">
          <cell r="O141" t="str">
            <v/>
          </cell>
          <cell r="W141" t="str">
            <v>051-2007108</v>
          </cell>
          <cell r="X141" t="str">
            <v>Реконструкция УКПГ-15 ОНГКМ</v>
          </cell>
          <cell r="Y141" t="str">
            <v>051-20012042.6.3В.3</v>
          </cell>
          <cell r="Z141" t="str">
            <v>051-2001204</v>
          </cell>
          <cell r="AA141" t="str">
            <v>2.6.3В.3</v>
          </cell>
          <cell r="AB141" t="str">
            <v>Этап 10-15
Сети внеплощадочные УППГ-3В</v>
          </cell>
        </row>
        <row r="142">
          <cell r="O142" t="str">
            <v/>
          </cell>
          <cell r="W142" t="str">
            <v>051-2007294</v>
          </cell>
          <cell r="X142" t="str">
            <v>Реконструкция и техническое перевооружение УКПГ-1 ОНГКМ</v>
          </cell>
          <cell r="Y142" t="str">
            <v>051-20012042.6.3В.4.25</v>
          </cell>
          <cell r="Z142" t="str">
            <v>051-2001204</v>
          </cell>
          <cell r="AA142" t="str">
            <v>2.6.3В.4.25</v>
          </cell>
          <cell r="AB142" t="str">
            <v>Этап 10-12. Реконструкция станции водонасосной УППГ-3В Ямбургского ГКМ</v>
          </cell>
        </row>
        <row r="143">
          <cell r="O143" t="str">
            <v/>
          </cell>
          <cell r="W143" t="str">
            <v>051-2007295</v>
          </cell>
          <cell r="X143" t="str">
            <v>Реконструкция и техническое перевооружение УКПГ-12 ОНГКМ</v>
          </cell>
          <cell r="Y143" t="str">
            <v>051-20012041.8.6.1</v>
          </cell>
          <cell r="Z143" t="str">
            <v>051-2001204</v>
          </cell>
          <cell r="AA143" t="str">
            <v>1.8.6.1</v>
          </cell>
          <cell r="AB143" t="str">
            <v>Этап 6-11
Установка сжигания промстоков УКПГ-6 Ямбургского ГКМ</v>
          </cell>
        </row>
        <row r="144">
          <cell r="O144" t="str">
            <v/>
          </cell>
          <cell r="W144" t="str">
            <v>051-2007296</v>
          </cell>
          <cell r="X144" t="str">
            <v>Реконструкция и техническое перевооружение УКПГ-14 ОНГКМ</v>
          </cell>
          <cell r="Y144" t="str">
            <v>051-20012301.6.72.1.25</v>
          </cell>
          <cell r="Z144" t="str">
            <v>051-2001230</v>
          </cell>
          <cell r="AA144" t="str">
            <v>1.6.72.1.25</v>
          </cell>
          <cell r="AB144" t="str">
            <v>Реконструкция электростанции ГТЭС-72 Ямбургского ГКМ. 3 пусковой комплекс</v>
          </cell>
        </row>
        <row r="145">
          <cell r="O145" t="str">
            <v/>
          </cell>
          <cell r="W145" t="str">
            <v>051-2005711</v>
          </cell>
          <cell r="X145" t="str">
            <v>Подключение дополнительных скважин доразработки Артинско-сакмарской залежи Оренбургского НГКМ</v>
          </cell>
          <cell r="Y145" t="str">
            <v>051-20012301.6.72.2.25</v>
          </cell>
          <cell r="Z145" t="str">
            <v>051-2001230</v>
          </cell>
          <cell r="AA145" t="str">
            <v>1.6.72.2.25</v>
          </cell>
          <cell r="AB145" t="str">
            <v>Реконструкция электростанции ГТЭС-72 Ямбургского ГКМ. 4 пусковой комплекс</v>
          </cell>
        </row>
        <row r="146">
          <cell r="O146" t="str">
            <v/>
          </cell>
          <cell r="W146" t="str">
            <v>051-3005711</v>
          </cell>
          <cell r="X146" t="str">
            <v>Бурение эксплуатационное газовых скважин доразработки Артинско-сакмарской залежи Оренбургского НГКМ</v>
          </cell>
          <cell r="Y146" t="str">
            <v>051-200131515.1.0.1.25</v>
          </cell>
          <cell r="Z146" t="str">
            <v>051-2001315</v>
          </cell>
          <cell r="AA146" t="str">
            <v>15.1.0.1.25</v>
          </cell>
          <cell r="AB146" t="str">
            <v>Замена НКТ и ПО, модернизация ФА</v>
          </cell>
        </row>
        <row r="147">
          <cell r="O147" t="str">
            <v/>
          </cell>
          <cell r="W147" t="str">
            <v>051-2005712</v>
          </cell>
          <cell r="X147" t="str">
            <v>Подключение дополнительных газовых скважин доразработки Филипповской залежи Оренбургского НГКМ</v>
          </cell>
          <cell r="Y147" t="str">
            <v>051-200131515.1.0.2.25</v>
          </cell>
          <cell r="Z147" t="str">
            <v>051-2001315</v>
          </cell>
          <cell r="AA147" t="str">
            <v>15.1.0.2.25</v>
          </cell>
          <cell r="AB147" t="str">
            <v>Замена НКТ и ПО, модернизация ФА</v>
          </cell>
        </row>
        <row r="148">
          <cell r="O148" t="str">
            <v/>
          </cell>
          <cell r="W148" t="str">
            <v>051-3005712</v>
          </cell>
          <cell r="X148" t="str">
            <v>Бурение эксплуатационное газовых скважин Филипповской залежи Оренбургского НГКМ</v>
          </cell>
          <cell r="Y148" t="str">
            <v>051-200131515.3.3.1</v>
          </cell>
          <cell r="Z148" t="str">
            <v>051-2001315</v>
          </cell>
          <cell r="AA148" t="str">
            <v>15.3.3.1</v>
          </cell>
          <cell r="AB148" t="str">
            <v>Реконструкция факельных и дренажных систем УКПГ-3</v>
          </cell>
        </row>
        <row r="149">
          <cell r="O149" t="str">
            <v/>
          </cell>
          <cell r="W149" t="str">
            <v>051-3000865</v>
          </cell>
          <cell r="X149" t="str">
            <v>Бурение эксплуатационное на м/р. Подключение скважин доразработки основной газоконденсатной залежи Оренбургского НГКМ</v>
          </cell>
          <cell r="Y149" t="str">
            <v>051-200131515.3.7.1</v>
          </cell>
          <cell r="Z149" t="str">
            <v>051-2001315</v>
          </cell>
          <cell r="AA149" t="str">
            <v>15.3.7.1</v>
          </cell>
          <cell r="AB149" t="str">
            <v>Реконструкция факельных и дренажных систем УКПГ-7</v>
          </cell>
        </row>
        <row r="150">
          <cell r="O150" t="str">
            <v/>
          </cell>
          <cell r="W150" t="str">
            <v>019-2000736</v>
          </cell>
          <cell r="X150" t="str">
            <v>Обустройство Песчаного месторождения</v>
          </cell>
          <cell r="Y150" t="str">
            <v>051-200131515.3.9.1</v>
          </cell>
          <cell r="Z150" t="str">
            <v>051-2001315</v>
          </cell>
          <cell r="AA150" t="str">
            <v>15.3.9.1</v>
          </cell>
          <cell r="AB150" t="str">
            <v>Реконструкция факельных и дренажных систем УКПГ-9</v>
          </cell>
        </row>
        <row r="151">
          <cell r="O151" t="str">
            <v/>
          </cell>
          <cell r="W151" t="str">
            <v>019-3000736</v>
          </cell>
          <cell r="X151" t="str">
            <v>Эксплуатационное бурение. Песчаное нефтегазоконденсатное месторождение</v>
          </cell>
          <cell r="Y151" t="str">
            <v>051-200131515.3.12.1</v>
          </cell>
          <cell r="Z151" t="str">
            <v>051-2001315</v>
          </cell>
          <cell r="AA151" t="str">
            <v>15.3.12.1</v>
          </cell>
          <cell r="AB151" t="str">
            <v>Реконструкция факельных и дренажных систем УКПГ-12</v>
          </cell>
        </row>
        <row r="152">
          <cell r="O152" t="str">
            <v/>
          </cell>
          <cell r="W152" t="str">
            <v>051-3005424</v>
          </cell>
          <cell r="X152" t="str">
            <v>Эксплуатационное бурение. Печорогородское газоконденсатное месторождение</v>
          </cell>
          <cell r="Y152" t="str">
            <v>051-200131515.3.10.1</v>
          </cell>
          <cell r="Z152" t="str">
            <v>051-2001315</v>
          </cell>
          <cell r="AA152" t="str">
            <v>15.3.10.1</v>
          </cell>
          <cell r="AB152" t="str">
            <v>Система противокоррозийнной защиты УКПГ-10</v>
          </cell>
        </row>
        <row r="153">
          <cell r="O153" t="str">
            <v/>
          </cell>
          <cell r="W153" t="str">
            <v>051-2005424</v>
          </cell>
          <cell r="X153" t="str">
            <v>Обустройство Печорогородского ГКМ</v>
          </cell>
          <cell r="Y153" t="str">
            <v>051-200131515.3.3.3</v>
          </cell>
          <cell r="Z153" t="str">
            <v>051-2001315</v>
          </cell>
          <cell r="AA153" t="str">
            <v>15.3.3.3</v>
          </cell>
          <cell r="AB153" t="str">
            <v>Установка подготовки газа УКПГ-3</v>
          </cell>
        </row>
        <row r="154">
          <cell r="O154" t="str">
            <v/>
          </cell>
          <cell r="W154" t="str">
            <v>019-3004224</v>
          </cell>
          <cell r="X154" t="str">
            <v>Эксплуатационное бурение. Прибрежное газоконденсатное месторождение</v>
          </cell>
          <cell r="Y154" t="str">
            <v>051-200131515.3.3.4</v>
          </cell>
          <cell r="Z154" t="str">
            <v>051-2001315</v>
          </cell>
          <cell r="AA154" t="str">
            <v>15.3.3.4</v>
          </cell>
          <cell r="AB154" t="str">
            <v>АСУ ТП УКПГ-3</v>
          </cell>
        </row>
        <row r="155">
          <cell r="O155" t="str">
            <v/>
          </cell>
          <cell r="W155" t="str">
            <v>051-2005689</v>
          </cell>
          <cell r="X155" t="str">
            <v>Реконструкция склада ГСМ  Пурпейской БМТС</v>
          </cell>
          <cell r="Y155" t="str">
            <v>051-200131515.3.3.5</v>
          </cell>
          <cell r="Z155" t="str">
            <v>051-2001315</v>
          </cell>
          <cell r="AA155" t="str">
            <v>15.3.3.5</v>
          </cell>
          <cell r="AB155" t="str">
            <v>Склад метанола и установка приготовления ингибиторов УКПГ-3</v>
          </cell>
        </row>
        <row r="156">
          <cell r="O156" t="str">
            <v/>
          </cell>
          <cell r="W156" t="str">
            <v>051-2006733</v>
          </cell>
          <cell r="X156" t="str">
            <v>Обустройство Тас-Юряхского месторождения</v>
          </cell>
          <cell r="Y156" t="str">
            <v>051-200131515.3.3.6</v>
          </cell>
          <cell r="Z156" t="str">
            <v>051-2001315</v>
          </cell>
          <cell r="AA156" t="str">
            <v>15.3.3.6</v>
          </cell>
          <cell r="AB156" t="str">
            <v>АУПТ, АУПС УКПГ-3</v>
          </cell>
        </row>
        <row r="157">
          <cell r="O157" t="str">
            <v/>
          </cell>
          <cell r="W157" t="str">
            <v>051-3006733</v>
          </cell>
          <cell r="X157" t="str">
            <v xml:space="preserve">Бурение эксплуатационное на месторождении. Эксплуатационные газовые скважины  
Тас-Юряхского месторождения </v>
          </cell>
          <cell r="Y157" t="str">
            <v>051-200131515.3.3.8</v>
          </cell>
          <cell r="Z157" t="str">
            <v>051-2001315</v>
          </cell>
          <cell r="AA157" t="str">
            <v>15.3.3.8</v>
          </cell>
          <cell r="AB157" t="str">
            <v>Технологическая насосная, компрессорная воздуха КИП УКПГ-3</v>
          </cell>
        </row>
        <row r="158">
          <cell r="O158" t="str">
            <v/>
          </cell>
          <cell r="W158" t="str">
            <v>036-2001043</v>
          </cell>
          <cell r="X158" t="str">
            <v>Техническое перевооружение, реконструкция, расширение действующих мощностей Уренгойского НГКМ</v>
          </cell>
          <cell r="Y158" t="str">
            <v>051-200131515.3.3.9</v>
          </cell>
          <cell r="Z158" t="str">
            <v>051-2001315</v>
          </cell>
          <cell r="AA158" t="str">
            <v>15.3.3.9</v>
          </cell>
          <cell r="AB158" t="str">
            <v>СЭБ УКПГ-3</v>
          </cell>
        </row>
        <row r="159">
          <cell r="O159" t="str">
            <v/>
          </cell>
          <cell r="W159" t="str">
            <v>051-2004692</v>
          </cell>
          <cell r="X159" t="str">
            <v>Техническое перевооружение газовых, газоконденсатных скважин Уренгойского НГКМ</v>
          </cell>
          <cell r="Y159" t="str">
            <v>051-200131515.3.3.10</v>
          </cell>
          <cell r="Z159" t="str">
            <v>051-2001315</v>
          </cell>
          <cell r="AA159" t="str">
            <v>15.3.3.10</v>
          </cell>
          <cell r="AB159" t="str">
            <v>Проезды и площадки УКПГ-3</v>
          </cell>
        </row>
        <row r="160">
          <cell r="O160" t="str">
            <v/>
          </cell>
          <cell r="W160" t="str">
            <v>051-2005977</v>
          </cell>
          <cell r="X160" t="str">
            <v>Техническое перевооружение газовых, газоконденсатных скважин Уренгойского месторождения (2 этап)</v>
          </cell>
          <cell r="Y160" t="str">
            <v>051-200131515.6.3.1</v>
          </cell>
          <cell r="Z160" t="str">
            <v>051-2001315</v>
          </cell>
          <cell r="AA160" t="str">
            <v>15.6.3.1</v>
          </cell>
          <cell r="AB160" t="str">
            <v>Реконструкция котельной УКПГ-3</v>
          </cell>
        </row>
        <row r="161">
          <cell r="O161" t="str">
            <v/>
          </cell>
          <cell r="W161" t="str">
            <v>051-2004433</v>
          </cell>
          <cell r="X161" t="str">
            <v>Техническое перевооружение обвязок кустов газовых, газоконденсатных  скважин  Уренгойского НГКМ</v>
          </cell>
          <cell r="Y161" t="str">
            <v>051-200131515.6.3.2</v>
          </cell>
          <cell r="Z161" t="str">
            <v>051-2001315</v>
          </cell>
          <cell r="AA161" t="str">
            <v>15.6.3.2</v>
          </cell>
          <cell r="AB161" t="str">
            <v>Водозаборные сооружения зоны УКПГ-3, в т.ч. водоводы от водозабора до УКПГ-3</v>
          </cell>
        </row>
        <row r="162">
          <cell r="O162" t="str">
            <v/>
          </cell>
          <cell r="W162" t="str">
            <v>051-2005090</v>
          </cell>
          <cell r="X162" t="str">
            <v>Техническое перевооружение газоперекачивающих агрегатов. Замена СПЧ на ДКС Уренгойского НГКМ</v>
          </cell>
          <cell r="Y162" t="str">
            <v>051-200131515.6.3.4</v>
          </cell>
          <cell r="Z162" t="str">
            <v>051-2001315</v>
          </cell>
          <cell r="AA162" t="str">
            <v>15.6.3.4</v>
          </cell>
          <cell r="AB162" t="str">
            <v>Внутриплощадочные  сети и сооружения электроснабжения УКПГ-3</v>
          </cell>
        </row>
        <row r="163">
          <cell r="O163" t="str">
            <v/>
          </cell>
          <cell r="W163" t="str">
            <v>051-2005978</v>
          </cell>
          <cell r="X163" t="str">
            <v>Техническое перевооружение газоперекачивающих агрегатов. Замена СПЧ на ДКС Уренгойского НГКМ (2 этап)</v>
          </cell>
          <cell r="Y163" t="str">
            <v>051-200131515.6.3.5</v>
          </cell>
          <cell r="Z163" t="str">
            <v>051-2001315</v>
          </cell>
          <cell r="AA163" t="str">
            <v>15.6.3.5</v>
          </cell>
          <cell r="AB163" t="str">
            <v>Сантехнические сети и сооружения УКПГ-3</v>
          </cell>
        </row>
        <row r="164">
          <cell r="O164" t="str">
            <v/>
          </cell>
          <cell r="W164" t="str">
            <v>051-2005191</v>
          </cell>
          <cell r="X164" t="str">
            <v>Реконструкция системы подготовки, очистки и закачки сточных вод в поглощающие скважины Уренгойского НГКМ</v>
          </cell>
          <cell r="Y164" t="str">
            <v>051-200131515.7.3.1</v>
          </cell>
          <cell r="Z164" t="str">
            <v>051-2001315</v>
          </cell>
          <cell r="AA164" t="str">
            <v>15.7.3.1</v>
          </cell>
          <cell r="AB164" t="str">
            <v>Связь УКПГ-3</v>
          </cell>
        </row>
        <row r="165">
          <cell r="O165" t="str">
            <v/>
          </cell>
          <cell r="W165" t="str">
            <v>051-2004691</v>
          </cell>
          <cell r="X165" t="str">
            <v>Техническое перевооружение нефтяных скважин Уренгойского НГКМ. Реконструкция объектов добычи и подготовки углеводородного сырья</v>
          </cell>
          <cell r="Y165" t="str">
            <v>051-200131515.7.3.2</v>
          </cell>
          <cell r="Z165" t="str">
            <v>051-2001315</v>
          </cell>
          <cell r="AA165" t="str">
            <v>15.7.3.2</v>
          </cell>
          <cell r="AB165" t="str">
            <v>Реконструкция  ЗРУ 6-кВ УКПГ-2  (этап 43)</v>
          </cell>
        </row>
        <row r="166">
          <cell r="O166" t="str">
            <v/>
          </cell>
          <cell r="W166" t="str">
            <v>051-2005370</v>
          </cell>
          <cell r="X166" t="str">
            <v>Реконструкция и техническое перевооружение объектов и инженерных систем межпромысловых коллекторов Уренгойского НГКМ. 1 этап</v>
          </cell>
          <cell r="Y166" t="str">
            <v>051-200131515.6.10.1.25</v>
          </cell>
          <cell r="Z166" t="str">
            <v>051-2001315</v>
          </cell>
          <cell r="AA166" t="str">
            <v>15.6.10.1.25</v>
          </cell>
          <cell r="AB166" t="str">
            <v>Котельная УКПГ-10</v>
          </cell>
        </row>
        <row r="167">
          <cell r="O167" t="str">
            <v/>
          </cell>
          <cell r="W167" t="str">
            <v>051-2005277</v>
          </cell>
          <cell r="X167" t="str">
            <v>Реконструкция ФА, промысловых и технологических трубопроводов с установкой средств коррозионного мониторинга объектов второго Ачимовского участка Уренгойского НГКМ</v>
          </cell>
          <cell r="Y167" t="str">
            <v>051-200131515.6.8.1.25</v>
          </cell>
          <cell r="Z167" t="str">
            <v>051-2001315</v>
          </cell>
          <cell r="AA167" t="str">
            <v>15.6.8.1.25</v>
          </cell>
          <cell r="AB167" t="str">
            <v>Система противокоррозийнной защиты УКПГ-8</v>
          </cell>
        </row>
        <row r="168">
          <cell r="O168" t="str">
            <v/>
          </cell>
          <cell r="W168" t="str">
            <v>051-2006174</v>
          </cell>
          <cell r="X168" t="str">
            <v>Реконструкция технологического оборудования. Ачимовский участок Уренгойского НГКМ. (Письмо ПАО "Газпром" от 04.07.2022 № 06/44/4/06-2677)</v>
          </cell>
          <cell r="Y168" t="str">
            <v>051-200131515.3.7.5</v>
          </cell>
          <cell r="Z168" t="str">
            <v>051-2001315</v>
          </cell>
          <cell r="AA168" t="str">
            <v>15.3.7.5</v>
          </cell>
          <cell r="AB168" t="str">
            <v>Система противокоррозийной защиты УКПГ-7, в т.ч. электроснабжение СКЗ</v>
          </cell>
        </row>
        <row r="169">
          <cell r="O169" t="str">
            <v/>
          </cell>
          <cell r="W169" t="str">
            <v>051-1005673</v>
          </cell>
          <cell r="X169" t="str">
            <v>Реконструкция водозаборов Таб–Яха, Хадуттэ.</v>
          </cell>
          <cell r="Y169" t="str">
            <v>051-200131515.6.6.1.26</v>
          </cell>
          <cell r="Z169" t="str">
            <v>051-2001315</v>
          </cell>
          <cell r="AA169" t="str">
            <v>15.6.6.1.26</v>
          </cell>
          <cell r="AB169" t="str">
            <v>Система противокоррозийной защиты УКПГ-6</v>
          </cell>
        </row>
        <row r="170">
          <cell r="O170" t="str">
            <v/>
          </cell>
          <cell r="W170" t="str">
            <v>051-2006446</v>
          </cell>
          <cell r="X170" t="str">
            <v>Комплексная реконструкция УКПГ. Перевод УКПГ в УППГ. УКПГ–1АС, 1, 2, 3, 5, 6, 8,  9, 10, 11, 13, 15</v>
          </cell>
          <cell r="Y170" t="str">
            <v>051-200131515.6.0.1</v>
          </cell>
          <cell r="Z170" t="str">
            <v>051-2001315</v>
          </cell>
          <cell r="AA170" t="str">
            <v>15.6.0.1</v>
          </cell>
          <cell r="AB170" t="str">
            <v>Реконструкция БОС на базе ГПУ с. Дедуровка</v>
          </cell>
        </row>
        <row r="171">
          <cell r="O171" t="str">
            <v/>
          </cell>
          <cell r="W171" t="str">
            <v>051-2006448</v>
          </cell>
          <cell r="X171" t="str">
            <v>Реконструкция систем электрохимзащиты объектов ООО «Газпром добыча Уренгой» ГП (ГКП) №№ 1-16, 1А</v>
          </cell>
          <cell r="Y171" t="str">
            <v>051-200131515.6.0.2</v>
          </cell>
          <cell r="Z171" t="str">
            <v>051-2001315</v>
          </cell>
          <cell r="AA171" t="str">
            <v>15.6.0.2</v>
          </cell>
          <cell r="AB171" t="str">
            <v>Техперевооружение подстанции 35/6 кВ на базе ГПУ</v>
          </cell>
        </row>
        <row r="172">
          <cell r="O172" t="str">
            <v/>
          </cell>
          <cell r="W172" t="str">
            <v>051-2007291</v>
          </cell>
          <cell r="X172" t="str">
            <v>Техническое перевооружение дожимных компрессорных станций на УКПГ Уренгойского НГКМ. (1 этап)</v>
          </cell>
          <cell r="Y172" t="str">
            <v>051-200131515.6.2.1.25</v>
          </cell>
          <cell r="Z172" t="str">
            <v>051-2001315</v>
          </cell>
          <cell r="AA172" t="str">
            <v>15.6.2.1.25</v>
          </cell>
          <cell r="AB172" t="str">
            <v>Система противокоррозийнной защиты УКПГ-2</v>
          </cell>
        </row>
        <row r="173">
          <cell r="O173" t="str">
            <v/>
          </cell>
          <cell r="W173" t="str">
            <v>051-2007292</v>
          </cell>
          <cell r="X173" t="str">
            <v>Внедрение технологии непрерывной дозированной подачи жидких ПАВ и ингибиторов в скважины Уренгойского, Северо-Уренгойского и Ен-Яхинского НГКМ</v>
          </cell>
          <cell r="Y173" t="str">
            <v>051-200131515.6.15.1.25</v>
          </cell>
          <cell r="Z173" t="str">
            <v>051-2001315</v>
          </cell>
          <cell r="AA173" t="str">
            <v>15.6.15.1.25</v>
          </cell>
          <cell r="AB173" t="str">
            <v>Система противокоррозийнной защиты УКПГ-15</v>
          </cell>
        </row>
        <row r="174">
          <cell r="O174" t="str">
            <v/>
          </cell>
          <cell r="W174" t="str">
            <v>051-2007293</v>
          </cell>
          <cell r="X174" t="str">
            <v>Техническое перевооружение обвязок ачимовских скважин (линий ГС1) Уренгойского НГКМ</v>
          </cell>
          <cell r="Y174" t="str">
            <v>051-200131515.6.14.1.25</v>
          </cell>
          <cell r="Z174" t="str">
            <v>051-2001315</v>
          </cell>
          <cell r="AA174" t="str">
            <v>15.6.14.1.25</v>
          </cell>
          <cell r="AB174" t="str">
            <v>Система противокоррозийнной защиты УКПГ-14</v>
          </cell>
        </row>
        <row r="175">
          <cell r="O175" t="str">
            <v/>
          </cell>
          <cell r="W175" t="str">
            <v>051-2001040</v>
          </cell>
          <cell r="X175" t="str">
            <v>Дообустройство второго опытного участка Ачимовских отложений Уренгойского НГКМ на полное развитие</v>
          </cell>
          <cell r="Y175" t="str">
            <v>051-200131515.6.1.1.25</v>
          </cell>
          <cell r="Z175" t="str">
            <v>051-2001315</v>
          </cell>
          <cell r="AA175" t="str">
            <v>15.6.1.1.25</v>
          </cell>
          <cell r="AB175" t="str">
            <v>Система противокоррозийнной защиты УКПГ-1</v>
          </cell>
        </row>
        <row r="176">
          <cell r="O176" t="str">
            <v/>
          </cell>
          <cell r="W176" t="str">
            <v>051-3001040</v>
          </cell>
          <cell r="X176" t="str">
            <v>Эксплуатационное бурение. Дообустройство второго опытного участка Ачимовских отложений Уренгойского НГКМ на полное развитие</v>
          </cell>
          <cell r="Y176" t="str">
            <v>051-200131515.6.12.1.25</v>
          </cell>
          <cell r="Z176" t="str">
            <v>051-2001315</v>
          </cell>
          <cell r="AA176" t="str">
            <v>15.6.12.1.25</v>
          </cell>
          <cell r="AB176" t="str">
            <v>Система противокоррозийнной защиты УКПГ-12</v>
          </cell>
        </row>
        <row r="177">
          <cell r="O177" t="str">
            <v/>
          </cell>
          <cell r="W177" t="str">
            <v>051-2006445</v>
          </cell>
          <cell r="X177" t="str">
            <v>Ачимовский участок Уренгойского НГКМ. ДКС 1-й очереди на УКПГ-22</v>
          </cell>
          <cell r="Y177" t="str">
            <v>051-200131716.3.1.1.25</v>
          </cell>
          <cell r="Z177" t="str">
            <v>051-2001317</v>
          </cell>
          <cell r="AA177" t="str">
            <v>16.3.1.1.25</v>
          </cell>
          <cell r="AB177" t="str">
            <v>Реконструкция систем водоснабжения и канализации УППГ-1 Астраханского ГКМ</v>
          </cell>
        </row>
        <row r="178">
          <cell r="O178" t="str">
            <v/>
          </cell>
          <cell r="W178" t="str">
            <v>051-2001026</v>
          </cell>
          <cell r="X178" t="str">
            <v>Дообустройство газоконденсатных скважин Уренгойского НГКМ</v>
          </cell>
          <cell r="Y178" t="str">
            <v>051-200131716.1.1.5</v>
          </cell>
          <cell r="Z178" t="str">
            <v>051-2001317</v>
          </cell>
          <cell r="AA178" t="str">
            <v>16.1.1.5</v>
          </cell>
          <cell r="AB178" t="str">
            <v>Реконструкция обвязки устья скважины газовой эксплуатационной № 51 УППГ-1</v>
          </cell>
        </row>
        <row r="179">
          <cell r="O179" t="str">
            <v/>
          </cell>
          <cell r="W179" t="str">
            <v>051-3001026</v>
          </cell>
          <cell r="X179" t="str">
            <v>Эксплуатационное бурение. Дообустройство газоконденсатных скважин Уренгойского НГКМ</v>
          </cell>
          <cell r="Y179" t="str">
            <v>051-200131716.1.1.7</v>
          </cell>
          <cell r="Z179" t="str">
            <v>051-2001317</v>
          </cell>
          <cell r="AA179" t="str">
            <v>16.1.1.7</v>
          </cell>
          <cell r="AB179" t="str">
            <v>Реконструкция обвязки устья скважины газовой эксплуатационной № 58 УППГ-1</v>
          </cell>
        </row>
        <row r="180">
          <cell r="O180" t="str">
            <v/>
          </cell>
          <cell r="W180" t="str">
            <v>051-3001052</v>
          </cell>
          <cell r="X180" t="str">
            <v>Эксплуатационное бурение. Обустройство Уренгойского нефтегазоконденсатного месторождения</v>
          </cell>
          <cell r="Y180" t="str">
            <v>051-200131716.1.1.8</v>
          </cell>
          <cell r="Z180" t="str">
            <v>051-2001317</v>
          </cell>
          <cell r="AA180" t="str">
            <v>16.1.1.8</v>
          </cell>
          <cell r="AB180" t="str">
            <v>Реконструкция обвязки устья скважины газовой эксплуатационной № 68 УППГ-1</v>
          </cell>
        </row>
        <row r="181">
          <cell r="O181" t="str">
            <v/>
          </cell>
          <cell r="W181" t="str">
            <v>051-2005263</v>
          </cell>
          <cell r="X181" t="str">
            <v>ДКС 3-и очереди на УКПГ-7 сеноманской залежи Уренгойского НГКМ</v>
          </cell>
          <cell r="Y181" t="str">
            <v>051-200131716.1.1.20</v>
          </cell>
          <cell r="Z181" t="str">
            <v>051-2001317</v>
          </cell>
          <cell r="AA181" t="str">
            <v>16.1.1.20</v>
          </cell>
          <cell r="AB181" t="str">
            <v>Реконструкция обвязки устья скважины газовой эксплуатационной № 113 УППГ-1</v>
          </cell>
        </row>
        <row r="182">
          <cell r="O182" t="str">
            <v/>
          </cell>
          <cell r="W182" t="str">
            <v>051-2005268</v>
          </cell>
          <cell r="X182" t="str">
            <v>ДКС 3-и очереди на УКПГ-12 сеноманской залежи Уренгойского НГКМ</v>
          </cell>
          <cell r="Y182" t="str">
            <v>051-200131716.1.1.18</v>
          </cell>
          <cell r="Z182" t="str">
            <v>051-2001317</v>
          </cell>
          <cell r="AA182" t="str">
            <v>16.1.1.18</v>
          </cell>
          <cell r="AB182" t="str">
            <v>Реконструкция обвязки устья скважины газовой эксплуатационной № 65Д УППГ-1</v>
          </cell>
        </row>
        <row r="183">
          <cell r="O183" t="str">
            <v/>
          </cell>
          <cell r="W183" t="str">
            <v>051-2005271</v>
          </cell>
          <cell r="X183" t="str">
            <v>ДКС 3-и очереди на УКПГ-4 сеноманской залежи Уренгойского НГКМ</v>
          </cell>
          <cell r="Y183" t="str">
            <v>051-200131716.1.1.10</v>
          </cell>
          <cell r="Z183" t="str">
            <v>051-2001317</v>
          </cell>
          <cell r="AA183" t="str">
            <v>16.1.1.10</v>
          </cell>
          <cell r="AB183" t="str">
            <v>Реконструкция обвязки устья скважины газовой эксплуатационной № 108 УППГ-1</v>
          </cell>
        </row>
        <row r="184">
          <cell r="O184" t="str">
            <v/>
          </cell>
          <cell r="W184" t="str">
            <v>051-2006447</v>
          </cell>
          <cell r="X184" t="str">
            <v>Расширение мощностей на полное развитие ДКС сеноманской залежи Песцовой площади Уренгойского НГКМ</v>
          </cell>
          <cell r="Y184" t="str">
            <v>051-200131716.1.2.16</v>
          </cell>
          <cell r="Z184" t="str">
            <v>051-2001317</v>
          </cell>
          <cell r="AA184" t="str">
            <v>16.1.2.16</v>
          </cell>
          <cell r="AB184" t="str">
            <v>Реконструкция обвязки скважины газовой эксплуатационной № 260 УППГ-2 Астраханского ГКМ</v>
          </cell>
        </row>
        <row r="185">
          <cell r="O185" t="str">
            <v/>
          </cell>
          <cell r="W185" t="str">
            <v>051-2004015</v>
          </cell>
          <cell r="X185" t="str">
            <v>Техническое перевооружение газовой скважины № 514 ГКП-5 Уренгойского НГКМ. Оснащение концентрической лифтовой колонной</v>
          </cell>
          <cell r="Y185" t="str">
            <v>051-200131716.1.2.17</v>
          </cell>
          <cell r="Z185" t="str">
            <v>051-2001317</v>
          </cell>
          <cell r="AA185" t="str">
            <v>16.1.2.17</v>
          </cell>
          <cell r="AB185" t="str">
            <v>Реконструкция обвязки скважины газовой эксплуатационной № 211Д  УППГ-2 Астраханского ГКМ</v>
          </cell>
        </row>
        <row r="186">
          <cell r="O186" t="str">
            <v/>
          </cell>
          <cell r="W186" t="str">
            <v>051-2006465</v>
          </cell>
          <cell r="X186" t="str">
            <v>Реконструкция сливной эстакады для приема нефтепродуктов автомобильным транспортом на базовый склад ГСМ, ДЭГа и метанола промбазы Харасавэйского ГКМ</v>
          </cell>
          <cell r="Y186" t="str">
            <v>051-200131716.1.2.6</v>
          </cell>
          <cell r="Z186" t="str">
            <v>051-2001317</v>
          </cell>
          <cell r="AA186" t="str">
            <v>16.1.2.6</v>
          </cell>
          <cell r="AB186" t="str">
            <v>Реконструкция обвязки устья скважины газовой эксплуатационной № 216 УППГ-2</v>
          </cell>
        </row>
        <row r="187">
          <cell r="O187" t="str">
            <v/>
          </cell>
          <cell r="W187" t="str">
            <v>051-2000796</v>
          </cell>
          <cell r="X187" t="str">
            <v xml:space="preserve">Обустройство сеноман-аптских залежей Харасавэйского ГКМ </v>
          </cell>
          <cell r="Y187" t="str">
            <v>051-200131716.1.2.11</v>
          </cell>
          <cell r="Z187" t="str">
            <v>051-2001317</v>
          </cell>
          <cell r="AA187" t="str">
            <v>16.1.2.11</v>
          </cell>
          <cell r="AB187" t="str">
            <v>Реконструкция обвязки устья скважины газовой эксплуатационной № 72 УППГ-2</v>
          </cell>
        </row>
        <row r="188">
          <cell r="O188" t="str">
            <v/>
          </cell>
          <cell r="W188" t="str">
            <v>051-3000796</v>
          </cell>
          <cell r="X188" t="str">
            <v>Эксплуатационное бурение. Харасавэйское ГКМ</v>
          </cell>
          <cell r="Y188" t="str">
            <v>051-200131716.1.2.15</v>
          </cell>
          <cell r="Z188" t="str">
            <v>051-2001317</v>
          </cell>
          <cell r="AA188" t="str">
            <v>16.1.2.15</v>
          </cell>
          <cell r="AB188" t="str">
            <v>Реконструкция обвязки устья скважины газовой эксплуатационной № 263 УППГ-2</v>
          </cell>
        </row>
        <row r="189">
          <cell r="O189" t="str">
            <v/>
          </cell>
          <cell r="W189" t="str">
            <v>051-2000825</v>
          </cell>
          <cell r="X189" t="str">
            <v xml:space="preserve">Обустройство сеноман-аптских залежей Харасавэйского ГКМ. Газопровод подключения Харасавэйского ГКМ </v>
          </cell>
          <cell r="Y189" t="str">
            <v>051-200131716.1.2.8</v>
          </cell>
          <cell r="Z189" t="str">
            <v>051-2001317</v>
          </cell>
          <cell r="AA189" t="str">
            <v>16.1.2.8</v>
          </cell>
          <cell r="AB189" t="str">
            <v>Реконструкция обвязки устья скважины газовой эксплуатационной № 98 УППГ-2</v>
          </cell>
        </row>
        <row r="190">
          <cell r="O190" t="str">
            <v/>
          </cell>
          <cell r="W190" t="str">
            <v>051-2006524</v>
          </cell>
          <cell r="X190" t="str">
            <v>Техническое перевооружение объектов ООО «Газпром добыча Ноябрьск» (2 этап)</v>
          </cell>
          <cell r="Y190" t="str">
            <v>051-200131716.1.1.21</v>
          </cell>
          <cell r="Z190" t="str">
            <v>051-2001317</v>
          </cell>
          <cell r="AA190" t="str">
            <v>16.1.1.21</v>
          </cell>
          <cell r="AB190" t="str">
            <v>Реконструкция обвязки скважины газовой эксплуатационной № 73 УППГ-1 Астраханского ГКМ</v>
          </cell>
        </row>
        <row r="191">
          <cell r="O191" t="str">
            <v/>
          </cell>
          <cell r="W191" t="str">
            <v>051-2006962</v>
          </cell>
          <cell r="X191" t="str">
            <v>Техническое перевооружение объектов ООО «Газпром добыча Ноябрьск» (3 этап)</v>
          </cell>
          <cell r="Y191" t="str">
            <v>051-200131716.1.2.12</v>
          </cell>
          <cell r="Z191" t="str">
            <v>051-2001317</v>
          </cell>
          <cell r="AA191" t="str">
            <v>16.1.2.12</v>
          </cell>
          <cell r="AB191" t="str">
            <v>Реконструкция обвязки скважины газовой эксплуатационной № 96 УППГ-2 Астраханского ГКМ</v>
          </cell>
        </row>
        <row r="192">
          <cell r="O192" t="str">
            <v/>
          </cell>
          <cell r="W192" t="str">
            <v>051-2007090</v>
          </cell>
          <cell r="X192" t="str">
            <v>ПСП «Чаяндинский»</v>
          </cell>
          <cell r="Y192" t="str">
            <v>051-200131716.1.2.18</v>
          </cell>
          <cell r="Z192" t="str">
            <v>051-2001317</v>
          </cell>
          <cell r="AA192" t="str">
            <v>16.1.2.18</v>
          </cell>
          <cell r="AB192" t="str">
            <v>Реконструкция обвязки скважины газовой эксплуатационной № 209 УППГ-2 Астраханского ГКМ</v>
          </cell>
        </row>
        <row r="193">
          <cell r="O193" t="str">
            <v/>
          </cell>
          <cell r="W193" t="str">
            <v>051-2007102</v>
          </cell>
          <cell r="X193" t="str">
            <v>Техническое перевооружение систем противопожарной защиты Чаяндинского НГКМ</v>
          </cell>
          <cell r="Y193" t="str">
            <v>051-200131716.1.2.19</v>
          </cell>
          <cell r="Z193" t="str">
            <v>051-2001317</v>
          </cell>
          <cell r="AA193" t="str">
            <v>16.1.2.19</v>
          </cell>
          <cell r="AB193" t="str">
            <v>Реконструкция обвязки скважины газовой эксплуатационной № 219 УППГ-2 Астраханского ГКМ</v>
          </cell>
        </row>
        <row r="194">
          <cell r="O194" t="str">
            <v/>
          </cell>
          <cell r="W194" t="str">
            <v>051-2000860</v>
          </cell>
          <cell r="X194" t="str">
            <v>Обустройство Чаяндинского НГКМ</v>
          </cell>
          <cell r="Y194" t="str">
            <v>051-200131716.1.1.16</v>
          </cell>
          <cell r="Z194" t="str">
            <v>051-2001317</v>
          </cell>
          <cell r="AA194" t="str">
            <v>16.1.1.16</v>
          </cell>
          <cell r="AB194" t="str">
            <v>Реконструкция обвязки скважины газовой эксплуатационной № 106 УППГ-1 Астраханского ГКМ</v>
          </cell>
        </row>
        <row r="195">
          <cell r="O195" t="str">
            <v/>
          </cell>
          <cell r="W195" t="str">
            <v>051-3000860</v>
          </cell>
          <cell r="X195" t="str">
            <v>Бурение эксплуатационное на месторождении. Эксплуатационные газовые скважины Чаяндинского НГКМ</v>
          </cell>
          <cell r="Y195" t="str">
            <v>051-200131716.1.2.1.23</v>
          </cell>
          <cell r="Z195" t="str">
            <v>051-2001317</v>
          </cell>
          <cell r="AA195" t="str">
            <v>16.1.2.1.23</v>
          </cell>
          <cell r="AB195" t="str">
            <v>Реконструкция обвязки скважины газовой эксплуатационной № 79 УППГ-2 Астраханского ГКМ</v>
          </cell>
        </row>
        <row r="196">
          <cell r="O196" t="str">
            <v/>
          </cell>
          <cell r="W196" t="str">
            <v>051-2006296</v>
          </cell>
          <cell r="X196" t="str">
            <v>ДКС  (1 очередь)  УКПГ-3 Чаяндинского НГКМ</v>
          </cell>
          <cell r="Y196" t="str">
            <v>051-200131716.1.1.1.23</v>
          </cell>
          <cell r="Z196" t="str">
            <v>051-2001317</v>
          </cell>
          <cell r="AA196" t="str">
            <v>16.1.1.1.23</v>
          </cell>
          <cell r="AB196" t="str">
            <v>Реконструкция обвязки скважины газовой эксплуатационной № 104 УППГ-1 Астраханского ГКМ</v>
          </cell>
        </row>
        <row r="197">
          <cell r="O197" t="str">
            <v/>
          </cell>
          <cell r="W197" t="str">
            <v>051-2006297</v>
          </cell>
          <cell r="X197" t="str">
            <v>ДКС  (1 очередь)  УППГ-2 Чаяндинского НГКМ</v>
          </cell>
          <cell r="Y197" t="str">
            <v>051-200131716.1.1.2.23</v>
          </cell>
          <cell r="Z197" t="str">
            <v>051-2001317</v>
          </cell>
          <cell r="AA197" t="str">
            <v>16.1.1.2.23</v>
          </cell>
          <cell r="AB197" t="str">
            <v>Реконструкция обвязки скважины газовой эксплуатационной № 547 УППГ-1 Астраханского ГКМ</v>
          </cell>
        </row>
        <row r="198">
          <cell r="O198" t="str">
            <v/>
          </cell>
          <cell r="W198" t="str">
            <v>051-2006298</v>
          </cell>
          <cell r="X198" t="str">
            <v>ДКС  (1 очередь) УППГ-4 Чаяндинского НГКМ</v>
          </cell>
          <cell r="Y198" t="str">
            <v>051-200131716.1.1.3.23</v>
          </cell>
          <cell r="Z198" t="str">
            <v>051-2001317</v>
          </cell>
          <cell r="AA198" t="str">
            <v>16.1.1.3.23</v>
          </cell>
          <cell r="AB198" t="str">
            <v>Реконструкция обвязки скважины газовой эксплуатационной № 20-Э УППГ-1 Астраханского ГКМ</v>
          </cell>
        </row>
        <row r="199">
          <cell r="O199" t="str">
            <v/>
          </cell>
          <cell r="W199" t="str">
            <v>051-2006344</v>
          </cell>
          <cell r="X199" t="str">
            <v>Реконструкция полигона твердых бытовых и промышленных отходов в составе объекта «Обустройство Чаяндинского НГКМ»</v>
          </cell>
          <cell r="Y199" t="str">
            <v>051-200131716.1.1.1.25</v>
          </cell>
          <cell r="Z199" t="str">
            <v>051-2001317</v>
          </cell>
          <cell r="AA199" t="str">
            <v>16.1.1.1.25</v>
          </cell>
          <cell r="AB199" t="str">
            <v>Реконструкция обвязки скважины газовой эксплуатационной № 110 УППГ-1 Астраханского ГКМ</v>
          </cell>
        </row>
        <row r="200">
          <cell r="O200" t="str">
            <v/>
          </cell>
          <cell r="W200" t="str">
            <v>051-2000793</v>
          </cell>
          <cell r="X200" t="str">
            <v>Реконструкция и техническое перевооружение объектов добычи газа Юбилейного НГКМ</v>
          </cell>
          <cell r="Y200" t="str">
            <v>051-200131716.1.1.2.25</v>
          </cell>
          <cell r="Z200" t="str">
            <v>051-2001317</v>
          </cell>
          <cell r="AA200" t="str">
            <v>16.1.1.2.25</v>
          </cell>
          <cell r="AB200" t="str">
            <v>Реконструкция обвязки скважины газовой эксплуатационной № 74 УППГ-1 Астраханского ГКМ</v>
          </cell>
        </row>
        <row r="201">
          <cell r="O201" t="str">
            <v/>
          </cell>
          <cell r="W201" t="str">
            <v>051-2004676</v>
          </cell>
          <cell r="X201" t="str">
            <v>Реконструкция обвязок кустов газовых скважин Юбилейного НГКМ</v>
          </cell>
          <cell r="Y201" t="str">
            <v>051-200131716.1.1.3.25</v>
          </cell>
          <cell r="Z201" t="str">
            <v>051-2001317</v>
          </cell>
          <cell r="AA201" t="str">
            <v>16.1.1.3.25</v>
          </cell>
          <cell r="AB201" t="str">
            <v>Реконструкция обвязки скважины газовой эксплуатационной № 93 УППГ-1 Астраханского ГКМ</v>
          </cell>
        </row>
        <row r="202">
          <cell r="O202" t="str">
            <v/>
          </cell>
          <cell r="W202" t="str">
            <v>051-2000804</v>
          </cell>
          <cell r="X202" t="str">
            <v>Реконструкция и техническое перевооружение объектов добычи газа Юбилейного НГКМ. 2-я очередь</v>
          </cell>
          <cell r="Y202" t="str">
            <v>051-200131716.2.2.1</v>
          </cell>
          <cell r="Z202" t="str">
            <v>051-2001317</v>
          </cell>
          <cell r="AA202" t="str">
            <v>16.2.2.1</v>
          </cell>
          <cell r="AB202" t="str">
            <v>Реконструкция 2-ой технологической нитки газоконденсатопровода УППГ-2</v>
          </cell>
        </row>
        <row r="203">
          <cell r="O203" t="str">
            <v/>
          </cell>
          <cell r="W203" t="str">
            <v>051-2004680</v>
          </cell>
          <cell r="X203" t="str">
            <v>Дообустройство Юбилейного НГКМ (нижнемеловые отложения)</v>
          </cell>
          <cell r="Y203" t="str">
            <v>051-200131716.3.1.1</v>
          </cell>
          <cell r="Z203" t="str">
            <v>051-2001317</v>
          </cell>
          <cell r="AA203" t="str">
            <v>16.3.1.1</v>
          </cell>
          <cell r="AB203" t="str">
            <v>Реконструкция объектов площадки УППГ-1</v>
          </cell>
        </row>
        <row r="204">
          <cell r="O204" t="str">
            <v/>
          </cell>
          <cell r="W204" t="str">
            <v>051-3004680</v>
          </cell>
          <cell r="X204" t="str">
            <v>Эксплуатационное бурение. Дообустройство Юбилейного НГКМ (пласты АУ-11 и ПК 18-20) (нижнемеловые отложения)</v>
          </cell>
          <cell r="Y204" t="str">
            <v>051-200131716.3.2.1</v>
          </cell>
          <cell r="Z204" t="str">
            <v>051-2001317</v>
          </cell>
          <cell r="AA204" t="str">
            <v>16.3.2.1</v>
          </cell>
          <cell r="AB204" t="str">
            <v>Реконструкция объектов площадки УППГ-2</v>
          </cell>
        </row>
        <row r="205">
          <cell r="O205" t="str">
            <v/>
          </cell>
          <cell r="W205" t="str">
            <v>051-3006588</v>
          </cell>
          <cell r="X205" t="str">
            <v>Эксплуатационное бурение. Юбилейное НГКМ. Восстановление газовых скважин зарезкой боковых стволов</v>
          </cell>
          <cell r="Y205" t="str">
            <v>051-200131716.6.1.1</v>
          </cell>
          <cell r="Z205" t="str">
            <v>051-2001317</v>
          </cell>
          <cell r="AA205" t="str">
            <v>16.6.1.1</v>
          </cell>
          <cell r="AB205" t="str">
            <v>Реконструкция ПС 35/6 кВ УППГ-1</v>
          </cell>
        </row>
        <row r="206">
          <cell r="O206" t="str">
            <v/>
          </cell>
          <cell r="W206" t="str">
            <v>051-2005679</v>
          </cell>
          <cell r="X206" t="str">
            <v>Техническое перевооружение ГПА ДКС (2-я очередь) Юбилейного НГКМ (замена СПЧ)</v>
          </cell>
          <cell r="Y206" t="str">
            <v>051-200131716.6.2.1</v>
          </cell>
          <cell r="Z206" t="str">
            <v>051-2001317</v>
          </cell>
          <cell r="AA206" t="str">
            <v>16.6.2.1</v>
          </cell>
          <cell r="AB206" t="str">
            <v>Реконструкция ПС 35/6 кВ УППГ-2</v>
          </cell>
        </row>
        <row r="207">
          <cell r="O207" t="str">
            <v/>
          </cell>
          <cell r="W207" t="str">
            <v>051-2006345</v>
          </cell>
          <cell r="X207" t="str">
            <v>Реконструкция полигона утилизации ТБО Юбилейного НГКМ</v>
          </cell>
          <cell r="Y207" t="str">
            <v>051-200131716.6.1.3</v>
          </cell>
          <cell r="Z207" t="str">
            <v>051-2001317</v>
          </cell>
          <cell r="AA207" t="str">
            <v>16.6.1.3</v>
          </cell>
          <cell r="AB207" t="str">
            <v>Реконструкция систем ЭХЗ линейных потребителей УППГ-1 Астраханского ГКМ</v>
          </cell>
        </row>
        <row r="208">
          <cell r="O208" t="str">
            <v/>
          </cell>
          <cell r="W208" t="str">
            <v>051-2001297</v>
          </cell>
          <cell r="X208" t="str">
            <v>Обустройство Южно-Киринского месторождения</v>
          </cell>
          <cell r="Y208" t="str">
            <v>051-200131716.6.2.2</v>
          </cell>
          <cell r="Z208" t="str">
            <v>051-2001317</v>
          </cell>
          <cell r="AA208" t="str">
            <v>16.6.2.2</v>
          </cell>
          <cell r="AB208" t="str">
            <v>Реконструкция систем ЭХЗ линейных потребителей УППГ-2 Астраханского ГКМ</v>
          </cell>
        </row>
        <row r="209">
          <cell r="O209" t="str">
            <v/>
          </cell>
          <cell r="W209" t="str">
            <v>051-3001297</v>
          </cell>
          <cell r="X209" t="str">
            <v>Бурение эксплуатационное на месторождениях. Обустройство Южно-Киринского месторождения</v>
          </cell>
          <cell r="Y209" t="str">
            <v>051-200132015.4.Д1.2</v>
          </cell>
          <cell r="Z209" t="str">
            <v>051-2001320</v>
          </cell>
          <cell r="AA209" t="str">
            <v>15.4.Д1.2</v>
          </cell>
          <cell r="AB209" t="str">
            <v>Реконструкция КЦ № 1 ДКС-1 ГПУ Оренбургского НГКМ (10 этап)</v>
          </cell>
        </row>
        <row r="210">
          <cell r="O210" t="str">
            <v/>
          </cell>
          <cell r="W210" t="str">
            <v>051-3005149</v>
          </cell>
          <cell r="X210" t="str">
            <v>Бурение эксплуатационное на месторождениях. Обустройство Южно-Киринского месторождения (2 этап)</v>
          </cell>
          <cell r="Y210" t="str">
            <v>051-200132015.4.Д1.3</v>
          </cell>
          <cell r="Z210" t="str">
            <v>051-2001320</v>
          </cell>
          <cell r="AA210" t="str">
            <v>15.4.Д1.3</v>
          </cell>
          <cell r="AB210" t="str">
            <v>Реконструкция электроприводного цеха ДКС-1 Оренбургского НГКМ (12 этап)</v>
          </cell>
        </row>
        <row r="211">
          <cell r="O211" t="str">
            <v/>
          </cell>
          <cell r="W211" t="str">
            <v>051-2004694</v>
          </cell>
          <cell r="X211" t="str">
            <v>Техперевооружение газовых скважин Ямбургского НГКМ</v>
          </cell>
          <cell r="Y211" t="str">
            <v>051-200132015.4.Д1.6</v>
          </cell>
          <cell r="Z211" t="str">
            <v>051-2001320</v>
          </cell>
          <cell r="AA211" t="str">
            <v>15.4.Д1.6</v>
          </cell>
          <cell r="AB211" t="str">
            <v>Реконструкция КЦ № 2 ДКС-2 Оренбургского НГКМ (13 этап)</v>
          </cell>
        </row>
        <row r="212">
          <cell r="O212" t="str">
            <v/>
          </cell>
          <cell r="W212" t="str">
            <v>051-2005474</v>
          </cell>
          <cell r="X212" t="str">
            <v>Техническое перевооружение газоконденсатных скважин Ямбургского НГКМ</v>
          </cell>
          <cell r="Y212" t="str">
            <v>051-200132015.7.Д0.1</v>
          </cell>
          <cell r="Z212" t="str">
            <v>051-2001320</v>
          </cell>
          <cell r="AA212" t="str">
            <v>15.7.Д0.1</v>
          </cell>
          <cell r="AB212" t="str">
            <v>Реконструкция сетей связи ДКС-1, УКПГ-10, Промбазы Оренбургского НГКМ (5 этап)</v>
          </cell>
        </row>
        <row r="213">
          <cell r="O213" t="str">
            <v/>
          </cell>
          <cell r="W213" t="str">
            <v>051-2006573</v>
          </cell>
          <cell r="X213" t="str">
            <v>Техническое перевооружение газовых и газоконденсатных скважин Ямбургского НГКМ</v>
          </cell>
          <cell r="Y213" t="str">
            <v>051-200132015.7.Д0.2</v>
          </cell>
          <cell r="Z213" t="str">
            <v>051-2001320</v>
          </cell>
          <cell r="AA213" t="str">
            <v>15.7.Д0.2</v>
          </cell>
          <cell r="AB213" t="str">
            <v>Реконструкция сетей связи УКПГ-1,3,12 ГПУ Оренбургского НГКМ (6 этап)</v>
          </cell>
        </row>
        <row r="214">
          <cell r="O214" t="str">
            <v/>
          </cell>
          <cell r="W214" t="str">
            <v>051-2004432</v>
          </cell>
          <cell r="X214" t="str">
            <v>Техническое перевооружение обвязки кустов газовых скважин Ямбургского НГКМ</v>
          </cell>
          <cell r="Y214" t="str">
            <v>051-200132015.7.Д0.3</v>
          </cell>
          <cell r="Z214" t="str">
            <v>051-2001320</v>
          </cell>
          <cell r="AA214" t="str">
            <v>15.7.Д0.3</v>
          </cell>
          <cell r="AB214" t="str">
            <v>Реконструкция сетей связи УКПГ-2,6 Оренбургского НГКМ (8 этап)</v>
          </cell>
        </row>
        <row r="215">
          <cell r="O215" t="str">
            <v/>
          </cell>
          <cell r="W215" t="str">
            <v>051-2001204</v>
          </cell>
          <cell r="X215" t="str">
            <v>Реконструкция и техперевооружение объектов Ямбургского ГКМ. 2-й этап реконструкции</v>
          </cell>
          <cell r="Y215" t="str">
            <v>051-200132015.7.Д0.4</v>
          </cell>
          <cell r="Z215" t="str">
            <v>051-2001320</v>
          </cell>
          <cell r="AA215" t="str">
            <v>15.7.Д0.4</v>
          </cell>
          <cell r="AB215" t="str">
            <v>Реконструкция сетей связи УКПГ-7,8,9 ГПУ Оренбургского НГКМ (11 этап)</v>
          </cell>
        </row>
        <row r="216">
          <cell r="O216" t="str">
            <v/>
          </cell>
          <cell r="W216" t="str">
            <v>051-2004023</v>
          </cell>
          <cell r="X216" t="str">
            <v>Реконструкция газосборной сети с применением МКУ и объединением УКПГ Ямбургского НГКМ</v>
          </cell>
          <cell r="Y216" t="str">
            <v>051-200400315.4.Д3.1.25</v>
          </cell>
          <cell r="Z216" t="str">
            <v>051-2004003</v>
          </cell>
          <cell r="AA216" t="str">
            <v>15.4.Д3.1.25</v>
          </cell>
          <cell r="AB216" t="str">
            <v>Этап 1-Реконструкция ДКЦ (ГПА № 5,6 - модернизация)</v>
          </cell>
        </row>
        <row r="217">
          <cell r="O217" t="str">
            <v/>
          </cell>
          <cell r="W217" t="str">
            <v>051-2004693</v>
          </cell>
          <cell r="X217" t="str">
            <v>Инженерная защита балочных переходов газопровордов-шлейфов  и межпромысловых коллекторов Ямбургского НГКМ</v>
          </cell>
          <cell r="Y217" t="str">
            <v>051-200400315.4.Д3.2.25</v>
          </cell>
          <cell r="Z217" t="str">
            <v>051-2004003</v>
          </cell>
          <cell r="AA217" t="str">
            <v>15.4.Д3.2.25</v>
          </cell>
          <cell r="AB217" t="str">
            <v>Этап 2- Реконструкция ДНС (ТЛ-1)</v>
          </cell>
        </row>
        <row r="218">
          <cell r="O218" t="str">
            <v/>
          </cell>
          <cell r="W218" t="str">
            <v>051-2005475</v>
          </cell>
          <cell r="X218" t="str">
            <v>Реконструкция энергомодулей № 1, 2, 3 ГТЭС-72 Ямбургского НГКМ</v>
          </cell>
          <cell r="Y218" t="str">
            <v>051-200400315.4.Д3.3.25</v>
          </cell>
          <cell r="Z218" t="str">
            <v>051-2004003</v>
          </cell>
          <cell r="AA218" t="str">
            <v>15.4.Д3.3.25</v>
          </cell>
          <cell r="AB218" t="str">
            <v>Этап 3- Реконструкция ДКЦ (ГПА № 4 - модернизация)</v>
          </cell>
        </row>
        <row r="219">
          <cell r="O219" t="str">
            <v/>
          </cell>
          <cell r="W219" t="str">
            <v>051-2005698</v>
          </cell>
          <cell r="X219" t="str">
            <v>Реконструкция ГТЭС-15 УКПГ-9 Харвутинской площади Ямбургского НГКМ</v>
          </cell>
          <cell r="Y219" t="str">
            <v>051-200400315.4.Д3.4.25</v>
          </cell>
          <cell r="Z219" t="str">
            <v>051-2004003</v>
          </cell>
          <cell r="AA219" t="str">
            <v>15.4.Д3.4.25</v>
          </cell>
          <cell r="AB219" t="str">
            <v>Этап 4 -Реконструкция ДНС (ТЛ-2)</v>
          </cell>
        </row>
        <row r="220">
          <cell r="O220" t="str">
            <v/>
          </cell>
          <cell r="W220" t="str">
            <v>051-2005697</v>
          </cell>
          <cell r="X220" t="str">
            <v>Реконструкция УЗПП УКПГ-1В Ямбургского НГКМ</v>
          </cell>
          <cell r="Y220" t="str">
            <v>051-200400315.4.Д3.5.25</v>
          </cell>
          <cell r="Z220" t="str">
            <v>051-2004003</v>
          </cell>
          <cell r="AA220" t="str">
            <v>15.4.Д3.5.25</v>
          </cell>
          <cell r="AB220" t="str">
            <v>Этап 5 - Реконструкция ДКЦ (ГПА №3 - модернизация)</v>
          </cell>
        </row>
        <row r="221">
          <cell r="O221" t="str">
            <v/>
          </cell>
          <cell r="W221" t="str">
            <v>051-2005853</v>
          </cell>
          <cell r="X221" t="str">
            <v>Реконструкция УПМТ-1 УКПГ-1В Ямбургского НГКМ</v>
          </cell>
          <cell r="Y221" t="str">
            <v>051-200400315.4.Д3.6.25</v>
          </cell>
          <cell r="Z221" t="str">
            <v>051-2004003</v>
          </cell>
          <cell r="AA221" t="str">
            <v>15.4.Д3.6.25</v>
          </cell>
          <cell r="AB221" t="str">
            <v>Этап 6- Реконстрпукция ДКЦ (ГПА № 2 - модернизация)</v>
          </cell>
        </row>
        <row r="222">
          <cell r="O222" t="str">
            <v/>
          </cell>
          <cell r="W222" t="str">
            <v>051-2005261</v>
          </cell>
          <cell r="X222" t="str">
            <v>Реконструкция здания производственных корпусов с тёплой стоянкой УКПГ-4 и УКПГ-9 Ямбургского НГКМ</v>
          </cell>
          <cell r="Y222" t="str">
            <v>051-200400315.4.Д3.7.25</v>
          </cell>
          <cell r="Z222" t="str">
            <v>051-2004003</v>
          </cell>
          <cell r="AA222" t="str">
            <v>15.4.Д3.7.25</v>
          </cell>
          <cell r="AB222" t="str">
            <v>Этап 7- Реконструкция ДКЦ (ГПА № 1 - модернизация)</v>
          </cell>
        </row>
        <row r="223">
          <cell r="O223" t="str">
            <v/>
          </cell>
          <cell r="W223" t="str">
            <v>051-2006022</v>
          </cell>
          <cell r="X223" t="str">
            <v>Реконструкция ПАЭС 2500 УКПГ-1В ЯНГКМ</v>
          </cell>
          <cell r="Y223" t="str">
            <v>051-200400315.4.Д3.8.25</v>
          </cell>
          <cell r="Z223" t="str">
            <v>051-2004003</v>
          </cell>
          <cell r="AA223" t="str">
            <v>15.4.Д3.8.25</v>
          </cell>
          <cell r="AB223" t="str">
            <v>Этап 8 - ДНС. Строительство новой технологической нитки ТЛ-3</v>
          </cell>
        </row>
        <row r="224">
          <cell r="O224" t="str">
            <v/>
          </cell>
          <cell r="W224" t="str">
            <v>051-2001230</v>
          </cell>
          <cell r="X224" t="str">
            <v>Реконструкция и модернизация Ямбургского ГКМ</v>
          </cell>
          <cell r="Y224" t="str">
            <v>051-200400315.4.Д3.9.25</v>
          </cell>
          <cell r="Z224" t="str">
            <v>051-2004003</v>
          </cell>
          <cell r="AA224" t="str">
            <v>15.4.Д3.9.25</v>
          </cell>
          <cell r="AB224" t="str">
            <v>Этап 9- Строительство склада тарного хранения</v>
          </cell>
        </row>
        <row r="225">
          <cell r="O225" t="str">
            <v/>
          </cell>
          <cell r="W225" t="str">
            <v>051-2007289</v>
          </cell>
          <cell r="X225" t="str">
            <v>Техническое перевооружение газоперекачивающих агрегатов ДКС УКПГ-2, УКПГ-3 сеноманской залежи Ямбургского НГКМ</v>
          </cell>
          <cell r="Y225" t="str">
            <v>051-200400315.4.Д3.1.26</v>
          </cell>
          <cell r="Z225" t="str">
            <v>051-2004003</v>
          </cell>
          <cell r="AA225" t="str">
            <v>15.4.Д3.1.26</v>
          </cell>
          <cell r="AB225" t="str">
            <v>Этап 10 - Строительство ГПА № 7, 8</v>
          </cell>
        </row>
        <row r="226">
          <cell r="O226" t="str">
            <v/>
          </cell>
          <cell r="W226" t="str">
            <v>051-2007290</v>
          </cell>
          <cell r="X226" t="str">
            <v>Техническое перевооружение газоперекачивающих агрегатов ДКС УКПГ-4, УКПГ-7 сеноманской залежи Ямбургского НГКМ</v>
          </cell>
          <cell r="Y226" t="str">
            <v>051-20040231.2.6.3.43</v>
          </cell>
          <cell r="Z226" t="str">
            <v>051-2004023</v>
          </cell>
          <cell r="AA226" t="str">
            <v>1.2.6.3.43</v>
          </cell>
          <cell r="AB226" t="str">
            <v>Этап 43. Скребковые краны №612сз ГШ КГС №612</v>
          </cell>
        </row>
        <row r="227">
          <cell r="O227" t="str">
            <v/>
          </cell>
          <cell r="W227" t="str">
            <v>051-3001202</v>
          </cell>
          <cell r="X227" t="str">
            <v>Эксплуатационное бурение. Подключение дополнительных скважин нижнемеловых отложений Ямбургского НГКМ</v>
          </cell>
          <cell r="Y227" t="str">
            <v>051-20040231.3.5.3.2.25</v>
          </cell>
          <cell r="Z227" t="str">
            <v>051-2004023</v>
          </cell>
          <cell r="AA227" t="str">
            <v>1.3.5.3.2.25</v>
          </cell>
          <cell r="AB227" t="str">
            <v>Этап 2. Реконструкция инженерных систем зданиия ПЭБ, БППП УКПГ-5</v>
          </cell>
        </row>
        <row r="228">
          <cell r="O228" t="str">
            <v/>
          </cell>
          <cell r="W228" t="str">
            <v>051-3001209</v>
          </cell>
          <cell r="X228" t="str">
            <v>Эксплуатационное бурение. Обустройство Харвутинской площади Ямбургского ГКМ</v>
          </cell>
          <cell r="Y228" t="str">
            <v>051-20040231.3.5.3.16</v>
          </cell>
          <cell r="Z228" t="str">
            <v>051-2004023</v>
          </cell>
          <cell r="AA228" t="str">
            <v>1.3.5.3.16</v>
          </cell>
          <cell r="AB228" t="str">
            <v>Этап 16. Установка пробкоуловителей, дренажной емкости и скребковых кранов УКПГ-5</v>
          </cell>
        </row>
        <row r="229">
          <cell r="O229" t="str">
            <v/>
          </cell>
          <cell r="W229" t="str">
            <v>051-2004952</v>
          </cell>
          <cell r="X229" t="str">
            <v>Обустройство Восточно-Харвутинской площади Ямбургского НГКМ</v>
          </cell>
          <cell r="Y229" t="str">
            <v>051-20040231.3.5.3.46</v>
          </cell>
          <cell r="Z229" t="str">
            <v>051-2004023</v>
          </cell>
          <cell r="AA229" t="str">
            <v>1.3.5.3.46</v>
          </cell>
          <cell r="AB229" t="str">
            <v>Этап 46. Реконструкция внутриплощадочных сетей УКПГ-5</v>
          </cell>
        </row>
        <row r="230">
          <cell r="O230" t="str">
            <v/>
          </cell>
          <cell r="W230" t="str">
            <v>051-3004952</v>
          </cell>
          <cell r="X230" t="str">
            <v>Эксплуатационное бурение. Обустройство Восточно-Харвутинской площади Ямбургского НГКМ</v>
          </cell>
          <cell r="Y230" t="str">
            <v>051-20040231.3.5.3.47</v>
          </cell>
          <cell r="Z230" t="str">
            <v>051-2004023</v>
          </cell>
          <cell r="AA230" t="str">
            <v>1.3.5.3.47</v>
          </cell>
          <cell r="AB230" t="str">
            <v>ЭТАП 47. Склад хранения масла в таре УКПГ-5</v>
          </cell>
        </row>
        <row r="231">
          <cell r="O231" t="str">
            <v/>
          </cell>
          <cell r="W231" t="str">
            <v>051-2005366</v>
          </cell>
          <cell r="X231" t="str">
            <v>Расширение обустройства нижнемеловых отложений Ямбургского НГКМ</v>
          </cell>
          <cell r="Y231" t="str">
            <v>051-20040231.3.5.3.48</v>
          </cell>
          <cell r="Z231" t="str">
            <v>051-2004023</v>
          </cell>
          <cell r="AA231" t="str">
            <v>1.3.5.3.48</v>
          </cell>
          <cell r="AB231" t="str">
            <v>Этап 48. Модернизация сепараторов УОГ УКПГ-5</v>
          </cell>
        </row>
        <row r="232">
          <cell r="W232" t="str">
            <v>051-3005366</v>
          </cell>
          <cell r="X232" t="str">
            <v>Эксплуатационное бурение. Расширение обустройства нижнемеловых отложений Ямбургского НГКМ</v>
          </cell>
          <cell r="Y232" t="str">
            <v>051-20040231.3.5.3.49</v>
          </cell>
          <cell r="Z232" t="str">
            <v>051-2004023</v>
          </cell>
          <cell r="AA232" t="str">
            <v>1.3.5.3.49</v>
          </cell>
          <cell r="AB232" t="str">
            <v>Этап 49. Реконструкция УПТИГ ДКС УКПГ-5</v>
          </cell>
        </row>
        <row r="233">
          <cell r="W233" t="str">
            <v>051-2006512</v>
          </cell>
          <cell r="X233" t="str">
            <v>Дожимная компрессорная станция Харвутинской площади Ямбургского ГКМ</v>
          </cell>
          <cell r="Y233" t="str">
            <v>051-20040231.3.5.3.50</v>
          </cell>
          <cell r="Z233" t="str">
            <v>051-2004023</v>
          </cell>
          <cell r="AA233" t="str">
            <v>1.3.5.3.50</v>
          </cell>
          <cell r="AB233" t="str">
            <v>Этап 50. Реконструкция техкорпус регенерации ДЭГа и метанола УКПГ-5</v>
          </cell>
        </row>
        <row r="234">
          <cell r="W234" t="str">
            <v>051-2000792</v>
          </cell>
          <cell r="X234" t="str">
            <v>Реконструкция и техническое перевооружение объектов добычи газа Ямсовейского НГКМ</v>
          </cell>
          <cell r="Y234" t="str">
            <v>051-20040231.3.5.3.51</v>
          </cell>
          <cell r="Z234" t="str">
            <v>051-2004023</v>
          </cell>
          <cell r="AA234" t="str">
            <v>1.3.5.3.51</v>
          </cell>
          <cell r="AB234" t="str">
            <v>ЭТАП 51. Реконструкция системы противопожарного водоснабжения УКПГ-5</v>
          </cell>
        </row>
        <row r="235">
          <cell r="W235" t="str">
            <v>051-2005677</v>
          </cell>
          <cell r="X235" t="str">
            <v>Реконструкция ДКС Ямсовейского НГКМ (2-я очередь)</v>
          </cell>
          <cell r="Y235" t="str">
            <v>051-20040231.3.5.2.26</v>
          </cell>
          <cell r="Z235" t="str">
            <v>051-2004023</v>
          </cell>
          <cell r="AA235" t="str">
            <v>1.3.5.2.26</v>
          </cell>
          <cell r="AB235" t="str">
            <v>Этап 2.1 Реконструкция инженерных систем зданиия ПЭБ, БППП УКПГ-5</v>
          </cell>
        </row>
        <row r="236">
          <cell r="W236" t="str">
            <v>051-2005708</v>
          </cell>
          <cell r="X236" t="str">
            <v>Реконструкция газосборной сети Ямсовейского НГКМ</v>
          </cell>
          <cell r="Y236" t="str">
            <v>051-20040231.3.6.3.25</v>
          </cell>
          <cell r="Z236" t="str">
            <v>051-2004023</v>
          </cell>
          <cell r="AA236" t="str">
            <v>1.3.6.3.25</v>
          </cell>
          <cell r="AB236" t="str">
            <v>Этап 24. Реконструкция инженерных систем зданиия ПЭБ УКПГ-6</v>
          </cell>
        </row>
        <row r="237">
          <cell r="W237" t="str">
            <v>051-2006966</v>
          </cell>
          <cell r="X237" t="str">
            <v>Техническое перевооружение внутриплощадочных сетей Ямсовейского НГКМ</v>
          </cell>
          <cell r="Y237" t="str">
            <v>051-20040231.3.6.3.36</v>
          </cell>
          <cell r="Z237" t="str">
            <v>051-2004023</v>
          </cell>
          <cell r="AA237" t="str">
            <v>1.3.6.3.36</v>
          </cell>
          <cell r="AB237" t="str">
            <v>Этап 36. Установка пробкоуловителей, дренажной емкости и скребковых кранов УКПГ-6</v>
          </cell>
        </row>
        <row r="238">
          <cell r="W238" t="str">
            <v>051-2000800</v>
          </cell>
          <cell r="X238" t="str">
            <v>Реконструкция и техническое перевооружение объектов добычи газа Ямсовейского НГКМ. 2 очередь</v>
          </cell>
          <cell r="Y238" t="str">
            <v>051-20040231.3.6.3.53</v>
          </cell>
          <cell r="Z238" t="str">
            <v>051-2004023</v>
          </cell>
          <cell r="AA238" t="str">
            <v>1.3.6.3.53</v>
          </cell>
          <cell r="AB238" t="str">
            <v>Этап 53. Модернизация сепараторов УОГ УКПГ-6</v>
          </cell>
        </row>
        <row r="239">
          <cell r="Y239" t="str">
            <v>051-20040231.3.6.3.55</v>
          </cell>
          <cell r="Z239" t="str">
            <v>051-2004023</v>
          </cell>
          <cell r="AA239" t="str">
            <v>1.3.6.3.55</v>
          </cell>
          <cell r="AB239" t="str">
            <v>Этап 55. Реконструкция установки регенерации ДЭГа УКПГ-6</v>
          </cell>
        </row>
        <row r="240">
          <cell r="Y240" t="str">
            <v>051-20040231.3.6.3.56</v>
          </cell>
          <cell r="Z240" t="str">
            <v>051-2004023</v>
          </cell>
          <cell r="AA240" t="str">
            <v>1.3.6.3.56</v>
          </cell>
          <cell r="AB240" t="str">
            <v>Этап 56. Реконструкция установки подогрева теплоносителя УКПГ-6</v>
          </cell>
        </row>
        <row r="241">
          <cell r="Y241" t="str">
            <v>051-20040231.3.0.3.52</v>
          </cell>
          <cell r="Z241" t="str">
            <v>051-2004023</v>
          </cell>
          <cell r="AA241" t="str">
            <v>1.3.0.3.52</v>
          </cell>
          <cell r="AB241" t="str">
            <v>Этап 52 и 54. Перевод УКПГ-5 в УППГ-5. Подключение УППГ-5 к УКПГ-6</v>
          </cell>
        </row>
        <row r="242">
          <cell r="Y242" t="str">
            <v>051-20040231.3.6.24.26</v>
          </cell>
          <cell r="Z242" t="str">
            <v>051-2004023</v>
          </cell>
          <cell r="AA242" t="str">
            <v>1.3.6.24.26</v>
          </cell>
          <cell r="AB242" t="str">
            <v>Этап 24.1 Реконструкция инженерных систем зданиия ПЭБ УКПГ-6</v>
          </cell>
        </row>
        <row r="243">
          <cell r="Y243" t="str">
            <v>051-20040231.2.1.1.23</v>
          </cell>
          <cell r="Z243" t="str">
            <v>051-2004023</v>
          </cell>
          <cell r="AA243" t="str">
            <v>1.2.1.1.23</v>
          </cell>
          <cell r="AB243" t="str">
            <v>Этап 3. Подключение ГШ №104 к ГШ №106</v>
          </cell>
        </row>
        <row r="244">
          <cell r="Y244" t="str">
            <v>051-20040231.2.1.4.23</v>
          </cell>
          <cell r="Z244" t="str">
            <v>051-2004023</v>
          </cell>
          <cell r="AA244" t="str">
            <v>1.2.1.4.23</v>
          </cell>
          <cell r="AB244" t="str">
            <v>Этап 9. Подключение ГШ №107 к коллектору КГС №111, 119</v>
          </cell>
        </row>
        <row r="245">
          <cell r="Y245" t="str">
            <v>051-20040231.2.1.2.13</v>
          </cell>
          <cell r="Z245" t="str">
            <v>051-2004023</v>
          </cell>
          <cell r="AA245" t="str">
            <v>1.2.1.2.13</v>
          </cell>
          <cell r="AB245" t="str">
            <v>Этап 4. Подключение ГШ №108 к коллектору КГС №113,120</v>
          </cell>
        </row>
        <row r="246">
          <cell r="Y246" t="str">
            <v>051-20040231.2.1.3.23</v>
          </cell>
          <cell r="Z246" t="str">
            <v>051-2004023</v>
          </cell>
          <cell r="AA246" t="str">
            <v>1.2.1.3.23</v>
          </cell>
          <cell r="AB246" t="str">
            <v>Этап 8. Подключение ГШ №116 к коллектору КГС №113, 120</v>
          </cell>
        </row>
        <row r="247">
          <cell r="Y247" t="str">
            <v>051-20040231.2.1.1.23(2)</v>
          </cell>
          <cell r="Z247" t="str">
            <v>051-2004023</v>
          </cell>
          <cell r="AA247" t="str">
            <v>1.2.1.1.23(2)</v>
          </cell>
          <cell r="AB247" t="str">
            <v>Этап 25. Подключение ГШ №210 к ГШ №207</v>
          </cell>
        </row>
        <row r="248">
          <cell r="Y248" t="str">
            <v>051-20040231.2.1.2.13(2)</v>
          </cell>
          <cell r="Z248" t="str">
            <v>051-2004023</v>
          </cell>
          <cell r="AA248" t="str">
            <v>1.2.1.2.13(2)</v>
          </cell>
          <cell r="AB248" t="str">
            <v>Этап 26. Подключение ГШ №214 к ГШ №213</v>
          </cell>
        </row>
        <row r="249">
          <cell r="Y249" t="str">
            <v>051-20040231.2.1.4.23(2)</v>
          </cell>
          <cell r="Z249" t="str">
            <v>051-2004023</v>
          </cell>
          <cell r="AA249" t="str">
            <v>1.2.1.4.23(2)</v>
          </cell>
          <cell r="AB249" t="str">
            <v>Этап 35. Подключение ГШ №211 к ГШ №215</v>
          </cell>
        </row>
        <row r="250">
          <cell r="Y250" t="str">
            <v>051-20040231.2.3.2.13</v>
          </cell>
          <cell r="Z250" t="str">
            <v>051-2004023</v>
          </cell>
          <cell r="AA250" t="str">
            <v>1.2.3.2.13</v>
          </cell>
          <cell r="AB250" t="str">
            <v>Этап 61. Подключение ГШ №312 к ГШ №313</v>
          </cell>
        </row>
        <row r="251">
          <cell r="Y251" t="str">
            <v>051-20040231.2.3.4.23</v>
          </cell>
          <cell r="Z251" t="str">
            <v>051-2004023</v>
          </cell>
          <cell r="AA251" t="str">
            <v>1.2.3.4.23</v>
          </cell>
          <cell r="AB251" t="str">
            <v>Этап 63. Подключение ГШ №307 к ГШ №302</v>
          </cell>
        </row>
        <row r="252">
          <cell r="Y252" t="str">
            <v>051-20040231.2.3.8.23</v>
          </cell>
          <cell r="Z252" t="str">
            <v>051-2004023</v>
          </cell>
          <cell r="AA252" t="str">
            <v>1.2.3.8.23</v>
          </cell>
          <cell r="AB252" t="str">
            <v>Этап 67. Подключение ГШ №305 к ГШ №304</v>
          </cell>
        </row>
        <row r="253">
          <cell r="Y253" t="str">
            <v>051-20040231.2.4.1.23</v>
          </cell>
          <cell r="Z253" t="str">
            <v>051-2004023</v>
          </cell>
          <cell r="AA253" t="str">
            <v>1.2.4.1.23</v>
          </cell>
          <cell r="AB253" t="str">
            <v>Этап 69. Подключение ГШ №406 к ГШ №405</v>
          </cell>
        </row>
        <row r="254">
          <cell r="Y254" t="str">
            <v>051-20040231.2.4.2.13</v>
          </cell>
          <cell r="Z254" t="str">
            <v>051-2004023</v>
          </cell>
          <cell r="AA254" t="str">
            <v>1.2.4.2.13</v>
          </cell>
          <cell r="AB254" t="str">
            <v>Этап 70. Подключение ГШ №411 к коллектору КГС №407, 420, 421</v>
          </cell>
        </row>
        <row r="255">
          <cell r="Y255" t="str">
            <v>051-20040231.2.4.5.23</v>
          </cell>
          <cell r="Z255" t="str">
            <v>051-2004023</v>
          </cell>
          <cell r="AA255" t="str">
            <v>1.2.4.5.23</v>
          </cell>
          <cell r="AB255" t="str">
            <v>Этап 80. Подключение ГШ №408 к коллектору КГС №407, 420, 421</v>
          </cell>
        </row>
        <row r="256">
          <cell r="Y256" t="str">
            <v>051-20040231.2.4.7.23</v>
          </cell>
          <cell r="Z256" t="str">
            <v>051-2004023</v>
          </cell>
          <cell r="AA256" t="str">
            <v>1.2.4.7.23</v>
          </cell>
          <cell r="AB256" t="str">
            <v>Этап 82. Подключение коллектора  №404, 422 к коллектору КГС №407, 420, 421</v>
          </cell>
        </row>
        <row r="257">
          <cell r="Y257" t="str">
            <v>051-20040231.2.4.3.23</v>
          </cell>
          <cell r="Z257" t="str">
            <v>051-2004023</v>
          </cell>
          <cell r="AA257" t="str">
            <v>1.2.4.3.23</v>
          </cell>
          <cell r="AB257" t="str">
            <v>Этап 71. Подключение ГШ №412 и ГШ №418 к коллектору КГС №414, 416, 417.</v>
          </cell>
        </row>
        <row r="258">
          <cell r="Y258" t="str">
            <v>051-20040231.2.7.1.23</v>
          </cell>
          <cell r="Z258" t="str">
            <v>051-2004023</v>
          </cell>
          <cell r="AA258" t="str">
            <v>1.2.7.1.23</v>
          </cell>
          <cell r="AB258" t="str">
            <v>Этап 87. Подключение ГШ №717 к коллектору КГС №618, 715. Замена труб ГШ №717и №715</v>
          </cell>
        </row>
        <row r="259">
          <cell r="Y259" t="str">
            <v>051-20040231.2.7.2.13</v>
          </cell>
          <cell r="Z259" t="str">
            <v>051-2004023</v>
          </cell>
          <cell r="AA259" t="str">
            <v>1.2.7.2.13</v>
          </cell>
          <cell r="AB259" t="str">
            <v>Этап 88. Подключение ГШ №718 и ГШ№713 к коллектору КГС №721, 722, 723. Замена труб ГШ №713</v>
          </cell>
        </row>
        <row r="260">
          <cell r="Y260" t="str">
            <v>051-20040231.2.7.4.23</v>
          </cell>
          <cell r="Z260" t="str">
            <v>051-2004023</v>
          </cell>
          <cell r="AA260" t="str">
            <v>1.2.7.4.23</v>
          </cell>
          <cell r="AB260" t="str">
            <v>Этап 90. Замена трубы ГШ №704 до точки подключения к коллектору КГС №726, 727, 728</v>
          </cell>
        </row>
        <row r="261">
          <cell r="Y261" t="str">
            <v>051-20040231.2.7.6.23</v>
          </cell>
          <cell r="Z261" t="str">
            <v>051-2004023</v>
          </cell>
          <cell r="AA261" t="str">
            <v>1.2.7.6.23</v>
          </cell>
          <cell r="AB261" t="str">
            <v>Этап 92. Подключение ГШ №711 к ГШ№719</v>
          </cell>
        </row>
        <row r="262">
          <cell r="Y262" t="str">
            <v>051-20040231.3.2.1.23</v>
          </cell>
          <cell r="Z262" t="str">
            <v>051-2004023</v>
          </cell>
          <cell r="AA262" t="str">
            <v>1.3.2.1.23</v>
          </cell>
          <cell r="AB262" t="str">
            <v>Этап 16. Первоочередной этап АСУ ТП "верхнего" уровня и систем связи УКПГ-2 Подключение к складу масла</v>
          </cell>
        </row>
        <row r="263">
          <cell r="Y263" t="str">
            <v>051-20040231.3.2.4.23</v>
          </cell>
          <cell r="Z263" t="str">
            <v>051-2004023</v>
          </cell>
          <cell r="AA263" t="str">
            <v>1.3.2.4.23</v>
          </cell>
          <cell r="AB263" t="str">
            <v>Этап 27. Установка узлов приема очистных устройств на УКПГ-2 и скребковых кранов для приема очистных устройств на ГШ КГС № 207, КГС № 213</v>
          </cell>
        </row>
        <row r="264">
          <cell r="Y264" t="str">
            <v>051-20040231.3.2.5.23</v>
          </cell>
          <cell r="Z264" t="str">
            <v>051-2004023</v>
          </cell>
          <cell r="AA264" t="str">
            <v>1.3.2.5.23</v>
          </cell>
          <cell r="AB264" t="str">
            <v>Этап 34. Установка скребковых кранов для приема очистных устройств на ГШ КГС № 202, КГС № 203</v>
          </cell>
        </row>
        <row r="265">
          <cell r="Y265" t="str">
            <v>051-20040231.3.2.6.23</v>
          </cell>
          <cell r="Z265" t="str">
            <v>051-2004023</v>
          </cell>
          <cell r="AA265" t="str">
            <v>1.3.2.6.23</v>
          </cell>
          <cell r="AB265" t="str">
            <v>Этап 36. Установка скребкового крана для приема очистных устройств на ГШ КГС № 212</v>
          </cell>
        </row>
        <row r="266">
          <cell r="Y266" t="str">
            <v>051-20040231.3.2.7.23</v>
          </cell>
          <cell r="Z266" t="str">
            <v>051-2004023</v>
          </cell>
          <cell r="AA266" t="str">
            <v>1.3.2.7.23</v>
          </cell>
          <cell r="AB266" t="str">
            <v>Этап 39. Установка скребковых кранов для приема очистных устройств на ГШ КГС № 205, КГС № 215</v>
          </cell>
        </row>
        <row r="267">
          <cell r="Y267" t="str">
            <v>051-20040231.3.3.2.13</v>
          </cell>
          <cell r="Z267" t="str">
            <v>051-2004023</v>
          </cell>
          <cell r="AA267" t="str">
            <v>1.3.3.2.13</v>
          </cell>
          <cell r="AB267" t="str">
            <v>Этап 48. Реконструкция техкорпуса регенерации ДЭГа и метанола УКПГ-3, башня антенная</v>
          </cell>
        </row>
        <row r="268">
          <cell r="Y268" t="str">
            <v>051-20040231.3.3.4.23</v>
          </cell>
          <cell r="Z268" t="str">
            <v>051-2004023</v>
          </cell>
          <cell r="AA268" t="str">
            <v>1.3.3.4.23</v>
          </cell>
          <cell r="AB268" t="str">
            <v>Этап 50. Установка узлов приема очистных устройств на УКПГ-3 и скребкового крана для приема очистных устройств на ГШ КГС № 308</v>
          </cell>
        </row>
        <row r="269">
          <cell r="Y269" t="str">
            <v>051-20040231.3.3.5.23</v>
          </cell>
          <cell r="Z269" t="str">
            <v>051-2004023</v>
          </cell>
          <cell r="AA269" t="str">
            <v>1.3.3.5.23</v>
          </cell>
          <cell r="AB269" t="str">
            <v>Этап 60. Установка скребковых кранов для приема очистных устройств на ГШ КГС № 303, КГС № 313</v>
          </cell>
        </row>
        <row r="270">
          <cell r="Y270" t="str">
            <v>051-20040231.3.3.6.23</v>
          </cell>
          <cell r="Z270" t="str">
            <v>051-2004023</v>
          </cell>
          <cell r="AA270" t="str">
            <v>1.3.3.6.23</v>
          </cell>
          <cell r="AB270" t="str">
            <v>Этап 62. Установка скребкового крана для приема очистных устройств на ГШ КГС № 316</v>
          </cell>
        </row>
        <row r="271">
          <cell r="Y271" t="str">
            <v>051-20040231.3.3.7.23</v>
          </cell>
          <cell r="Z271" t="str">
            <v>051-2004023</v>
          </cell>
          <cell r="AA271" t="str">
            <v>1.3.3.7.23</v>
          </cell>
          <cell r="AB271" t="str">
            <v>Этап 64. Установка скребковых кранов для приема очистных устройств на ГШ КГС № 302, КГС № 304, КГС № 317, КГС № 310</v>
          </cell>
        </row>
        <row r="272">
          <cell r="Y272" t="str">
            <v>051-20040231.2.3.9.23</v>
          </cell>
          <cell r="Z272" t="str">
            <v>051-2004023</v>
          </cell>
          <cell r="AA272" t="str">
            <v>1.2.3.9.23</v>
          </cell>
          <cell r="AB272" t="str">
            <v>Этап 68. Установка скребкового крана для приема очистных устройств на ГШ КГС № 314</v>
          </cell>
        </row>
        <row r="273">
          <cell r="Y273" t="str">
            <v>051-20040231.4.2.1.23</v>
          </cell>
          <cell r="Z273" t="str">
            <v>051-2004023</v>
          </cell>
          <cell r="AA273" t="str">
            <v>1.4.2.1.23</v>
          </cell>
          <cell r="AB273" t="str">
            <v>Этапы 29. МКУ на КГС №205</v>
          </cell>
        </row>
        <row r="274">
          <cell r="Y274" t="str">
            <v>051-20040231.4.2.2.23</v>
          </cell>
          <cell r="Z274" t="str">
            <v>051-2004023</v>
          </cell>
          <cell r="AA274" t="str">
            <v>1.4.2.2.23</v>
          </cell>
          <cell r="AB274" t="str">
            <v>Этапы 31. МКУ на КГС №209</v>
          </cell>
        </row>
        <row r="275">
          <cell r="Y275" t="str">
            <v>051-20040231.4.2.3.23</v>
          </cell>
          <cell r="Z275" t="str">
            <v>051-2004023</v>
          </cell>
          <cell r="AA275" t="str">
            <v>1.4.2.3.23</v>
          </cell>
          <cell r="AB275" t="str">
            <v>Этапы 33. МКУ на КГС №215</v>
          </cell>
        </row>
        <row r="276">
          <cell r="Y276" t="str">
            <v>051-20040231.4.2.4.23</v>
          </cell>
          <cell r="Z276" t="str">
            <v>051-2004023</v>
          </cell>
          <cell r="AA276" t="str">
            <v>1.4.2.4.23</v>
          </cell>
          <cell r="AB276" t="str">
            <v>Этапы 17. МКУ на КГС №202</v>
          </cell>
        </row>
        <row r="277">
          <cell r="Y277" t="str">
            <v>051-20040231.4.2.5.23</v>
          </cell>
          <cell r="Z277" t="str">
            <v>051-2004023</v>
          </cell>
          <cell r="AA277" t="str">
            <v>1.4.2.5.23</v>
          </cell>
          <cell r="AB277" t="str">
            <v>Этапы 21. МКУ на КГС №212</v>
          </cell>
        </row>
        <row r="278">
          <cell r="Y278" t="str">
            <v>051-20040231.4.2.6.23</v>
          </cell>
          <cell r="Z278" t="str">
            <v>051-2004023</v>
          </cell>
          <cell r="AA278" t="str">
            <v>1.4.2.6.23</v>
          </cell>
          <cell r="AB278" t="str">
            <v>Этапы 32. МКУ на КГС №214</v>
          </cell>
        </row>
        <row r="279">
          <cell r="Y279" t="str">
            <v>051-20040231.4.2.7.23</v>
          </cell>
          <cell r="Z279" t="str">
            <v>051-2004023</v>
          </cell>
          <cell r="AA279" t="str">
            <v>1.4.2.7.23</v>
          </cell>
          <cell r="AB279" t="str">
            <v>Этапы 19. МКУ на КГС №210</v>
          </cell>
        </row>
        <row r="280">
          <cell r="Y280" t="str">
            <v>051-20040231.4.2.8.23</v>
          </cell>
          <cell r="Z280" t="str">
            <v>051-2004023</v>
          </cell>
          <cell r="AA280" t="str">
            <v>1.4.2.8.23</v>
          </cell>
          <cell r="AB280" t="str">
            <v>Этапы 20. МКУ на КГС №211</v>
          </cell>
        </row>
        <row r="281">
          <cell r="Y281" t="str">
            <v>051-20040231.4.2.9.23</v>
          </cell>
          <cell r="Z281" t="str">
            <v>051-2004023</v>
          </cell>
          <cell r="AA281" t="str">
            <v>1.4.2.9.23</v>
          </cell>
          <cell r="AB281" t="str">
            <v>Этапы 28. МКУ на КГС №203</v>
          </cell>
        </row>
        <row r="282">
          <cell r="Y282" t="str">
            <v>051-20040231.4.2.10.23</v>
          </cell>
          <cell r="Z282" t="str">
            <v>051-2004023</v>
          </cell>
          <cell r="AA282" t="str">
            <v>1.4.2.10.23</v>
          </cell>
          <cell r="AB282" t="str">
            <v>Этапы 30. МКУ на КГС №208</v>
          </cell>
        </row>
        <row r="283">
          <cell r="Y283" t="str">
            <v>051-20040231.4.3.1.23</v>
          </cell>
          <cell r="Z283" t="str">
            <v>051-2004023</v>
          </cell>
          <cell r="AA283" t="str">
            <v>1.4.3.1.23</v>
          </cell>
          <cell r="AB283" t="str">
            <v>Этап 47. МКУ на КГС №316</v>
          </cell>
        </row>
        <row r="284">
          <cell r="Y284" t="str">
            <v>051-20040231.4.3.2.23</v>
          </cell>
          <cell r="Z284" t="str">
            <v>051-2004023</v>
          </cell>
          <cell r="AA284" t="str">
            <v>1.4.3.2.23</v>
          </cell>
          <cell r="AB284" t="str">
            <v>Этап 53. МКУ на КГС №304</v>
          </cell>
        </row>
        <row r="285">
          <cell r="Y285" t="str">
            <v>051-20040231.4.3.3.23</v>
          </cell>
          <cell r="Z285" t="str">
            <v>051-2004023</v>
          </cell>
          <cell r="AA285" t="str">
            <v>1.4.3.3.23</v>
          </cell>
          <cell r="AB285" t="str">
            <v>Этап 54. МКУ на КГС №305</v>
          </cell>
        </row>
        <row r="286">
          <cell r="Y286" t="str">
            <v>051-20040231.4.3.4.23</v>
          </cell>
          <cell r="Z286" t="str">
            <v>051-2004023</v>
          </cell>
          <cell r="AA286" t="str">
            <v>1.4.3.4.23</v>
          </cell>
          <cell r="AB286" t="str">
            <v>Этап 59. МКУ на КГС №317</v>
          </cell>
        </row>
        <row r="287">
          <cell r="Y287" t="str">
            <v>051-20040231.4.3.5.23</v>
          </cell>
          <cell r="Z287" t="str">
            <v>051-2004023</v>
          </cell>
          <cell r="AA287" t="str">
            <v>1.4.3.5.23</v>
          </cell>
          <cell r="AB287" t="str">
            <v>Этап 43. МКУ на КГС №307</v>
          </cell>
        </row>
        <row r="288">
          <cell r="Y288" t="str">
            <v>051-20040231.4.3.6.23</v>
          </cell>
          <cell r="Z288" t="str">
            <v>051-2004023</v>
          </cell>
          <cell r="AA288" t="str">
            <v>1.4.3.6.23</v>
          </cell>
          <cell r="AB288" t="str">
            <v>Этап 51. МКУ на КГС №302</v>
          </cell>
        </row>
        <row r="289">
          <cell r="Y289" t="str">
            <v>051-20040231.4.3.8.23</v>
          </cell>
          <cell r="Z289" t="str">
            <v>051-2004023</v>
          </cell>
          <cell r="AA289" t="str">
            <v>1.4.3.8.23</v>
          </cell>
          <cell r="AB289" t="str">
            <v>Этап 57. МКУ на КГС №314</v>
          </cell>
        </row>
        <row r="290">
          <cell r="Y290" t="str">
            <v>051-20040231.4.3.9.23</v>
          </cell>
          <cell r="Z290" t="str">
            <v>051-2004023</v>
          </cell>
          <cell r="AA290" t="str">
            <v>1.4.3.9.23</v>
          </cell>
          <cell r="AB290" t="str">
            <v>Этап 46. МКУ на КГС №313</v>
          </cell>
        </row>
        <row r="291">
          <cell r="Y291" t="str">
            <v>051-20040231.4.3.10.23</v>
          </cell>
          <cell r="Z291" t="str">
            <v>051-2004023</v>
          </cell>
          <cell r="AA291" t="str">
            <v>1.4.3.10.23</v>
          </cell>
          <cell r="AB291" t="str">
            <v>Этап 55. МКУ на КГС №310</v>
          </cell>
        </row>
        <row r="292">
          <cell r="Y292" t="str">
            <v>051-20040231.4.3.11.23</v>
          </cell>
          <cell r="Z292" t="str">
            <v>051-2004023</v>
          </cell>
          <cell r="AA292" t="str">
            <v>1.4.3.11.23</v>
          </cell>
          <cell r="AB292" t="str">
            <v>Этап 58. МКУ на КГС №315</v>
          </cell>
        </row>
        <row r="293">
          <cell r="Y293" t="str">
            <v>051-20040231.6.1.1.23</v>
          </cell>
          <cell r="Z293" t="str">
            <v>051-2004023</v>
          </cell>
          <cell r="AA293" t="str">
            <v>1.6.1.1.23</v>
          </cell>
          <cell r="AB293" t="str">
            <v>Этап 1. Строительство ПС 6/35 кВ УКПГ-1 (первоочередной этап)</v>
          </cell>
        </row>
        <row r="294">
          <cell r="Y294" t="str">
            <v>051-20040231.6.2.1.23</v>
          </cell>
          <cell r="Z294" t="str">
            <v>051-2004023</v>
          </cell>
          <cell r="AA294" t="str">
            <v>1.6.2.1.23</v>
          </cell>
          <cell r="AB294" t="str">
            <v>Этап 14. Строительство ПС 6/10 кВ УКПГ-2  (первоочередной этап)</v>
          </cell>
        </row>
        <row r="295">
          <cell r="Y295" t="str">
            <v>051-20040231.6.2.1.23(2)</v>
          </cell>
          <cell r="Z295" t="str">
            <v>051-2004023</v>
          </cell>
          <cell r="AA295" t="str">
            <v>1.6.2.1.23(2)</v>
          </cell>
          <cell r="AB295" t="str">
            <v>Этап 15. Строительство ПС 35/10 кВ УКПГ-2 (первоочередной этап)</v>
          </cell>
        </row>
        <row r="296">
          <cell r="Y296" t="str">
            <v>051-20040231.6.3.1.23</v>
          </cell>
          <cell r="Z296" t="str">
            <v>051-2004023</v>
          </cell>
          <cell r="AA296" t="str">
            <v>1.6.3.1.23</v>
          </cell>
          <cell r="AB296" t="str">
            <v>Этап 40. Строительство ПС 6/10 кВ УКПГ-3 (первоочередной этап)</v>
          </cell>
        </row>
        <row r="297">
          <cell r="Y297" t="str">
            <v>051-20040231.6.3.2.13</v>
          </cell>
          <cell r="Z297" t="str">
            <v>051-2004023</v>
          </cell>
          <cell r="AA297" t="str">
            <v>1.6.3.2.13</v>
          </cell>
          <cell r="AB297" t="str">
            <v>Этап 41. Строительство ПС 35/10 кВ УКПГ-3. АСУ ТП "верхний уровень" (первоочередной этап)</v>
          </cell>
        </row>
        <row r="298">
          <cell r="Y298" t="str">
            <v>051-20040231.6.0.1.23</v>
          </cell>
          <cell r="Z298" t="str">
            <v>051-2004023</v>
          </cell>
          <cell r="AA298" t="str">
            <v>1.6.0.1.23</v>
          </cell>
          <cell r="AB298" t="str">
            <v>Этап 2. Строительство ВЛ 35 кВ УКПГ-1 - УКПГ-2 - УКПГ-3. АСУ ТП, АСПС КЗиПТ УКПГ-1</v>
          </cell>
        </row>
        <row r="299">
          <cell r="Y299" t="str">
            <v>051-200439516.1.2.21</v>
          </cell>
          <cell r="Z299" t="str">
            <v>051-2004395</v>
          </cell>
          <cell r="AA299" t="str">
            <v>16.1.2.21</v>
          </cell>
          <cell r="AB299" t="str">
            <v>Замена ФА, НКТ и ПО скв.216</v>
          </cell>
        </row>
        <row r="300">
          <cell r="Y300" t="str">
            <v>051-200439516.1.6.2</v>
          </cell>
          <cell r="Z300" t="str">
            <v>051-2004395</v>
          </cell>
          <cell r="AA300" t="str">
            <v>16.1.6.2</v>
          </cell>
          <cell r="AB300" t="str">
            <v>Замена ФА, НКТ и ПО скв.602</v>
          </cell>
        </row>
        <row r="301">
          <cell r="Y301" t="str">
            <v>051-20044321.1.1.1</v>
          </cell>
          <cell r="Z301" t="str">
            <v>051-2004432</v>
          </cell>
          <cell r="AA301" t="str">
            <v>1.1.1.1</v>
          </cell>
          <cell r="AB301" t="str">
            <v>Техническое перевооружение обвязки газовых скважин. Оснащение системой автоматического управления КГС. Управляющие комплексы КЛК    на скважинах № 1022. Оснащение КГС № 102 автономным энергетическим комплексом.</v>
          </cell>
        </row>
        <row r="302">
          <cell r="Y302" t="str">
            <v>051-20044321.1.1.2</v>
          </cell>
          <cell r="Z302" t="str">
            <v>051-2004432</v>
          </cell>
          <cell r="AA302" t="str">
            <v>1.1.1.2</v>
          </cell>
          <cell r="AB302" t="str">
            <v>Техническое перевооружение обвязки газовых скважин. Оснащение системой автоматического управления КГС. Управляющие комплексы КЛК    на скважинах № 1128.  Оснащение КГС № 112 автономным энергетическим комплексом.</v>
          </cell>
        </row>
        <row r="303">
          <cell r="Y303" t="str">
            <v>051-20044321.1.2.1</v>
          </cell>
          <cell r="Z303" t="str">
            <v>051-2004432</v>
          </cell>
          <cell r="AA303" t="str">
            <v>1.1.2.1</v>
          </cell>
          <cell r="AB303" t="str">
            <v>Техническое перевооружение обвязки газовых скважин. Оснащение системой автоматического управления КГС № 2022, 2037, 2038.</v>
          </cell>
        </row>
        <row r="304">
          <cell r="Y304" t="str">
            <v>051-20044321.1.2.3.25</v>
          </cell>
          <cell r="Z304" t="str">
            <v>051-2004432</v>
          </cell>
          <cell r="AA304" t="str">
            <v>1.1.2.3.25</v>
          </cell>
          <cell r="AB304" t="str">
            <v>Техническое перевооружение обвязки газовых скважин. Мобильные управляющие комплексы КЛК на скважинах № 2054</v>
          </cell>
        </row>
        <row r="305">
          <cell r="Y305" t="str">
            <v>051-20044321.1.3.1</v>
          </cell>
          <cell r="Z305" t="str">
            <v>051-2004432</v>
          </cell>
          <cell r="AA305" t="str">
            <v>1.1.3.1</v>
          </cell>
          <cell r="AB305" t="str">
            <v>Техническое перевооружение обвязки газовых скважин. Оснащение системой автоматического управления КГС №,3174</v>
          </cell>
        </row>
        <row r="306">
          <cell r="Y306" t="str">
            <v>051-20044321.1.3.4.25</v>
          </cell>
          <cell r="Z306" t="str">
            <v>051-2004432</v>
          </cell>
          <cell r="AA306" t="str">
            <v>1.1.3.4.25</v>
          </cell>
          <cell r="AB306" t="str">
            <v>Техническое перевооружение обвязки газовых скважин. Мобильные управляющие комплексы КЛК на скважинах № 3052, 3103, 3105, 3108, 3172, 3173</v>
          </cell>
        </row>
        <row r="307">
          <cell r="Y307" t="str">
            <v>051-20044321.1.5.1</v>
          </cell>
          <cell r="Z307" t="str">
            <v>051-2004432</v>
          </cell>
          <cell r="AA307" t="str">
            <v>1.1.5.1</v>
          </cell>
          <cell r="AB307" t="str">
            <v>Техническое перевооружение обвязки газовых скважин. Оснащение системой автоматического управления КГС № 5027, 5036, 5073, 5094, 5076, 5062, 2160, 2161, 2167.</v>
          </cell>
        </row>
        <row r="308">
          <cell r="Y308" t="str">
            <v>051-20044321.1.5.3.25</v>
          </cell>
          <cell r="Z308" t="str">
            <v>051-2004432</v>
          </cell>
          <cell r="AA308" t="str">
            <v>1.1.5.3.25</v>
          </cell>
          <cell r="AB308" t="str">
            <v>Техническое перевооружение обвязки газовых скважин. Мобильные управляющие комплексы КЛК на скважинах № 5146.  Оснащение КГС №  514 автономным энергетическим комплексом</v>
          </cell>
        </row>
        <row r="309">
          <cell r="Y309" t="str">
            <v>051-20044321.1.6.1</v>
          </cell>
          <cell r="Z309" t="str">
            <v>051-2004432</v>
          </cell>
          <cell r="AA309" t="str">
            <v>1.1.6.1</v>
          </cell>
          <cell r="AB309" t="str">
            <v>Техническое перевооружение  обвязки газовых скважин. Оснащение системой автоматического управления КГС  № 6045, 6047, 6082. Оснащение КГС № 608 автономным энергетическим комплексом</v>
          </cell>
        </row>
        <row r="310">
          <cell r="Y310" t="str">
            <v>051-20044321.1.7.3.25(2)</v>
          </cell>
          <cell r="Z310" t="str">
            <v>051-2004432</v>
          </cell>
          <cell r="AA310" t="str">
            <v>1.1.7.3.25(2)</v>
          </cell>
          <cell r="AB310" t="str">
            <v>Техническое перевооружение обвязки газовых скважин. Мобильные управляющие комплексы КЛК на скважинах № 7043.   Оснащение КГС №  704 автономным энергетическим комплексом</v>
          </cell>
        </row>
        <row r="311">
          <cell r="Y311" t="str">
            <v>051-20044321.1.8.1.25</v>
          </cell>
          <cell r="Z311" t="str">
            <v>051-2004432</v>
          </cell>
          <cell r="AA311" t="str">
            <v>1.1.8.1.25</v>
          </cell>
          <cell r="AB311" t="str">
            <v>Техническое перевооружение  обвязки газовых скважин. Оснащение системой автоматического управления КГС  № 8034. Оснащение КГС №  803 автономным энергетическим комплексом</v>
          </cell>
        </row>
        <row r="312">
          <cell r="Y312" t="str">
            <v>051-20044321.1.0.1</v>
          </cell>
          <cell r="Z312" t="str">
            <v>051-2004432</v>
          </cell>
          <cell r="AA312" t="str">
            <v>1.1.0.1</v>
          </cell>
          <cell r="AB312" t="str">
            <v>Обвязка устьев газовых скважин  Ямбургского ГКМ</v>
          </cell>
        </row>
        <row r="313">
          <cell r="Y313" t="str">
            <v>051-20044334.1.0.5.2</v>
          </cell>
          <cell r="Z313" t="str">
            <v>051-2004433</v>
          </cell>
          <cell r="AA313" t="str">
            <v>4.1.0.5.2</v>
          </cell>
          <cell r="AB313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4">
          <cell r="Y314" t="str">
            <v>051-20044334.1.0.5.3</v>
          </cell>
          <cell r="Z314" t="str">
            <v>051-2004433</v>
          </cell>
          <cell r="AA314" t="str">
            <v>4.1.0.5.3</v>
          </cell>
          <cell r="AB314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5">
          <cell r="Y315" t="str">
            <v>051-20044334.1.0.5.4</v>
          </cell>
          <cell r="Z315" t="str">
            <v>051-2004433</v>
          </cell>
          <cell r="AA315" t="str">
            <v>4.1.0.5.4</v>
          </cell>
          <cell r="AB315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6">
          <cell r="Y316" t="str">
            <v>051-20044334.1.0.5.5</v>
          </cell>
          <cell r="Z316" t="str">
            <v>051-2004433</v>
          </cell>
          <cell r="AA316" t="str">
            <v>4.1.0.5.5</v>
          </cell>
          <cell r="AB316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7">
          <cell r="Y317" t="str">
            <v>051-20044334.1.0.5.6</v>
          </cell>
          <cell r="Z317" t="str">
            <v>051-2004433</v>
          </cell>
          <cell r="AA317" t="str">
            <v>4.1.0.5.6</v>
          </cell>
          <cell r="AB317" t="str">
            <v>Оснащение обвязки скважин оборудованием для концентрических лифтовых колонн.УКПГ-1А, 1-16. (в т.ч. система автоматики и телемеханики).</v>
          </cell>
        </row>
        <row r="318">
          <cell r="Y318" t="str">
            <v>051-20044334.1.0.5.7</v>
          </cell>
          <cell r="Z318" t="str">
            <v>051-2004433</v>
          </cell>
          <cell r="AA318" t="str">
            <v>4.1.0.5.7</v>
          </cell>
          <cell r="AB318" t="str">
            <v>Оснащение обвязки скважин оборудованием для телеметрии.УКПГ-1А, 1-15, УКПГ-1АВ, 2В, 5В, 8В</v>
          </cell>
        </row>
        <row r="319">
          <cell r="Y319" t="str">
            <v>051-20044334.1.0.5.8</v>
          </cell>
          <cell r="Z319" t="str">
            <v>051-2004433</v>
          </cell>
          <cell r="AA319" t="str">
            <v>4.1.0.5.8</v>
          </cell>
          <cell r="AB319" t="str">
            <v>Оснащение обвязки скважин оборудованием для телеметрии.УКПГ-1А, 1-15, УКПГ-1АВ, 2В, 5В, 8В</v>
          </cell>
        </row>
        <row r="320">
          <cell r="Y320" t="str">
            <v>051-20044334.1.0.5.9</v>
          </cell>
          <cell r="Z320" t="str">
            <v>051-2004433</v>
          </cell>
          <cell r="AA320" t="str">
            <v>4.1.0.5.9</v>
          </cell>
          <cell r="AB320" t="str">
            <v>Оснащение обвязки скважин оборудованием для телеметрии.УКПГ-1А, 1-15, УКПГ-1АВ, 2В, 5В, 8В</v>
          </cell>
        </row>
        <row r="321">
          <cell r="Y321" t="str">
            <v>051-20044334.1.0.5.10</v>
          </cell>
          <cell r="Z321" t="str">
            <v>051-2004433</v>
          </cell>
          <cell r="AA321" t="str">
            <v>4.1.0.5.10</v>
          </cell>
          <cell r="AB321" t="str">
            <v>Замена ЗРА обвязки скважин</v>
          </cell>
        </row>
        <row r="322">
          <cell r="Y322" t="str">
            <v>051-20044334.1.0.5.11</v>
          </cell>
          <cell r="Z322" t="str">
            <v>051-2004433</v>
          </cell>
          <cell r="AA322" t="str">
            <v>4.1.0.5.11</v>
          </cell>
          <cell r="AB322" t="str">
            <v>Замена ЗРА обвязки скважин</v>
          </cell>
        </row>
        <row r="323">
          <cell r="Y323" t="str">
            <v>051-20044334.1.0.5.12</v>
          </cell>
          <cell r="Z323" t="str">
            <v>051-2004433</v>
          </cell>
          <cell r="AA323" t="str">
            <v>4.1.0.5.12</v>
          </cell>
          <cell r="AB323" t="str">
            <v>Замена ЗРА обвязки скважин</v>
          </cell>
        </row>
        <row r="324">
          <cell r="Y324" t="str">
            <v>051-20044334.1.0.5.14</v>
          </cell>
          <cell r="Z324" t="str">
            <v>051-2004433</v>
          </cell>
          <cell r="AA324" t="str">
            <v>4.1.0.5.14</v>
          </cell>
          <cell r="AB324" t="str">
            <v>Замена ЗРА обвязки скважин</v>
          </cell>
        </row>
        <row r="325">
          <cell r="Y325" t="str">
            <v>051-20044334.1.0.5.15</v>
          </cell>
          <cell r="Z325" t="str">
            <v>051-2004433</v>
          </cell>
          <cell r="AA325" t="str">
            <v>4.1.0.5.15</v>
          </cell>
          <cell r="AB325" t="str">
            <v>Замена ЗРА обвязки скважин</v>
          </cell>
        </row>
        <row r="326">
          <cell r="Y326" t="str">
            <v>051-20044334.1.0.5.16</v>
          </cell>
          <cell r="Z326" t="str">
            <v>051-2004433</v>
          </cell>
          <cell r="AA326" t="str">
            <v>4.1.0.5.16</v>
          </cell>
          <cell r="AB326" t="str">
            <v>Замена ЗРА обвязки скважин</v>
          </cell>
        </row>
        <row r="327">
          <cell r="Y327" t="str">
            <v>051-20044334.1.0.5.18</v>
          </cell>
          <cell r="Z327" t="str">
            <v>051-2004433</v>
          </cell>
          <cell r="AA327" t="str">
            <v>4.1.0.5.18</v>
          </cell>
          <cell r="AB327" t="str">
            <v>Замена устройств подачи ингибитора</v>
          </cell>
        </row>
        <row r="328">
          <cell r="Y328" t="str">
            <v>051-20044334.1.0.5.19</v>
          </cell>
          <cell r="Z328" t="str">
            <v>051-2004433</v>
          </cell>
          <cell r="AA328" t="str">
            <v>4.1.0.5.19</v>
          </cell>
          <cell r="AB328" t="str">
            <v>Замена устройств подачи ингибитора</v>
          </cell>
        </row>
        <row r="329">
          <cell r="Y329" t="str">
            <v>051-20044334.1.0.5.20</v>
          </cell>
          <cell r="Z329" t="str">
            <v>051-2004433</v>
          </cell>
          <cell r="AA329" t="str">
            <v>4.1.0.5.20</v>
          </cell>
          <cell r="AB329" t="str">
            <v>Замена устройств подачи ингибитора</v>
          </cell>
        </row>
        <row r="330">
          <cell r="Y330" t="str">
            <v>051-20044334.1.0.5.21</v>
          </cell>
          <cell r="Z330" t="str">
            <v>051-2004433</v>
          </cell>
          <cell r="AA330" t="str">
            <v>4.1.0.5.21</v>
          </cell>
          <cell r="AB330" t="str">
            <v>Замена устройств подачи ингибитора</v>
          </cell>
        </row>
        <row r="331">
          <cell r="Y331" t="str">
            <v>051-20044334.1.0.5.22</v>
          </cell>
          <cell r="Z331" t="str">
            <v>051-2004433</v>
          </cell>
          <cell r="AA331" t="str">
            <v>4.1.0.5.22</v>
          </cell>
          <cell r="AB331" t="str">
            <v>Замена устройств подачи ингибитора</v>
          </cell>
        </row>
        <row r="332">
          <cell r="Y332" t="str">
            <v>051-20044334.1.0.5.24</v>
          </cell>
          <cell r="Z332" t="str">
            <v>051-2004433</v>
          </cell>
          <cell r="AA332" t="str">
            <v>4.1.0.5.24</v>
          </cell>
          <cell r="AB332" t="str">
            <v>Теппловая изоляция ЗРА и трубопроводов обвязки скважин</v>
          </cell>
        </row>
        <row r="333">
          <cell r="Y333" t="str">
            <v>051-20044334.1.0.5.25</v>
          </cell>
          <cell r="Z333" t="str">
            <v>051-2004433</v>
          </cell>
          <cell r="AA333" t="str">
            <v>4.1.0.5.25</v>
          </cell>
          <cell r="AB333" t="str">
            <v>Теппловая изоляция ЗРА и трубопроводов обвязки скважин</v>
          </cell>
        </row>
        <row r="334">
          <cell r="Y334" t="str">
            <v>051-20044334.1.0.5.26</v>
          </cell>
          <cell r="Z334" t="str">
            <v>051-2004433</v>
          </cell>
          <cell r="AA334" t="str">
            <v>4.1.0.5.26</v>
          </cell>
          <cell r="AB334" t="str">
            <v>Теппловая изоляция ЗРА и трубопроводов обвязки скважин</v>
          </cell>
        </row>
        <row r="335">
          <cell r="Y335" t="str">
            <v>051-20044334.1.0.5.27</v>
          </cell>
          <cell r="Z335" t="str">
            <v>051-2004433</v>
          </cell>
          <cell r="AA335" t="str">
            <v>4.1.0.5.27</v>
          </cell>
          <cell r="AB335" t="str">
            <v>Теппловая изоляция ЗРА и трубопроводов обвязки скважин</v>
          </cell>
        </row>
        <row r="336">
          <cell r="Y336" t="str">
            <v>051-20044334.1.0.5.28</v>
          </cell>
          <cell r="Z336" t="str">
            <v>051-2004433</v>
          </cell>
          <cell r="AA336" t="str">
            <v>4.1.0.5.28</v>
          </cell>
          <cell r="AB336" t="str">
            <v>Теппловая изоляция ЗРА и трубопроводов обвязки скважин</v>
          </cell>
        </row>
        <row r="337">
          <cell r="Y337" t="str">
            <v>051-200461615.2.0.15</v>
          </cell>
          <cell r="Z337" t="str">
            <v>051-2004616</v>
          </cell>
          <cell r="AA337" t="str">
            <v>15.2.0.15</v>
          </cell>
          <cell r="AB337" t="str">
            <v>Этап 1. Система по выявлению, предупреждению и недопущению несанкционированных вмешательств в работу трубопроводного транспорта</v>
          </cell>
        </row>
        <row r="338">
          <cell r="Y338" t="str">
            <v>051-200461615.2.0.35.24</v>
          </cell>
          <cell r="Z338" t="str">
            <v>051-2004616</v>
          </cell>
          <cell r="AA338" t="str">
            <v>15.2.0.35.24</v>
          </cell>
          <cell r="AB338" t="str">
            <v>Этап 2. Техперевооружение трубопроводов на участке 5,3-138 км</v>
          </cell>
        </row>
        <row r="339">
          <cell r="Y339" t="str">
            <v>051-200461615.2.0.36.24</v>
          </cell>
          <cell r="Z339" t="str">
            <v>051-2004616</v>
          </cell>
          <cell r="AA339" t="str">
            <v>15.2.0.36.24</v>
          </cell>
          <cell r="AB339" t="str">
            <v>Этап 3. Техперевооружение трубопроводов на участке 138-214 км</v>
          </cell>
        </row>
        <row r="340">
          <cell r="Y340" t="str">
            <v>051-200461615.2.0.37.24</v>
          </cell>
          <cell r="Z340" t="str">
            <v>051-2004616</v>
          </cell>
          <cell r="AA340" t="str">
            <v>15.2.0.37.24</v>
          </cell>
          <cell r="AB340" t="str">
            <v>Этап 4. Техперевооружение трубопроводов на участке 214-408 км</v>
          </cell>
        </row>
        <row r="341">
          <cell r="Y341" t="str">
            <v>051-200461615.2.0.39.24</v>
          </cell>
          <cell r="Z341" t="str">
            <v>051-2004616</v>
          </cell>
          <cell r="AA341" t="str">
            <v>15.2.0.39.24</v>
          </cell>
          <cell r="AB341" t="str">
            <v>Этап 5  Узлы измерения и устройства очистки трубопроводов</v>
          </cell>
        </row>
        <row r="342">
          <cell r="Y342" t="str">
            <v>051-200461615.2.0.7.25</v>
          </cell>
          <cell r="Z342" t="str">
            <v>051-2004616</v>
          </cell>
          <cell r="AA342" t="str">
            <v>15.2.0.7.25</v>
          </cell>
          <cell r="AB342" t="str">
            <v>Этап 8. Реконструкция кабельной линии связи телемеханики</v>
          </cell>
        </row>
        <row r="343">
          <cell r="Y343" t="str">
            <v>051-200461615.2.0.6.25</v>
          </cell>
          <cell r="Z343" t="str">
            <v>051-2004616</v>
          </cell>
          <cell r="AA343" t="str">
            <v>15.2.0.6.25</v>
          </cell>
          <cell r="AB343" t="str">
            <v>Этап 7. Установка ОУИН Царичанского месторождения на 32 км нефтепровода «Оренбург-Салават» I нитка</v>
          </cell>
        </row>
        <row r="344">
          <cell r="Y344" t="str">
            <v>051-200461615.2.0.40.24</v>
          </cell>
          <cell r="Z344" t="str">
            <v>051-2004616</v>
          </cell>
          <cell r="AA344" t="str">
            <v>15.2.0.40.24</v>
          </cell>
          <cell r="AB344" t="str">
            <v>Этап 6. Участки с ЗМДР</v>
          </cell>
        </row>
        <row r="345">
          <cell r="Y345" t="str">
            <v>051-200465215.2.0.13</v>
          </cell>
          <cell r="Z345" t="str">
            <v>051-2004652</v>
          </cell>
          <cell r="AA345" t="str">
            <v>15.2.0.13</v>
          </cell>
          <cell r="AB345" t="str">
            <v>Этап 1 Система по выявлению, предупреждению и недопущению несанкционированных вмешательств в работу трубопроводного транспорта</v>
          </cell>
        </row>
        <row r="346">
          <cell r="Y346" t="str">
            <v>051-200465215.2.0.23.24</v>
          </cell>
          <cell r="Z346" t="str">
            <v>051-2004652</v>
          </cell>
          <cell r="AA346" t="str">
            <v>15.2.0.23.24</v>
          </cell>
          <cell r="AB346" t="str">
            <v>Этап 2 Техперевооружение г.н.г. УКПГ-7 – ГПЗ I нитка</v>
          </cell>
        </row>
        <row r="347">
          <cell r="Y347" t="str">
            <v>051-200465215.2.0.24.24</v>
          </cell>
          <cell r="Z347" t="str">
            <v>051-2004652</v>
          </cell>
          <cell r="AA347" t="str">
            <v>15.2.0.24.24</v>
          </cell>
          <cell r="AB347" t="str">
            <v>Этап 3 Техперевооружение г.н.г. УКПГ-7 – ГПЗ II нитка</v>
          </cell>
        </row>
        <row r="348">
          <cell r="Y348" t="str">
            <v>051-200465215.2.0.25.24</v>
          </cell>
          <cell r="Z348" t="str">
            <v>051-2004652</v>
          </cell>
          <cell r="AA348" t="str">
            <v>15.2.0.25.24</v>
          </cell>
          <cell r="AB348" t="str">
            <v>Этап 4 Техперевооружение г.н.г. УКПГ-8 – ГПЗ I, II нитки</v>
          </cell>
        </row>
        <row r="349">
          <cell r="Y349" t="str">
            <v>051-200465215.2.0.26.24</v>
          </cell>
          <cell r="Z349" t="str">
            <v>051-2004652</v>
          </cell>
          <cell r="AA349" t="str">
            <v>15.2.0.26.24</v>
          </cell>
          <cell r="AB349" t="str">
            <v>Этап 5 Техперевооружение г.н.г. УКПГ-9 – ГПЗ I нитка</v>
          </cell>
        </row>
        <row r="350">
          <cell r="Y350" t="str">
            <v>051-200465215.2.0.27.24</v>
          </cell>
          <cell r="Z350" t="str">
            <v>051-2004652</v>
          </cell>
          <cell r="AA350" t="str">
            <v>15.2.0.27.24</v>
          </cell>
          <cell r="AB350" t="str">
            <v>Этап 9 Техперевооружение к.н.к. УКПГ- 8 – ОГПЗ</v>
          </cell>
        </row>
        <row r="351">
          <cell r="Y351" t="str">
            <v>051-200465215.2.0.28.24</v>
          </cell>
          <cell r="Z351" t="str">
            <v>051-2004652</v>
          </cell>
          <cell r="AA351" t="str">
            <v>15.2.0.28.24</v>
          </cell>
          <cell r="AB351" t="str">
            <v>Этап 8 Техперевооружение нефтепровода УКПГ-10 – ДКС-1</v>
          </cell>
        </row>
        <row r="352">
          <cell r="Y352" t="str">
            <v>051-200465215.2.0.29.24</v>
          </cell>
          <cell r="Z352" t="str">
            <v>051-2004652</v>
          </cell>
          <cell r="AA352" t="str">
            <v>15.2.0.29.24</v>
          </cell>
          <cell r="AB352" t="str">
            <v>Этап 6 «Техперевооружение г.н.г. УКПГ-9 – ГПЗ II нитка (до врезки в УКПГ-8 – ГПЗ I, II нитки)</v>
          </cell>
        </row>
        <row r="353">
          <cell r="Y353" t="str">
            <v>051-200465215.2.0.30.24</v>
          </cell>
          <cell r="Z353" t="str">
            <v>051-2004652</v>
          </cell>
          <cell r="AA353" t="str">
            <v>15.2.0.30.24</v>
          </cell>
          <cell r="AB353" t="str">
            <v>Этап 7 Техперевооружение г.н.г. УКПГ-10 – ГПЗ</v>
          </cell>
        </row>
        <row r="354">
          <cell r="Y354" t="str">
            <v>051-200465215.2.0.31.24</v>
          </cell>
          <cell r="Z354" t="str">
            <v>051-2004652</v>
          </cell>
          <cell r="AA354" t="str">
            <v>15.2.0.31.24</v>
          </cell>
          <cell r="AB354" t="str">
            <v>Этап 10 Техперевооружение к.н.к. УКПГ-10 – ОГПЗ</v>
          </cell>
        </row>
        <row r="355">
          <cell r="Y355" t="str">
            <v>051-200465215.2.0.32.24</v>
          </cell>
          <cell r="Z355" t="str">
            <v>051-2004652</v>
          </cell>
          <cell r="AA355" t="str">
            <v>15.2.0.32.24</v>
          </cell>
          <cell r="AB355" t="str">
            <v>Этап 11 Техперевооружение г.о.г. УКПГ-9 – УКПГ-10</v>
          </cell>
        </row>
        <row r="356">
          <cell r="Y356" t="str">
            <v>051-200465215.2.0.33.24</v>
          </cell>
          <cell r="Z356" t="str">
            <v>051-2004652</v>
          </cell>
          <cell r="AA356" t="str">
            <v>15.2.0.33.24</v>
          </cell>
          <cell r="AB356" t="str">
            <v>Этап 12 Техперевооружение г.о.г. УКП Г-7 – УКПГ-9</v>
          </cell>
        </row>
        <row r="357">
          <cell r="Y357" t="str">
            <v>051-200465215.2.0.34.24</v>
          </cell>
          <cell r="Z357" t="str">
            <v>051-2004652</v>
          </cell>
          <cell r="AA357" t="str">
            <v>15.2.0.34.24</v>
          </cell>
          <cell r="AB357" t="str">
            <v>Этап 13 Техперевооружение г.о.г. ДКС-1–ДКС-2</v>
          </cell>
        </row>
        <row r="358">
          <cell r="Y358" t="str">
            <v>051-200465215.2.0.4.25</v>
          </cell>
          <cell r="Z358" t="str">
            <v>051-2004652</v>
          </cell>
          <cell r="AA358" t="str">
            <v>15.2.0.4.25</v>
          </cell>
          <cell r="AB358" t="str">
            <v>Этап 14  Установка охранного крана перед УКПГ-8 на г.о.г. УКПГ-7–УКПГ-8 (изменение к ТЗ)</v>
          </cell>
        </row>
        <row r="359">
          <cell r="Y359" t="str">
            <v>051-200465215.2.0.3.25</v>
          </cell>
          <cell r="Z359" t="str">
            <v>051-2004652</v>
          </cell>
          <cell r="AA359" t="str">
            <v>15.2.0.3.25</v>
          </cell>
          <cell r="AB359" t="str">
            <v>Этап 15 -Установка ОУИН на начальном участке к.н.к. УКПГ-10 – ОГПЗ в районе УКПГ-10</v>
          </cell>
        </row>
        <row r="360">
          <cell r="Y360" t="str">
            <v>051-200465215.2.0.5.25</v>
          </cell>
          <cell r="Z360" t="str">
            <v>051-2004652</v>
          </cell>
          <cell r="AA360" t="str">
            <v>15.2.0.5.25</v>
          </cell>
          <cell r="AB360" t="str">
            <v>Этап 16  Система организации диспетчерского управления, ЭХЗ</v>
          </cell>
        </row>
        <row r="361">
          <cell r="Y361" t="str">
            <v>051-200465915.2.0.4.24</v>
          </cell>
          <cell r="Z361" t="str">
            <v>051-2004659</v>
          </cell>
          <cell r="AA361" t="str">
            <v>15.2.0.4.24</v>
          </cell>
          <cell r="AB361" t="str">
            <v>Этап 1 г.н.г. УКПГ-6 –ГПЗ I нитка</v>
          </cell>
        </row>
        <row r="362">
          <cell r="Y362" t="str">
            <v>051-200465915.2.0.5.24</v>
          </cell>
          <cell r="Z362" t="str">
            <v>051-2004659</v>
          </cell>
          <cell r="AA362" t="str">
            <v>15.2.0.5.24</v>
          </cell>
          <cell r="AB362" t="str">
            <v>Этап 3 г.н.г. УКПГ-2 –ГПЗ I нитка</v>
          </cell>
        </row>
        <row r="363">
          <cell r="Y363" t="str">
            <v>051-200465915.2.0.6.24</v>
          </cell>
          <cell r="Z363" t="str">
            <v>051-2004659</v>
          </cell>
          <cell r="AA363" t="str">
            <v>15.2.0.6.24</v>
          </cell>
          <cell r="AB363" t="str">
            <v>Этап 5 г.н.г. УКПГ-3 –ГПЗ I нитка</v>
          </cell>
        </row>
        <row r="364">
          <cell r="Y364" t="str">
            <v>051-200465915.2.0.7.24</v>
          </cell>
          <cell r="Z364" t="str">
            <v>051-2004659</v>
          </cell>
          <cell r="AA364" t="str">
            <v>15.2.0.7.24</v>
          </cell>
          <cell r="AB364" t="str">
            <v>Этап 7 г.н.г. УКПГ-12 - УКПГ-2</v>
          </cell>
        </row>
        <row r="365">
          <cell r="Y365" t="str">
            <v>051-200465915.2.0.8.24</v>
          </cell>
          <cell r="Z365" t="str">
            <v>051-2004659</v>
          </cell>
          <cell r="AA365" t="str">
            <v>15.2.0.8.24</v>
          </cell>
          <cell r="AB365" t="str">
            <v>Этап 9 к.н.к. УКПГ-7  - УКПГ-2</v>
          </cell>
        </row>
        <row r="366">
          <cell r="Y366" t="str">
            <v>051-200465915.2.0.9.24</v>
          </cell>
          <cell r="Z366" t="str">
            <v>051-2004659</v>
          </cell>
          <cell r="AA366" t="str">
            <v>15.2.0.9.24</v>
          </cell>
          <cell r="AB366" t="str">
            <v>Этап 12 н.с.н. УКПГ-10 - УКПГ-14</v>
          </cell>
        </row>
        <row r="367">
          <cell r="Y367" t="str">
            <v>051-200465915.2.0.10.24</v>
          </cell>
          <cell r="Z367" t="str">
            <v>051-2004659</v>
          </cell>
          <cell r="AA367" t="str">
            <v>15.2.0.10.24</v>
          </cell>
          <cell r="AB367" t="str">
            <v>Этап 2 г.н.г. УКПГ-6  - ГПЗ II нитка</v>
          </cell>
        </row>
        <row r="368">
          <cell r="Y368" t="str">
            <v>051-200465915.2.0.11.24</v>
          </cell>
          <cell r="Z368" t="str">
            <v>051-2004659</v>
          </cell>
          <cell r="AA368" t="str">
            <v>15.2.0.11.24</v>
          </cell>
          <cell r="AB368" t="str">
            <v>Этап 4 г.н.г. УКПГ-2 - ГПЗ II нитка</v>
          </cell>
        </row>
        <row r="369">
          <cell r="Y369" t="str">
            <v>051-200465915.2.0.12.24</v>
          </cell>
          <cell r="Z369" t="str">
            <v>051-2004659</v>
          </cell>
          <cell r="AA369" t="str">
            <v>15.2.0.12.24</v>
          </cell>
          <cell r="AB369" t="str">
            <v>Этап 6 г.н.г. УКПГ-3 - ГПЗ II нитка</v>
          </cell>
        </row>
        <row r="370">
          <cell r="Y370" t="str">
            <v>051-200465915.2.0.13.24</v>
          </cell>
          <cell r="Z370" t="str">
            <v>051-2004659</v>
          </cell>
          <cell r="AA370" t="str">
            <v>15.2.0.13.24</v>
          </cell>
          <cell r="AB370" t="str">
            <v>Этап 8 к.н.к. УКПГ-2 – ГПЗ</v>
          </cell>
        </row>
        <row r="371">
          <cell r="Y371" t="str">
            <v>051-200465915.2.0.14.24</v>
          </cell>
          <cell r="Z371" t="str">
            <v>051-2004659</v>
          </cell>
          <cell r="AA371" t="str">
            <v>15.2.0.14.24</v>
          </cell>
          <cell r="AB371" t="str">
            <v>Этап 10 к.н.к. УКПГ-6 – ГПЗ</v>
          </cell>
        </row>
        <row r="372">
          <cell r="Y372" t="str">
            <v>051-200465915.2.0.1.25</v>
          </cell>
          <cell r="Z372" t="str">
            <v>051-2004659</v>
          </cell>
          <cell r="AA372" t="str">
            <v>15.2.0.1.25</v>
          </cell>
          <cell r="AB372" t="str">
            <v>Этап 11 г.о.г.УКПГ-2-УКПГ-3, УКПГ-3-УКПГ-12, УКПГ-2-УКПГ-6 (изменение к ТЗ)</v>
          </cell>
        </row>
        <row r="373">
          <cell r="Y373" t="str">
            <v>051-20046767.1.1.12</v>
          </cell>
          <cell r="Z373" t="str">
            <v>051-2004676</v>
          </cell>
          <cell r="AA373" t="str">
            <v>7.1.1.12</v>
          </cell>
          <cell r="AB373" t="str">
            <v>Реконструкция обвязки газовой скважины № 204 КГС20</v>
          </cell>
        </row>
        <row r="374">
          <cell r="Y374" t="str">
            <v>051-20046767.1.1.13</v>
          </cell>
          <cell r="Z374" t="str">
            <v>051-2004676</v>
          </cell>
          <cell r="AA374" t="str">
            <v>7.1.1.13</v>
          </cell>
          <cell r="AB374" t="str">
            <v>Реконструкция обвязки газовой скважины № 212 КГС21</v>
          </cell>
        </row>
        <row r="375">
          <cell r="Y375" t="str">
            <v>051-20046767.1.1.14</v>
          </cell>
          <cell r="Z375" t="str">
            <v>051-2004676</v>
          </cell>
          <cell r="AA375" t="str">
            <v>7.1.1.14</v>
          </cell>
          <cell r="AB375" t="str">
            <v>Реконструкция обвязки газовой скважины № 234 КГС23</v>
          </cell>
        </row>
        <row r="376">
          <cell r="Y376" t="str">
            <v>051-20046767.1.1.16</v>
          </cell>
          <cell r="Z376" t="str">
            <v>051-2004676</v>
          </cell>
          <cell r="AA376" t="str">
            <v>7.1.1.16</v>
          </cell>
          <cell r="AB376" t="str">
            <v>Реконструкция обвязки газовой скважины № 161 КГС16</v>
          </cell>
        </row>
        <row r="377">
          <cell r="Y377" t="str">
            <v>051-20046767.1.1.17</v>
          </cell>
          <cell r="Z377" t="str">
            <v>051-2004676</v>
          </cell>
          <cell r="AA377" t="str">
            <v>7.1.1.17</v>
          </cell>
          <cell r="AB377" t="str">
            <v>Реконструкция обвязки газовой скважины № 164 КГС16</v>
          </cell>
        </row>
        <row r="378">
          <cell r="Y378" t="str">
            <v>051-20046767.1.1.18</v>
          </cell>
          <cell r="Z378" t="str">
            <v>051-2004676</v>
          </cell>
          <cell r="AA378" t="str">
            <v>7.1.1.18</v>
          </cell>
          <cell r="AB378" t="str">
            <v>Реконструкция обвязки газовой скважины № 181 КГС18</v>
          </cell>
        </row>
        <row r="379">
          <cell r="Y379" t="str">
            <v>051-20046767.1.1.20</v>
          </cell>
          <cell r="Z379" t="str">
            <v>051-2004676</v>
          </cell>
          <cell r="AA379" t="str">
            <v>7.1.1.20</v>
          </cell>
          <cell r="AB379" t="str">
            <v>Реконструкция обвязки газовой скважины № 192 КГС19</v>
          </cell>
        </row>
        <row r="380">
          <cell r="Y380" t="str">
            <v>051-20046819.1.1.21</v>
          </cell>
          <cell r="Z380" t="str">
            <v>051-2004681</v>
          </cell>
          <cell r="AA380" t="str">
            <v>9.1.1.21</v>
          </cell>
          <cell r="AB380" t="str">
            <v>Организация мониторинга внутренней коррозии трубопроводов в составе площадки КГС № 61 ГП-2</v>
          </cell>
        </row>
        <row r="381">
          <cell r="Y381" t="str">
            <v>051-20046819.1.1.22</v>
          </cell>
          <cell r="Z381" t="str">
            <v>051-2004681</v>
          </cell>
          <cell r="AA381" t="str">
            <v>9.1.1.22</v>
          </cell>
          <cell r="AB381" t="str">
            <v>Организация мониторинга внутренней коррозии трубопроводов в составе площадки КГС № 35 ГП-2</v>
          </cell>
        </row>
        <row r="382">
          <cell r="Y382" t="str">
            <v>051-20046819.1.1.23</v>
          </cell>
          <cell r="Z382" t="str">
            <v>051-2004681</v>
          </cell>
          <cell r="AA382" t="str">
            <v>9.1.1.23</v>
          </cell>
          <cell r="AB382" t="str">
            <v>Организация мониторинга внутренней коррозии трубопроводов в составе площадки КГС № 36 ГП-2</v>
          </cell>
        </row>
        <row r="383">
          <cell r="Y383" t="str">
            <v>051-20046819.1.1.24</v>
          </cell>
          <cell r="Z383" t="str">
            <v>051-2004681</v>
          </cell>
          <cell r="AA383" t="str">
            <v>9.1.1.24</v>
          </cell>
          <cell r="AB383" t="str">
            <v>Организация мониторинга внутренней коррозии трубопроводов в составе площадки КГС № 43 ГП-2</v>
          </cell>
        </row>
        <row r="384">
          <cell r="Y384" t="str">
            <v>051-20046819.1.1.25</v>
          </cell>
          <cell r="Z384" t="str">
            <v>051-2004681</v>
          </cell>
          <cell r="AA384" t="str">
            <v>9.1.1.25</v>
          </cell>
          <cell r="AB384" t="str">
            <v>Организация мониторинга внутренней коррозии трубопроводов в составе площадки КГС № 45 ГП-2</v>
          </cell>
        </row>
        <row r="385">
          <cell r="Y385" t="str">
            <v>051-20046819.1.1.26</v>
          </cell>
          <cell r="Z385" t="str">
            <v>051-2004681</v>
          </cell>
          <cell r="AA385" t="str">
            <v>9.1.1.26</v>
          </cell>
          <cell r="AB385" t="str">
            <v>Организация мониторинга внутренней коррозии трубопроводов в составе площадки КГС № 46 ГП-2</v>
          </cell>
        </row>
        <row r="386">
          <cell r="Y386" t="str">
            <v>051-20046819.1.1.27</v>
          </cell>
          <cell r="Z386" t="str">
            <v>051-2004681</v>
          </cell>
          <cell r="AA386" t="str">
            <v>9.1.1.27</v>
          </cell>
          <cell r="AB386" t="str">
            <v>Организация мониторинга внутренней коррозии трубопроводов в составе площадки КГС № 57 ГП-2</v>
          </cell>
        </row>
        <row r="387">
          <cell r="Y387" t="str">
            <v>051-20046819.1.1.28</v>
          </cell>
          <cell r="Z387" t="str">
            <v>051-2004681</v>
          </cell>
          <cell r="AA387" t="str">
            <v>9.1.1.28</v>
          </cell>
          <cell r="AB387" t="str">
            <v>Организация мониторинга внутренней коррозии трубопроводов в составе площадки КГС № 63 ГП-2</v>
          </cell>
        </row>
        <row r="388">
          <cell r="Y388" t="str">
            <v>051-20046819.1.1.29</v>
          </cell>
          <cell r="Z388" t="str">
            <v>051-2004681</v>
          </cell>
          <cell r="AA388" t="str">
            <v>9.1.1.29</v>
          </cell>
          <cell r="AB388" t="str">
            <v>Организация мониторинга внутренней коррозии трубопроводов в составе площадки КГС № 28 ГП-2</v>
          </cell>
        </row>
        <row r="389">
          <cell r="Y389" t="str">
            <v>051-20046819.1.1.30</v>
          </cell>
          <cell r="Z389" t="str">
            <v>051-2004681</v>
          </cell>
          <cell r="AA389" t="str">
            <v>9.1.1.30</v>
          </cell>
          <cell r="AB389" t="str">
            <v>Организация мониторинга внутренней коррозии трубопроводов в составе площадки КГС № 24 ГП-2</v>
          </cell>
        </row>
        <row r="390">
          <cell r="Y390" t="str">
            <v>051-20046819.1.1.31</v>
          </cell>
          <cell r="Z390" t="str">
            <v>051-2004681</v>
          </cell>
          <cell r="AA390" t="str">
            <v>9.1.1.31</v>
          </cell>
          <cell r="AB390" t="str">
            <v>Организация мониторинга внутренней коррозии трубопроводов в составе площадки КГС № 25 ГП-2</v>
          </cell>
        </row>
        <row r="391">
          <cell r="Y391" t="str">
            <v>051-20046819.1.1.32</v>
          </cell>
          <cell r="Z391" t="str">
            <v>051-2004681</v>
          </cell>
          <cell r="AA391" t="str">
            <v>9.1.1.32</v>
          </cell>
          <cell r="AB391" t="str">
            <v>Организация мониторинга внутренней коррозии трубопроводов в составе площадки КГС № 31 ГП-2</v>
          </cell>
        </row>
        <row r="392">
          <cell r="Y392" t="str">
            <v>051-20046819.1.1.33</v>
          </cell>
          <cell r="Z392" t="str">
            <v>051-2004681</v>
          </cell>
          <cell r="AA392" t="str">
            <v>9.1.1.33</v>
          </cell>
          <cell r="AB392" t="str">
            <v>Организация мониторинга внутренней коррозии трубопроводов в составе площадки КГС № 32 ГП-2</v>
          </cell>
        </row>
        <row r="393">
          <cell r="Y393" t="str">
            <v>051-20046819.1.1.34</v>
          </cell>
          <cell r="Z393" t="str">
            <v>051-2004681</v>
          </cell>
          <cell r="AA393" t="str">
            <v>9.1.1.34</v>
          </cell>
          <cell r="AB393" t="str">
            <v>Организация мониторинга внутренней коррозии трубопроводов в составе площадки КГС № 34 ГП-2</v>
          </cell>
        </row>
        <row r="394">
          <cell r="Y394" t="str">
            <v>051-20046819.1.1.35</v>
          </cell>
          <cell r="Z394" t="str">
            <v>051-2004681</v>
          </cell>
          <cell r="AA394" t="str">
            <v>9.1.1.35</v>
          </cell>
          <cell r="AB394" t="str">
            <v>Организация мониторинга внутренней коррозии трубопроводов в составе площадки КГС № 41 ГП-2</v>
          </cell>
        </row>
        <row r="395">
          <cell r="Y395" t="str">
            <v>051-20046819.1.1.36</v>
          </cell>
          <cell r="Z395" t="str">
            <v>051-2004681</v>
          </cell>
          <cell r="AA395" t="str">
            <v>9.1.1.36</v>
          </cell>
          <cell r="AB395" t="str">
            <v>Организация мониторинга внутренней коррозии трубопроводов в составе площадки КГС № 26 ГП-2</v>
          </cell>
        </row>
        <row r="396">
          <cell r="Y396" t="str">
            <v>051-20046819.1.1.37</v>
          </cell>
          <cell r="Z396" t="str">
            <v>051-2004681</v>
          </cell>
          <cell r="AA396" t="str">
            <v>9.1.1.37</v>
          </cell>
          <cell r="AB396" t="str">
            <v>Организация мониторинга внутренней коррозии трубопроводов в составе площадки КГС № 42 ГП-2</v>
          </cell>
        </row>
        <row r="397">
          <cell r="Y397" t="str">
            <v>051-20046819.1.1.38</v>
          </cell>
          <cell r="Z397" t="str">
            <v>051-2004681</v>
          </cell>
          <cell r="AA397" t="str">
            <v>9.1.1.38</v>
          </cell>
          <cell r="AB397" t="str">
            <v>Организация мониторинга внутренней коррозии трубопроводов в составе площадки КГС № 44 ГП-2</v>
          </cell>
        </row>
        <row r="398">
          <cell r="Y398" t="str">
            <v>051-20046819.1.1.39</v>
          </cell>
          <cell r="Z398" t="str">
            <v>051-2004681</v>
          </cell>
          <cell r="AA398" t="str">
            <v>9.1.1.39</v>
          </cell>
          <cell r="AB398" t="str">
            <v>Организация мониторинга внутренней коррозии трубопроводов в составе площадки КГС № 33 ГП-2</v>
          </cell>
        </row>
        <row r="399">
          <cell r="Y399" t="str">
            <v>051-20046819.1.1.40</v>
          </cell>
          <cell r="Z399" t="str">
            <v>051-2004681</v>
          </cell>
          <cell r="AA399" t="str">
            <v>9.1.1.40</v>
          </cell>
          <cell r="AB399" t="str">
            <v>Организация мониторинга внутренней коррозии трубопроводов в составе площадки КГС № 22 ГП-2</v>
          </cell>
        </row>
        <row r="400">
          <cell r="Y400" t="str">
            <v>051-20046819.1.1.41</v>
          </cell>
          <cell r="Z400" t="str">
            <v>051-2004681</v>
          </cell>
          <cell r="AA400" t="str">
            <v>9.1.1.41</v>
          </cell>
          <cell r="AB400" t="str">
            <v>Организация мониторинга внутренней коррозии трубопроводов в составе площадки КГС № 20 ГП-2</v>
          </cell>
        </row>
        <row r="401">
          <cell r="Y401" t="str">
            <v>051-20046819.1.1.42</v>
          </cell>
          <cell r="Z401" t="str">
            <v>051-2004681</v>
          </cell>
          <cell r="AA401" t="str">
            <v>9.1.1.42</v>
          </cell>
          <cell r="AB401" t="str">
            <v>Организация мониторинга внутренней коррозии трубопроводов в составе площадки КГС № 210 ГП-2</v>
          </cell>
        </row>
        <row r="402">
          <cell r="Y402" t="str">
            <v>051-20046819.1.1.43</v>
          </cell>
          <cell r="Z402" t="str">
            <v>051-2004681</v>
          </cell>
          <cell r="AA402" t="str">
            <v>9.1.1.43</v>
          </cell>
          <cell r="AB402" t="str">
            <v>Организация мониторинга внутренней коррозии начальных участков ГСК</v>
          </cell>
        </row>
        <row r="403">
          <cell r="Y403" t="str">
            <v>051-20046819.1.1.43 (2)</v>
          </cell>
          <cell r="Z403" t="str">
            <v>051-2004681</v>
          </cell>
          <cell r="AA403" t="str">
            <v>9.1.1.43 (2)</v>
          </cell>
          <cell r="AB403" t="str">
            <v>Организация мониторинга внутренней коррозии обвязки скважин, эксплуатирующих пласт ТП 1-6</v>
          </cell>
        </row>
        <row r="404">
          <cell r="Y404" t="str">
            <v>051-20046819.1.1.44</v>
          </cell>
          <cell r="Z404" t="str">
            <v>051-2004681</v>
          </cell>
          <cell r="AA404" t="str">
            <v>9.1.1.44</v>
          </cell>
          <cell r="AB404" t="str">
            <v>Организация мониторинга внутренней коррозии трубопроводов обвязки скважин с помощью автоматических устройств проведения УЗТ</v>
          </cell>
        </row>
        <row r="405">
          <cell r="Y405" t="str">
            <v>051-20046819.1.1.5</v>
          </cell>
          <cell r="Z405" t="str">
            <v>051-2004681</v>
          </cell>
          <cell r="AA405" t="str">
            <v>9.1.1.5</v>
          </cell>
          <cell r="AB405" t="str">
            <v>Организация мониторинга внутренней коррозии трубопроводов в составе площадки КГС № 69 ГП-1</v>
          </cell>
        </row>
        <row r="406">
          <cell r="Y406" t="str">
            <v>051-20046819.1.1.6</v>
          </cell>
          <cell r="Z406" t="str">
            <v>051-2004681</v>
          </cell>
          <cell r="AA406" t="str">
            <v>9.1.1.6</v>
          </cell>
          <cell r="AB406" t="str">
            <v>Организация мониторинга внутренней коррозии трубопроводов в составе площадки КГС № 67 ГП-1</v>
          </cell>
        </row>
        <row r="407">
          <cell r="Y407" t="str">
            <v>051-20046819.1.1.7</v>
          </cell>
          <cell r="Z407" t="str">
            <v>051-2004681</v>
          </cell>
          <cell r="AA407" t="str">
            <v>9.1.1.7</v>
          </cell>
          <cell r="AB407" t="str">
            <v>Организация мониторинга внутренней коррозии трубопроводов в составе площадки КГС № 62 ГП-1</v>
          </cell>
        </row>
        <row r="408">
          <cell r="Y408" t="str">
            <v>051-20046819.1.1.8</v>
          </cell>
          <cell r="Z408" t="str">
            <v>051-2004681</v>
          </cell>
          <cell r="AA408" t="str">
            <v>9.1.1.8</v>
          </cell>
          <cell r="AB408" t="str">
            <v>Организация мониторинга внутренней коррозии трубопроводов в составе площадки КГС № 64 ГП-1</v>
          </cell>
        </row>
        <row r="409">
          <cell r="Y409" t="str">
            <v>051-20046819.1.1.9</v>
          </cell>
          <cell r="Z409" t="str">
            <v>051-2004681</v>
          </cell>
          <cell r="AA409" t="str">
            <v>9.1.1.9</v>
          </cell>
          <cell r="AB409" t="str">
            <v>Организация мониторинга внутренней коррозии трубопроводов в составе площадки КГС № 66 ГП-1</v>
          </cell>
        </row>
        <row r="410">
          <cell r="Y410" t="str">
            <v>051-20046819.1.1.10</v>
          </cell>
          <cell r="Z410" t="str">
            <v>051-2004681</v>
          </cell>
          <cell r="AA410" t="str">
            <v>9.1.1.10</v>
          </cell>
          <cell r="AB410" t="str">
            <v>Организация мониторинга внутренней коррозии трубопроводов в составе площадки КГС № 610 ГП-1</v>
          </cell>
        </row>
        <row r="411">
          <cell r="Y411" t="str">
            <v>051-20046819.1.1.11</v>
          </cell>
          <cell r="Z411" t="str">
            <v>051-2004681</v>
          </cell>
          <cell r="AA411" t="str">
            <v>9.1.1.11</v>
          </cell>
          <cell r="AB411" t="str">
            <v>Организация мониторинга внутренней коррозии трубопроводов в составе площадки КГС № 55 ГП-1</v>
          </cell>
        </row>
        <row r="412">
          <cell r="Y412" t="str">
            <v>051-20046819.1.1.12</v>
          </cell>
          <cell r="Z412" t="str">
            <v>051-2004681</v>
          </cell>
          <cell r="AA412" t="str">
            <v>9.1.1.12</v>
          </cell>
          <cell r="AB412" t="str">
            <v>Организация мониторинга внутренней коррозии трубопроводов в составе площадки КГС № 56 ГП-1</v>
          </cell>
        </row>
        <row r="413">
          <cell r="Y413" t="str">
            <v>051-20046819.1.1.13</v>
          </cell>
          <cell r="Z413" t="str">
            <v>051-2004681</v>
          </cell>
          <cell r="AA413" t="str">
            <v>9.1.1.13</v>
          </cell>
          <cell r="AB413" t="str">
            <v>Организация мониторинга внутренней коррозии трубопроводов в составе площадки КГС № 65 ГП-1</v>
          </cell>
        </row>
        <row r="414">
          <cell r="Y414" t="str">
            <v>051-20046819.1.1.14</v>
          </cell>
          <cell r="Z414" t="str">
            <v>051-2004681</v>
          </cell>
          <cell r="AA414" t="str">
            <v>9.1.1.14</v>
          </cell>
          <cell r="AB414" t="str">
            <v>Организация мониторинга внутренней коррозии трубопроводов в составе площадки КГС № 58 ГП-1</v>
          </cell>
        </row>
        <row r="415">
          <cell r="Y415" t="str">
            <v>051-20046819.1.1.15</v>
          </cell>
          <cell r="Z415" t="str">
            <v>051-2004681</v>
          </cell>
          <cell r="AA415" t="str">
            <v>9.1.1.15</v>
          </cell>
          <cell r="AB415" t="str">
            <v>Организация мониторинга внутренней коррозии трубопроводов в составе площадки КГС № 54 ГП-1</v>
          </cell>
        </row>
        <row r="416">
          <cell r="Y416" t="str">
            <v>051-20046819.1.1.16</v>
          </cell>
          <cell r="Z416" t="str">
            <v>051-2004681</v>
          </cell>
          <cell r="AA416" t="str">
            <v>9.1.1.16</v>
          </cell>
          <cell r="AB416" t="str">
            <v>Организация мониторинга внутренней коррозии трубопроводов в составе площадки КГС № 51 ГП-1</v>
          </cell>
        </row>
        <row r="417">
          <cell r="Y417" t="str">
            <v>051-20046819.1.1.17</v>
          </cell>
          <cell r="Z417" t="str">
            <v>051-2004681</v>
          </cell>
          <cell r="AA417" t="str">
            <v>9.1.1.17</v>
          </cell>
          <cell r="AB417" t="str">
            <v>Организация мониторинга внутренней коррозии трубопроводов в составе площадки КГС № 52 ГП-1</v>
          </cell>
        </row>
        <row r="418">
          <cell r="Y418" t="str">
            <v>051-20046819.1.1.18</v>
          </cell>
          <cell r="Z418" t="str">
            <v>051-2004681</v>
          </cell>
          <cell r="AA418" t="str">
            <v>9.1.1.18</v>
          </cell>
          <cell r="AB418" t="str">
            <v>Организация мониторинга внутренней коррозии трубопроводов в составе площадки КГС № 68 ГП-1</v>
          </cell>
        </row>
        <row r="419">
          <cell r="Y419" t="str">
            <v>051-20046819.1.1.19</v>
          </cell>
          <cell r="Z419" t="str">
            <v>051-2004681</v>
          </cell>
          <cell r="AA419" t="str">
            <v>9.1.1.19</v>
          </cell>
          <cell r="AB419" t="str">
            <v>Организация мониторинга внутренней коррозии трубопроводов в составе площадки КГС № 53 ГП-1</v>
          </cell>
        </row>
        <row r="420">
          <cell r="Y420" t="str">
            <v>051-20046819.1.1.20</v>
          </cell>
          <cell r="Z420" t="str">
            <v>051-2004681</v>
          </cell>
          <cell r="AA420" t="str">
            <v>9.1.1.20</v>
          </cell>
          <cell r="AB420" t="str">
            <v>Организация мониторинга внутренней коррозии трубопроводов в составе площадки КГС № 47 ГП-1</v>
          </cell>
        </row>
        <row r="421">
          <cell r="Y421" t="str">
            <v>051-20046915.1.0.2.1</v>
          </cell>
          <cell r="Z421" t="str">
            <v>051-2004691</v>
          </cell>
          <cell r="AA421" t="str">
            <v>5.1.0.2.1</v>
          </cell>
          <cell r="AB421" t="str">
            <v>Техническое перевооружение устьевого оборудования и обвязки кустов ЦДГГКН №1,2. I Этап</v>
          </cell>
        </row>
        <row r="422">
          <cell r="Y422" t="str">
            <v>051-20046915.1.0.2.2</v>
          </cell>
          <cell r="Z422" t="str">
            <v>051-2004691</v>
          </cell>
          <cell r="AA422" t="str">
            <v>5.1.0.2.2</v>
          </cell>
          <cell r="AB422" t="str">
            <v>Техническое перевооружение устьевого оборудования и обвязки кустов ЦДГГКН №1,2. II Этап</v>
          </cell>
        </row>
        <row r="423">
          <cell r="Y423" t="str">
            <v>051-20046915.1.0.3.3</v>
          </cell>
          <cell r="Z423" t="str">
            <v>051-2004691</v>
          </cell>
          <cell r="AA423" t="str">
            <v>5.1.0.3.3</v>
          </cell>
          <cell r="AB423" t="str">
            <v>Замена газотурбинных приводов КС-1 .</v>
          </cell>
        </row>
        <row r="424">
          <cell r="Y424" t="str">
            <v>051-20046915.1.0.4.4.</v>
          </cell>
          <cell r="Z424" t="str">
            <v>051-2004691</v>
          </cell>
          <cell r="AA424" t="str">
            <v>5.1.0.4.4.</v>
          </cell>
          <cell r="AB424" t="str">
            <v>Замена газотурбинных приводов КС-2 .</v>
          </cell>
        </row>
        <row r="425">
          <cell r="Y425" t="str">
            <v>051-20046924.1.0.1.4</v>
          </cell>
          <cell r="Z425" t="str">
            <v>051-2004692</v>
          </cell>
          <cell r="AA425" t="str">
            <v>4.1.0.1.4</v>
          </cell>
          <cell r="AB425" t="str">
            <v>Оснащение оборудованием для КЛК скважин УКПГ-1А, 1-16 (в т.ч. замена устьевого оборудования).*</v>
          </cell>
        </row>
        <row r="426">
          <cell r="Y426" t="str">
            <v>051-20046924.1.0.2.5</v>
          </cell>
          <cell r="Z426" t="str">
            <v>051-2004692</v>
          </cell>
          <cell r="AA426" t="str">
            <v>4.1.0.2.5</v>
          </cell>
          <cell r="AB426" t="str">
            <v>Замена НКТ в поглощающих скважинах УКПГ-1А, 1-16. (в т.ч. замена устьевого оборудования).</v>
          </cell>
        </row>
        <row r="427">
          <cell r="Y427" t="str">
            <v>051-20046924.1.0.2.6</v>
          </cell>
          <cell r="Z427" t="str">
            <v>051-2004692</v>
          </cell>
          <cell r="AA427" t="str">
            <v>4.1.0.2.6</v>
          </cell>
          <cell r="AB427" t="str">
            <v>Замена НКТ в поглощающих скважинах УКПГ-1А, 1-16. (в т.ч. замена устьевого оборудования).</v>
          </cell>
        </row>
        <row r="428">
          <cell r="Y428" t="str">
            <v>051-20046931.2.0.1.23</v>
          </cell>
          <cell r="Z428" t="str">
            <v>051-2004693</v>
          </cell>
          <cell r="AA428" t="str">
            <v>1.2.0.1.23</v>
          </cell>
          <cell r="AB428" t="str">
            <v>этап 1.1 Инженерная защита проявления опасного геокриологического процесса на объекте Овраг № 2 и водосбросное сооружение в зоне «В» УКПГ-1В Ямбургского НГКМ</v>
          </cell>
        </row>
        <row r="429">
          <cell r="Y429" t="str">
            <v>051-20046931.2.0.2.13</v>
          </cell>
          <cell r="Z429" t="str">
            <v>051-2004693</v>
          </cell>
          <cell r="AA429" t="str">
            <v>1.2.0.2.13</v>
          </cell>
          <cell r="AB429" t="str">
            <v>этап 1.2 Инженерная защита опасного прояления геокриологического процесса на объекте Овраг № 2 около автодороги к КГС № 122В УКПГ-1В Ямбургского НГКМ</v>
          </cell>
        </row>
        <row r="430">
          <cell r="Y430" t="str">
            <v>051-20046931.2.0.3.23</v>
          </cell>
          <cell r="Z430" t="str">
            <v>051-2004693</v>
          </cell>
          <cell r="AA430" t="str">
            <v>1.2.0.3.23</v>
          </cell>
          <cell r="AB430" t="str">
            <v>этап 1.3 Инженерная защита  опасного инженерно-геокриологического процесса на объекте Эрозионные врезы № 1- № 2 около автодороги к КГС № 122В УКПГ-1В Ямбургского НГКМ.</v>
          </cell>
        </row>
        <row r="431">
          <cell r="Y431" t="str">
            <v>051-20046931.2.0.4.23</v>
          </cell>
          <cell r="Z431" t="str">
            <v>051-2004693</v>
          </cell>
          <cell r="AA431" t="str">
            <v>1.2.0.4.23</v>
          </cell>
          <cell r="AB431" t="str">
            <v>этап 1.4 Инженерная защита опасного инженерно-геокриологического процесса на объекте Овраг к КГС № 118В УКПГ-1В Ямбургского НГКМ</v>
          </cell>
        </row>
        <row r="432">
          <cell r="Y432" t="str">
            <v>051-20046931.2.0.5.23</v>
          </cell>
          <cell r="Z432" t="str">
            <v>051-2004693</v>
          </cell>
          <cell r="AA432" t="str">
            <v>1.2.0.5.23</v>
          </cell>
          <cell r="AB432" t="str">
            <v>этап 1.5 Инженерная защита опасного инженерно-геокриологического процесса отступание берега реки Нгарка-Пойловояха на объекте газопровода-шлейфа № 513 УКПГ-5 Ямбургского НГКМ</v>
          </cell>
        </row>
        <row r="433">
          <cell r="Y433" t="str">
            <v>051-20046931.2.0.6.23</v>
          </cell>
          <cell r="Z433" t="str">
            <v>051-2004693</v>
          </cell>
          <cell r="AA433" t="str">
            <v>1.2.0.6.23</v>
          </cell>
          <cell r="AB433" t="str">
            <v>этап 1.6 Инженерная защита опасного инженерно-геокриологического процесса балочный переход газопроводов-шлейфов № 220В, 224В УППГ-2В Ямбургского НГКМ</v>
          </cell>
        </row>
        <row r="434">
          <cell r="Y434" t="str">
            <v>051-20046931.2.0.7.23</v>
          </cell>
          <cell r="Z434" t="str">
            <v>051-2004693</v>
          </cell>
          <cell r="AA434" t="str">
            <v>1.2.0.7.23</v>
          </cell>
          <cell r="AB434" t="str">
            <v>этап 1.7 Инженерная защита опасного инженерно-геокриологического процесса участок размыва газопровода-шлейфа № 939 УКПГ-9 Харвутинской площади Ямбургского НГКМ</v>
          </cell>
        </row>
        <row r="435">
          <cell r="Y435" t="str">
            <v>051-20046931.2.0.8.23</v>
          </cell>
          <cell r="Z435" t="str">
            <v>051-2004693</v>
          </cell>
          <cell r="AA435" t="str">
            <v>1.2.0.8.23</v>
          </cell>
          <cell r="AB435" t="str">
            <v>этап 1.8 Инженерная защита опасного геологического процесса (обводнение и термоэрозионный размыв) на участке газопровода-шлейфа № 951 УКПГ-9 Харвутинской площади Ямбургского НГКМ</v>
          </cell>
        </row>
        <row r="436">
          <cell r="Y436" t="str">
            <v>051-20046931.2.0.9.23</v>
          </cell>
          <cell r="Z436" t="str">
            <v>051-2004693</v>
          </cell>
          <cell r="AA436" t="str">
            <v>1.2.0.9.23</v>
          </cell>
          <cell r="AB436" t="str">
            <v>этап 1.9 Инженерная защита опасных инженерно-геокриологических процессов участок размыва газопроводов-шлейфов № 907 и № 918 УППГ-10 Харвутинской площади Ямбургского НГКМ</v>
          </cell>
        </row>
        <row r="437">
          <cell r="Y437" t="str">
            <v>051-20046931.2.0.11.23</v>
          </cell>
          <cell r="Z437" t="str">
            <v>051-2004693</v>
          </cell>
          <cell r="AA437" t="str">
            <v>1.2.0.11.23</v>
          </cell>
          <cell r="AB437" t="str">
            <v>этап 1.11 Инженерная защита опасного инженерно-геокриологического процесса на участке размыва и всплытия газопровода-шлейфа № 931 УКПГ-9 Харвутинской площади Ямбургского НГКМ</v>
          </cell>
        </row>
        <row r="438">
          <cell r="Y438" t="str">
            <v>051-20046931.2.0.12.13</v>
          </cell>
          <cell r="Z438" t="str">
            <v>051-2004693</v>
          </cell>
          <cell r="AA438" t="str">
            <v>1.2.0.12.13</v>
          </cell>
          <cell r="AB438" t="str">
            <v>этап 1.12 Инженерная защита опасного инженерно-геокриологического процесса на участке всплытия газопровода-шлейфа № 935 УКПГ-9 Харвутинской площади Ямбургского НГКМ</v>
          </cell>
        </row>
        <row r="439">
          <cell r="Y439" t="str">
            <v>051-20046931.2.0.13.23</v>
          </cell>
          <cell r="Z439" t="str">
            <v>051-2004693</v>
          </cell>
          <cell r="AA439" t="str">
            <v>1.2.0.13.23</v>
          </cell>
          <cell r="AB439" t="str">
            <v>этап 1.14 Инженерная защита опасного инженерно-геокриологического процесса на участке всплытия газопровода-шлейфа № 938 УКПГ-9 Харвутинской площади Ямбургского НГКМ</v>
          </cell>
        </row>
        <row r="440">
          <cell r="Y440" t="str">
            <v>051-20046931.2.0.14.23</v>
          </cell>
          <cell r="Z440" t="str">
            <v>051-2004693</v>
          </cell>
          <cell r="AA440" t="str">
            <v>1.2.0.14.23</v>
          </cell>
          <cell r="AB440" t="str">
            <v>этап 1.15 Инженерная защита опасного инженерно-геокриологического процесса на участке размыва и всплытия газопровода-шлейфа № 943 УКПГ-9 Харвутинской площади Ямбургского НГКМ</v>
          </cell>
        </row>
        <row r="441">
          <cell r="Y441" t="str">
            <v>051-20046931.2.0.15.23</v>
          </cell>
          <cell r="Z441" t="str">
            <v>051-2004693</v>
          </cell>
          <cell r="AA441" t="str">
            <v>1.2.0.15.23</v>
          </cell>
          <cell r="AB441" t="str">
            <v>этап 1.16 Инженерная защита опасного инженерно-геокриологического процесса на участке размыва и всплытия газопровода-шлейфа № 953 УКПГ-9 Харвутинской площади Ямбургского НГКМ</v>
          </cell>
        </row>
        <row r="442">
          <cell r="Y442" t="str">
            <v>051-20046931.2.0.16.23</v>
          </cell>
          <cell r="Z442" t="str">
            <v>051-2004693</v>
          </cell>
          <cell r="AA442" t="str">
            <v>1.2.0.16.23</v>
          </cell>
          <cell r="AB442" t="str">
            <v>этап 1.17 Инженерная защита опасного инженерно-геокриологического процесса на объекте балочный переход газопровода-шлейфа № 246В УППГ-2В Ямбургского НГКМ.</v>
          </cell>
        </row>
        <row r="443">
          <cell r="Y443" t="str">
            <v>051-20046931.2.0.18.23</v>
          </cell>
          <cell r="Z443" t="str">
            <v>051-2004693</v>
          </cell>
          <cell r="AA443" t="str">
            <v>1.2.0.18.23</v>
          </cell>
          <cell r="AB443" t="str">
            <v>этап 1.19 Инженерная защита опасного инженерно-геокриологического процесса отступание берега реки Нгарка-Харвута на переходе МПК ДУ 700 II нитка УППГ-4А-УКПГ-4 Анерьяхинской площади Ямбургского НГКМ</v>
          </cell>
        </row>
        <row r="444">
          <cell r="Y444" t="str">
            <v>051-20046931.2.0.20.23</v>
          </cell>
          <cell r="Z444" t="str">
            <v>051-2004693</v>
          </cell>
          <cell r="AA444" t="str">
            <v>1.2.0.20.23</v>
          </cell>
          <cell r="AB444" t="str">
            <v>этап 1.21 Инженерная защита опасного инженерно-геологического процесса отступание берега реки Нгарка-Харвута на переходе подводного исполнения МПК ДУ 700 I нитка УППГ-4А-УКПГ-4 Анерьяхинской площади Ямбургского НГКМ</v>
          </cell>
        </row>
        <row r="445">
          <cell r="Y445" t="str">
            <v>051-20046931.2.0.21.23</v>
          </cell>
          <cell r="Z445" t="str">
            <v>051-2004693</v>
          </cell>
          <cell r="AA445" t="str">
            <v>1.2.0.21.23</v>
          </cell>
          <cell r="AB445" t="str">
            <v>этап 1.22 Инженерная защита опасного инженерно-геокриологического процесса на участке размыва и всплытия газопровода-шлейфа № 965 УКПГ-9 Харвутинской площади Ямбургского НГКМ</v>
          </cell>
        </row>
        <row r="446">
          <cell r="Y446" t="str">
            <v>051-20046931.2.0.22.13</v>
          </cell>
          <cell r="Z446" t="str">
            <v>051-2004693</v>
          </cell>
          <cell r="AA446" t="str">
            <v>1.2.0.22.13</v>
          </cell>
          <cell r="AB446" t="str">
            <v>этап 1.23 Инженерная защита опасного инженерно-геокриологического процесса Овраг в районе балочного перехода газопроводов-шлейфов № 132В; 133В на УКПГ-1В Ямбургского НГКМ</v>
          </cell>
        </row>
        <row r="447">
          <cell r="Y447" t="str">
            <v>051-20046931.2.0.23.26</v>
          </cell>
          <cell r="Z447" t="str">
            <v>051-2004693</v>
          </cell>
          <cell r="AA447" t="str">
            <v>1.2.0.23.26</v>
          </cell>
          <cell r="AB447" t="str">
            <v>этап 1.10.1 Инженерная защита опасного инженерно-геокриологического процесса отступание левого берега реки Пойловояха на участке балочного перехода газопровода-шлейфа №725 УКПГ-7 Ямбургского НГКМ</v>
          </cell>
        </row>
        <row r="448">
          <cell r="Y448" t="str">
            <v>051-20046931.2.0.24.26</v>
          </cell>
          <cell r="Z448" t="str">
            <v>051-2004693</v>
          </cell>
          <cell r="AA448" t="str">
            <v>1.2.0.24.26</v>
          </cell>
          <cell r="AB448" t="str">
            <v>этап 1.10.2 Приведение высоты балочного перехода над горизонтом сточных вод на участке балочного перехода газопровода-шлейфа №725 УКПГ-7 Ямбургского НГКМ</v>
          </cell>
        </row>
        <row r="449">
          <cell r="Y449" t="str">
            <v>051-20046931.2.0.25.26</v>
          </cell>
          <cell r="Z449" t="str">
            <v>051-2004693</v>
          </cell>
          <cell r="AA449" t="str">
            <v>1.2.0.25.26</v>
          </cell>
          <cell r="AB449" t="str">
            <v>этап 1.20.1 Инженерная защита опасного инженерно-геокриологического процесса на объекте балочный переход газопроводов-шлейфов № 443 УППГ-4А Анерьяхинской площади Ямбургского НГКМ.</v>
          </cell>
        </row>
        <row r="450">
          <cell r="Y450" t="str">
            <v>051-20046931.2.0.26.26</v>
          </cell>
          <cell r="Z450" t="str">
            <v>051-2004693</v>
          </cell>
          <cell r="AA450" t="str">
            <v>1.2.0.26.26</v>
          </cell>
          <cell r="AB450" t="str">
            <v>этап 1.20.2  Приведение высоты балочного перехода над горизонтом сточных вод балочный переход газопроводов-шлейфов № 443 УППГ-4А Анерьяхинской площади Ямбургского НГКМ.</v>
          </cell>
        </row>
        <row r="451">
          <cell r="Y451" t="str">
            <v>051-20046941.1.7.1.25</v>
          </cell>
          <cell r="Z451" t="str">
            <v>051-2004694</v>
          </cell>
          <cell r="AA451" t="str">
            <v>1.1.7.1.25</v>
          </cell>
          <cell r="AB451" t="str">
            <v>Техперевооружение газовых скважин 7041</v>
          </cell>
        </row>
        <row r="452">
          <cell r="Y452" t="str">
            <v>051-20046941.1.7.3.25</v>
          </cell>
          <cell r="Z452" t="str">
            <v>051-2004694</v>
          </cell>
          <cell r="AA452" t="str">
            <v>1.1.7.3.25</v>
          </cell>
          <cell r="AB452" t="str">
            <v>Техперевооружение газовых скважин 7064, 7092, 7144</v>
          </cell>
        </row>
        <row r="453">
          <cell r="Y453" t="str">
            <v>051-20050905.4.1АВ.2</v>
          </cell>
          <cell r="Z453" t="str">
            <v>051-2005090</v>
          </cell>
          <cell r="AA453" t="str">
            <v>5.4.1АВ.2</v>
          </cell>
          <cell r="AB453" t="str">
            <v>Замена СПЧ на ДКС (1 ст.) УКПГ-1АВ</v>
          </cell>
        </row>
        <row r="454">
          <cell r="Y454" t="str">
            <v>051-20051023.1.1C.1</v>
          </cell>
          <cell r="Z454" t="str">
            <v>051-2005102</v>
          </cell>
          <cell r="AA454" t="str">
            <v>3.1.1C.1</v>
          </cell>
          <cell r="AB454" t="str">
            <v>Оснащение КЛК скважины 1182</v>
          </cell>
        </row>
        <row r="455">
          <cell r="Y455" t="str">
            <v>051-20051914.1.0.7.1</v>
          </cell>
          <cell r="Z455" t="str">
            <v>051-2005191</v>
          </cell>
          <cell r="AA455" t="str">
            <v>4.1.0.7.1</v>
          </cell>
          <cell r="AB455" t="str">
            <v>Строительство новых поглощающих скважин на УКПГ- 5; 8; 12; 15; 16.</v>
          </cell>
        </row>
        <row r="456">
          <cell r="Y456" t="str">
            <v>051-20051914.1.0.7.2</v>
          </cell>
          <cell r="Z456" t="str">
            <v>051-2005191</v>
          </cell>
          <cell r="AA456" t="str">
            <v>4.1.0.7.2</v>
          </cell>
          <cell r="AB456" t="str">
            <v>Строительство новых поглощающих скважин на УКПГ-1АС; 2; 10; 11; 13.</v>
          </cell>
        </row>
        <row r="457">
          <cell r="Y457" t="str">
            <v>051-20051914.1.0.7.3</v>
          </cell>
          <cell r="Z457" t="str">
            <v>051-2005191</v>
          </cell>
          <cell r="AA457" t="str">
            <v>4.1.0.7.3</v>
          </cell>
          <cell r="AB457" t="str">
            <v>Строительство новых поглощающих скважин на УКПГ-1; 3; 4; 6; 9.</v>
          </cell>
        </row>
        <row r="458">
          <cell r="Y458" t="str">
            <v>051-20051993.8.0.1(2)</v>
          </cell>
          <cell r="Z458" t="str">
            <v>051-2005199</v>
          </cell>
          <cell r="AA458" t="str">
            <v>3.8.0.1(2)</v>
          </cell>
          <cell r="AB458" t="str">
            <v>Здание моечно-окрасочного корпуса с пунктом ремонта и обслуживания топливной газовой аппаратуры</v>
          </cell>
        </row>
        <row r="459">
          <cell r="Y459" t="str">
            <v>051-20051993.8.0.2(2)</v>
          </cell>
          <cell r="Z459" t="str">
            <v>051-2005199</v>
          </cell>
          <cell r="AA459" t="str">
            <v>3.8.0.2(2)</v>
          </cell>
          <cell r="AB459" t="str">
            <v>Здание теплой стоянки автомобилей № 1</v>
          </cell>
        </row>
        <row r="460">
          <cell r="Y460" t="str">
            <v>051-20051993.8.0.3(2)</v>
          </cell>
          <cell r="Z460" t="str">
            <v>051-2005199</v>
          </cell>
          <cell r="AA460" t="str">
            <v>3.8.0.3(2)</v>
          </cell>
          <cell r="AB460" t="str">
            <v>Здание теплой стоянки автомобилей № 2</v>
          </cell>
        </row>
        <row r="461">
          <cell r="Y461" t="str">
            <v>051-20051993.8.0.4(2)</v>
          </cell>
          <cell r="Z461" t="str">
            <v>051-2005199</v>
          </cell>
          <cell r="AA461" t="str">
            <v>3.8.0.4(2)</v>
          </cell>
          <cell r="AB461" t="str">
            <v>Гараж-стоянка на 24 легковых автомобиля (поз 8.4) АТП НГДУ ЗГНКМ</v>
          </cell>
        </row>
        <row r="462">
          <cell r="Y462" t="str">
            <v>051-20051993.8.0.5(2)</v>
          </cell>
          <cell r="Z462" t="str">
            <v>051-2005199</v>
          </cell>
          <cell r="AA462" t="str">
            <v>3.8.0.5(2)</v>
          </cell>
          <cell r="AB462" t="str">
            <v>Здание профилактория  базы АТП НГДУ Заполярного ГНКМ</v>
          </cell>
        </row>
        <row r="463">
          <cell r="Y463" t="str">
            <v>051-20051993.8.0.6</v>
          </cell>
          <cell r="Z463" t="str">
            <v>051-2005199</v>
          </cell>
          <cell r="AA463" t="str">
            <v>3.8.0.6</v>
          </cell>
          <cell r="AB463" t="str">
            <v>Производственный корпус (поз.8.10) АТП НГДУ ЗГНКМ</v>
          </cell>
        </row>
        <row r="464">
          <cell r="Y464" t="str">
            <v>051-20051993.8.0.7</v>
          </cell>
          <cell r="Z464" t="str">
            <v>051-2005199</v>
          </cell>
          <cell r="AA464" t="str">
            <v>3.8.0.7</v>
          </cell>
          <cell r="AB464" t="str">
            <v>Здание контрольно-пропускного пункта  базы АТП НГДУ Заполярного ГНКМ</v>
          </cell>
        </row>
        <row r="465">
          <cell r="Y465" t="str">
            <v>051-20051993.8.0.8</v>
          </cell>
          <cell r="Z465" t="str">
            <v>051-2005199</v>
          </cell>
          <cell r="AA465" t="str">
            <v>3.8.0.8</v>
          </cell>
          <cell r="AB465" t="str">
            <v>Проходная (поз. 8.1.1) АТП НГДУ ЗГНКМ</v>
          </cell>
        </row>
        <row r="466">
          <cell r="Y466" t="str">
            <v>051-20051993.8.0.9</v>
          </cell>
          <cell r="Z466" t="str">
            <v>051-2005199</v>
          </cell>
          <cell r="AA466" t="str">
            <v>3.8.0.9</v>
          </cell>
          <cell r="AB466" t="str">
            <v>Пункт газорегуляторный блочный (п.8.48) базы АТП НГДУ Заполярного ГНКМ.</v>
          </cell>
        </row>
        <row r="467">
          <cell r="Y467" t="str">
            <v>051-20052611.8.0.1(2)</v>
          </cell>
          <cell r="Z467" t="str">
            <v>051-2005261</v>
          </cell>
          <cell r="AA467" t="str">
            <v>1.8.0.1(2)</v>
          </cell>
          <cell r="AB467" t="str">
            <v>Здание производственного корпуса с теплой стоянкой базы УТТиСТ промбазы УКПГ-4 Ямбургского ГКМ</v>
          </cell>
        </row>
        <row r="468">
          <cell r="Y468" t="str">
            <v>051-20052611.8.0.2</v>
          </cell>
          <cell r="Z468" t="str">
            <v>051-2005261</v>
          </cell>
          <cell r="AA468" t="str">
            <v>1.8.0.2</v>
          </cell>
          <cell r="AB468" t="str">
            <v>Здание производственного корпуса с теплой стоянкой базы ДРЭУ на промбазе УКПГ-9 Харвутинской площади Ямбургского ГКМ</v>
          </cell>
        </row>
        <row r="469">
          <cell r="Y469" t="str">
            <v>051-20052611.8.0.3</v>
          </cell>
          <cell r="Z469" t="str">
            <v>051-2005261</v>
          </cell>
          <cell r="AA469" t="str">
            <v>1.8.0.3</v>
          </cell>
          <cell r="AB469" t="str">
            <v>Здание производственного корпуса с теплой стоянкой базы УТТиСТ на промбазе УКПГ-9 Харвутинской площади Ямбургского ГКМ</v>
          </cell>
        </row>
        <row r="470">
          <cell r="Y470" t="str">
            <v>051-200527720.2.22.1</v>
          </cell>
          <cell r="Z470" t="str">
            <v>051-2005277</v>
          </cell>
          <cell r="AA470" t="str">
            <v>20.2.22.1</v>
          </cell>
          <cell r="AB470" t="str">
            <v>Защита от коррозии промысловых и технологических трубопроводов, в том числе трубопроводов технологических обвязок газоконденсатных скважин, трубопроводов системы сбора газа, промысловых объектов и трубопроводов транспорта газа и газового конденсата, площадка для приема и хранения ингибитора коррозии на УКПГ-22 .</v>
          </cell>
        </row>
        <row r="471">
          <cell r="Y471" t="str">
            <v>051-200527720.2.22.2</v>
          </cell>
          <cell r="Z471" t="str">
            <v>051-2005277</v>
          </cell>
          <cell r="AA471" t="str">
            <v>20.2.22.2</v>
          </cell>
          <cell r="AB471" t="str">
            <v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 Этап</v>
          </cell>
        </row>
        <row r="472">
          <cell r="Y472" t="str">
            <v>051-200527720.2.22.3</v>
          </cell>
          <cell r="Z472" t="str">
            <v>051-2005277</v>
          </cell>
          <cell r="AA472" t="str">
            <v>20.2.22.3</v>
          </cell>
          <cell r="AB472" t="str">
            <v>Реконструкция газопроводов-шлейфов для обеспечения оптимальной скорости потока углеводородной смеси и исключения ручейковой коррозии, в том числе обустройство перемычек между газопроводами-шлейфами. II Этап</v>
          </cell>
        </row>
        <row r="473">
          <cell r="Y473" t="str">
            <v>051-200535315.1.0.11</v>
          </cell>
          <cell r="Z473" t="str">
            <v>051-2005353</v>
          </cell>
          <cell r="AA473" t="str">
            <v>15.1.0.11</v>
          </cell>
          <cell r="AB473" t="str">
            <v>Оснащение скважин системой телемеханики с функциями аварийной защиты и раннего оповещения</v>
          </cell>
        </row>
        <row r="474">
          <cell r="Y474" t="str">
            <v>051-200535315.1.0.12</v>
          </cell>
          <cell r="Z474" t="str">
            <v>051-2005353</v>
          </cell>
          <cell r="AA474" t="str">
            <v>15.1.0.12</v>
          </cell>
          <cell r="AB474" t="str">
            <v>Оснащение скважин системой телемеханики с функциями аварийной защиты и раннего оповещения</v>
          </cell>
        </row>
        <row r="475">
          <cell r="Y475" t="str">
            <v>051-200535315.1.0.4.25</v>
          </cell>
          <cell r="Z475" t="str">
            <v>051-2005353</v>
          </cell>
          <cell r="AA475" t="str">
            <v>15.1.0.4.25</v>
          </cell>
          <cell r="AB475" t="str">
            <v>Оснащение скважин системой телемеханики с функциями аварийной защиты и раннего оповещения</v>
          </cell>
        </row>
        <row r="476">
          <cell r="Y476" t="str">
            <v>051-200535415.1.0.2.26</v>
          </cell>
          <cell r="Z476" t="str">
            <v>051-2005354</v>
          </cell>
          <cell r="AA476" t="str">
            <v>15.1.0.2.26</v>
          </cell>
          <cell r="AB476" t="str">
            <v>Техперевооружение обводненного фонда скважин, 150 скв. надземная часть</v>
          </cell>
        </row>
        <row r="477">
          <cell r="Y477" t="str">
            <v>051-200535415.1.0.3.26</v>
          </cell>
          <cell r="Z477" t="str">
            <v>051-2005354</v>
          </cell>
          <cell r="AA477" t="str">
            <v>15.1.0.3.26</v>
          </cell>
          <cell r="AB477" t="str">
            <v>Техперевооружение обводненного фонда скважин, 150 скв. надземная часть</v>
          </cell>
        </row>
        <row r="478">
          <cell r="Y478" t="str">
            <v>051-200535415.1.0.4.26</v>
          </cell>
          <cell r="Z478" t="str">
            <v>051-2005354</v>
          </cell>
          <cell r="AA478" t="str">
            <v>15.1.0.4.26</v>
          </cell>
          <cell r="AB478" t="str">
            <v>Техперевооружение обводненного фонда скважин, 150 скв. надземная часть</v>
          </cell>
        </row>
        <row r="479">
          <cell r="Y479" t="str">
            <v>051-200535415.1.0.5.26</v>
          </cell>
          <cell r="Z479" t="str">
            <v>051-2005354</v>
          </cell>
          <cell r="AA479" t="str">
            <v>15.1.0.5.26</v>
          </cell>
          <cell r="AB479" t="str">
            <v>Техперевооружение обводненного фонда скважин, 150 скв. подземная часть</v>
          </cell>
        </row>
        <row r="480">
          <cell r="Y480" t="str">
            <v>051-200535415.1.0.6.26</v>
          </cell>
          <cell r="Z480" t="str">
            <v>051-2005354</v>
          </cell>
          <cell r="AA480" t="str">
            <v>15.1.0.6.26</v>
          </cell>
          <cell r="AB480" t="str">
            <v>Техперевооружение обводненного фонда скважин, 150 скв. подземная часть</v>
          </cell>
        </row>
        <row r="481">
          <cell r="Y481" t="str">
            <v>051-200535415.1.0.7.26</v>
          </cell>
          <cell r="Z481" t="str">
            <v>051-2005354</v>
          </cell>
          <cell r="AA481" t="str">
            <v>15.1.0.7.26</v>
          </cell>
          <cell r="AB481" t="str">
            <v>Техперевооружение обводненного фонда скважин, 150 скв. подземная часть</v>
          </cell>
        </row>
        <row r="482">
          <cell r="Y482" t="str">
            <v>051-200535415.1.0.8.26</v>
          </cell>
          <cell r="Z482" t="str">
            <v>051-2005354</v>
          </cell>
          <cell r="AA482" t="str">
            <v>15.1.0.8.26</v>
          </cell>
          <cell r="AB482" t="str">
            <v>Реконструкция надземной части обводненных газовых скважин, оснащаемых УЭЦН</v>
          </cell>
        </row>
        <row r="483">
          <cell r="Y483" t="str">
            <v>051-200535415.1.0.9.26</v>
          </cell>
          <cell r="Z483" t="str">
            <v>051-2005354</v>
          </cell>
          <cell r="AA483" t="str">
            <v>15.1.0.9.26</v>
          </cell>
          <cell r="AB483" t="str">
            <v>Реконструкция надземной части обводненных газовых скважин, оснащаемых УЭЦН</v>
          </cell>
        </row>
        <row r="484">
          <cell r="Y484" t="str">
            <v>051-200535415.1.0.10.26</v>
          </cell>
          <cell r="Z484" t="str">
            <v>051-2005354</v>
          </cell>
          <cell r="AA484" t="str">
            <v>15.1.0.10.26</v>
          </cell>
          <cell r="AB484" t="str">
            <v>Техперевооружение подземной части обводненных газовых скважин, оснащаемых УЭЦН</v>
          </cell>
        </row>
        <row r="485">
          <cell r="Y485" t="str">
            <v>051-200535415.1.0.11.26</v>
          </cell>
          <cell r="Z485" t="str">
            <v>051-2005354</v>
          </cell>
          <cell r="AA485" t="str">
            <v>15.1.0.11.26</v>
          </cell>
          <cell r="AB485" t="str">
            <v>Техперевооружение подземной части обводненных газовых скважин, оснащаемых УЭЦН</v>
          </cell>
        </row>
        <row r="486">
          <cell r="Y486" t="str">
            <v>051-200535515.1.0.12.26</v>
          </cell>
          <cell r="Z486" t="str">
            <v>051-2005355</v>
          </cell>
          <cell r="AA486" t="str">
            <v>15.1.0.12.26</v>
          </cell>
          <cell r="AB486" t="str">
            <v>Реконструкция скв.178, подземная часть</v>
          </cell>
        </row>
        <row r="487">
          <cell r="Y487" t="str">
            <v>051-200535515.1.0.13.26</v>
          </cell>
          <cell r="Z487" t="str">
            <v>051-2005355</v>
          </cell>
          <cell r="AA487" t="str">
            <v>15.1.0.13.26</v>
          </cell>
          <cell r="AB487" t="str">
            <v>Реконструкция скв.178, надземная часть</v>
          </cell>
        </row>
        <row r="488">
          <cell r="Y488" t="str">
            <v>051-20053704.8.0.1.1</v>
          </cell>
          <cell r="Z488" t="str">
            <v>051-2005370</v>
          </cell>
          <cell r="AA488" t="str">
            <v>4.8.0.1.1</v>
          </cell>
          <cell r="AB488" t="str">
            <v>Реконструкция КЗПОУ. I Этап</v>
          </cell>
        </row>
        <row r="489">
          <cell r="Y489" t="str">
            <v>051-20053704.8.0.1.2</v>
          </cell>
          <cell r="Z489" t="str">
            <v>051-2005370</v>
          </cell>
          <cell r="AA489" t="str">
            <v>4.8.0.1.2</v>
          </cell>
          <cell r="AB489" t="str">
            <v>Реконструкция КЗПОУ. II Этап</v>
          </cell>
        </row>
        <row r="490">
          <cell r="Y490" t="str">
            <v>051-20053704.8.0.1.3</v>
          </cell>
          <cell r="Z490" t="str">
            <v>051-2005370</v>
          </cell>
          <cell r="AA490" t="str">
            <v>4.8.0.1.3</v>
          </cell>
          <cell r="AB490" t="str">
            <v>Реконструкция КЗПОУ. III Этап</v>
          </cell>
        </row>
        <row r="491">
          <cell r="Y491" t="str">
            <v>051-20053704.8.0.1.4</v>
          </cell>
          <cell r="Z491" t="str">
            <v>051-2005370</v>
          </cell>
          <cell r="AA491" t="str">
            <v>4.8.0.1.4</v>
          </cell>
          <cell r="AB491" t="str">
            <v>Монтаж технологических перемычек – 2шт (ориентировочная общая протяжённость - 4400м)</v>
          </cell>
        </row>
        <row r="492">
          <cell r="Y492" t="str">
            <v>051-20053704.8.0.1.5</v>
          </cell>
          <cell r="Z492" t="str">
            <v>051-2005370</v>
          </cell>
          <cell r="AA492" t="str">
            <v>4.8.0.1.5</v>
          </cell>
          <cell r="AB492" t="str">
            <v>Реконструкция установок катодной защиты (УКЗ), сетей электроснабжения линейных объектов, включая УКЗ. I Этап</v>
          </cell>
        </row>
        <row r="493">
          <cell r="Y493" t="str">
            <v>051-20053704.8.0.1.6</v>
          </cell>
          <cell r="Z493" t="str">
            <v>051-2005370</v>
          </cell>
          <cell r="AA493" t="str">
            <v>4.8.0.1.6</v>
          </cell>
          <cell r="AB493" t="str">
            <v>Реконструкция установок катодной защиты (УКЗ), сетей электроснабжения линейных объектов, включая УКЗ. II Этап</v>
          </cell>
        </row>
        <row r="494">
          <cell r="Y494" t="str">
            <v>051-20053704.8.0.1.7</v>
          </cell>
          <cell r="Z494" t="str">
            <v>051-2005370</v>
          </cell>
          <cell r="AA494" t="str">
            <v>4.8.0.1.7</v>
          </cell>
          <cell r="AB494" t="str">
            <v>Реконструкция установок катодной защиты (УКЗ), сетей электроснабжения линейных объектов, включая УКЗ. III Этап</v>
          </cell>
        </row>
        <row r="495">
          <cell r="Y495" t="str">
            <v>051-20053704.8.0.1.8</v>
          </cell>
          <cell r="Z495" t="str">
            <v>051-2005370</v>
          </cell>
          <cell r="AA495" t="str">
            <v>4.8.0.1.8</v>
          </cell>
          <cell r="AB495" t="str">
            <v>Монтаж технологических перемычек – 1 шт (ориентировочная общая протяжённость - 300 м)</v>
          </cell>
        </row>
        <row r="496">
          <cell r="Y496" t="str">
            <v>051-20053704.8.0.1.9</v>
          </cell>
          <cell r="Z496" t="str">
            <v>051-2005370</v>
          </cell>
          <cell r="AA496" t="str">
            <v>4.8.0.1.9</v>
          </cell>
          <cell r="AB496" t="str">
            <v>Реконструкция КП системы телемеханики, дооборудование СТМ новыми КП</v>
          </cell>
        </row>
        <row r="497">
          <cell r="Y497" t="str">
            <v>051-20053704.8.0.1.10</v>
          </cell>
          <cell r="Z497" t="str">
            <v>051-2005370</v>
          </cell>
          <cell r="AA497" t="str">
            <v>4.8.0.1.10</v>
          </cell>
          <cell r="AB497" t="str">
            <v>Реконструкция подводного перехода - 5 шт (ориентировочная общая протяжённость - 13000 м)</v>
          </cell>
        </row>
        <row r="498">
          <cell r="Y498" t="str">
            <v>051-20054742.1.1В.5</v>
          </cell>
          <cell r="Z498" t="str">
            <v>051-2005474</v>
          </cell>
          <cell r="AA498" t="str">
            <v>2.1.1В.5</v>
          </cell>
          <cell r="AB498" t="str">
            <v>Замена НКТ на скважине №10603</v>
          </cell>
        </row>
        <row r="499">
          <cell r="Y499" t="str">
            <v>051-20054751.6.0.1</v>
          </cell>
          <cell r="Z499" t="str">
            <v>051-2005475</v>
          </cell>
          <cell r="AA499" t="str">
            <v>1.6.0.1</v>
          </cell>
          <cell r="AB499" t="str">
            <v>1 этап реконструкции (Энергомодуль № V)</v>
          </cell>
        </row>
        <row r="500">
          <cell r="Y500" t="str">
            <v>051-20054751.6.0.2</v>
          </cell>
          <cell r="Z500" t="str">
            <v>051-2005475</v>
          </cell>
          <cell r="AA500" t="str">
            <v>1.6.0.2</v>
          </cell>
          <cell r="AB500" t="str">
            <v>2 этап реконструкции (Энергомодуль № I)</v>
          </cell>
        </row>
        <row r="501">
          <cell r="Y501" t="str">
            <v>051-20054751.6.0.3</v>
          </cell>
          <cell r="Z501" t="str">
            <v>051-2005475</v>
          </cell>
          <cell r="AA501" t="str">
            <v>1.6.0.3</v>
          </cell>
          <cell r="AB501" t="str">
            <v>3 этап реконструкции (Энергомодуль № II)</v>
          </cell>
        </row>
        <row r="502">
          <cell r="Y502" t="str">
            <v>051-200548215.2.0.1</v>
          </cell>
          <cell r="Z502" t="str">
            <v>051-2005482</v>
          </cell>
          <cell r="AA502" t="str">
            <v>15.2.0.1</v>
          </cell>
          <cell r="AB502" t="str">
            <v>Реконструкция объектов ГПУ</v>
          </cell>
        </row>
        <row r="503">
          <cell r="Y503" t="str">
            <v>051-200548215.3.0.4</v>
          </cell>
          <cell r="Z503" t="str">
            <v>051-2005482</v>
          </cell>
          <cell r="AA503" t="str">
            <v>15.3.0.4</v>
          </cell>
          <cell r="AB503" t="str">
            <v>Реконструкция объектов ГПУ</v>
          </cell>
        </row>
        <row r="504">
          <cell r="Y504" t="str">
            <v>051-20054953.2.0.1</v>
          </cell>
          <cell r="Z504" t="str">
            <v>051-2005495</v>
          </cell>
          <cell r="AA504" t="str">
            <v>3.2.0.1</v>
          </cell>
          <cell r="AB504" t="str">
            <v>Оснащение блоком камеры запуска очистного устройства Ду 1400, Ру 7,5 МПа внутрипромыслового газопровода ЗНГКМ первая нитка, УКПГ-1С – УКПГ-2С</v>
          </cell>
        </row>
        <row r="505">
          <cell r="Y505" t="str">
            <v>051-20054953.2.0.2</v>
          </cell>
          <cell r="Z505" t="str">
            <v>051-2005495</v>
          </cell>
          <cell r="AA505" t="str">
            <v>3.2.0.2</v>
          </cell>
          <cell r="AB505" t="str">
            <v>Оснащение блоком камеры запуска очистного устройства Ду 1400, Ру 7,5 МПа внутрипромыслового газопровода второй нитки УКПГ-1С – УКПГ-2С
ЗНГКМ</v>
          </cell>
        </row>
        <row r="506">
          <cell r="Y506" t="str">
            <v>051-20054953.2.0.3</v>
          </cell>
          <cell r="Z506" t="str">
            <v>051-2005495</v>
          </cell>
          <cell r="AA506" t="str">
            <v>3.2.0.3</v>
          </cell>
          <cell r="AB506" t="str">
            <v>Оснащение блоком камеры запуска очистного устройства Ду 1400, Ру 7,5 МПа внутрипромыслового газопровода третьей нитки УКПГ-1С – ЦДКС
ЗНГКМ</v>
          </cell>
        </row>
        <row r="507">
          <cell r="Y507" t="str">
            <v>051-20054953.2.0.4</v>
          </cell>
          <cell r="Z507" t="str">
            <v>051-2005495</v>
          </cell>
          <cell r="AA507" t="str">
            <v>3.2.0.4</v>
          </cell>
          <cell r="AB507" t="str">
            <v>Оснащение блоком камеры приема и блоком камеры  запуска очистного устройства Ду 200, Ру 7,5 МПа газопровода ЦДКС – ГРС I нитка, блоком камеры приема и блоком камеры запуска очистного устройства Ду 200, Ру 7,5 МПа газопровода ЦДКС – ГРС II нитка</v>
          </cell>
        </row>
        <row r="508">
          <cell r="Y508" t="str">
            <v>051-20054953.2.0.5</v>
          </cell>
          <cell r="Z508" t="str">
            <v>051-2005495</v>
          </cell>
          <cell r="AA508" t="str">
            <v>3.2.0.5</v>
          </cell>
          <cell r="AB508" t="str">
            <v>Оснащение блоком камеры приема и блоком камеры запуска очистного устройства Ду 700, Ру 7,5 МПа газопровода подключения УКПГ-1В ЗНГКМ</v>
          </cell>
        </row>
        <row r="509">
          <cell r="Y509" t="str">
            <v>051-20054953.2.0.6</v>
          </cell>
          <cell r="Z509" t="str">
            <v>051-2005495</v>
          </cell>
          <cell r="AA509" t="str">
            <v>3.2.0.6</v>
          </cell>
          <cell r="AB509" t="str">
            <v>Оснащение блоком камеры приема и блоком камеры запуска очистного устройства Ду 700, Ру 7,5 МПа газопровода подключения УКПГ-2В ЗНГКМ</v>
          </cell>
        </row>
        <row r="510">
          <cell r="Y510" t="str">
            <v>051-20054953.2.0.7</v>
          </cell>
          <cell r="Z510" t="str">
            <v>051-2005495</v>
          </cell>
          <cell r="AA510" t="str">
            <v>3.2.0.7</v>
          </cell>
          <cell r="AB510" t="str">
            <v>Оснащение блоком камеры приема и блоком камеры запуска очистного устройства Ду 1000, Ру 7,5 МПа газопровода-подключение УКПГ-3С (первая и вторая нитка) УКПГ-3С ЗНГКМ</v>
          </cell>
        </row>
        <row r="511">
          <cell r="Y511" t="str">
            <v>051-20056778.4.1.4</v>
          </cell>
          <cell r="Z511" t="str">
            <v>051-2005677</v>
          </cell>
          <cell r="AA511" t="str">
            <v>8.4.1.4</v>
          </cell>
          <cell r="AB511" t="str">
            <v>Реконструкция ДКС Ямсовейского НГКМ (2-я очередь) (разделение ДКС 2 очереди на 2 ступени)</v>
          </cell>
        </row>
        <row r="512">
          <cell r="Y512" t="str">
            <v>051-20056778.6.1.1</v>
          </cell>
          <cell r="Z512" t="str">
            <v>051-2005677</v>
          </cell>
          <cell r="AA512" t="str">
            <v>8.6.1.1</v>
          </cell>
          <cell r="AB512" t="str">
            <v>Реконструкция электростанции собственных нужд (ПАЭС-2500) на Промзоне Ямсовейского НГКМ</v>
          </cell>
        </row>
        <row r="513">
          <cell r="Y513" t="str">
            <v>051-200568511.4.1.1</v>
          </cell>
          <cell r="Z513" t="str">
            <v>051-2005685</v>
          </cell>
          <cell r="AA513" t="str">
            <v>11.4.1.1</v>
          </cell>
          <cell r="AB513" t="str">
            <v>Замена СПЧ</v>
          </cell>
        </row>
        <row r="514">
          <cell r="Y514" t="str">
            <v>051-200568611.5.1.1</v>
          </cell>
          <cell r="Z514" t="str">
            <v>051-2005686</v>
          </cell>
          <cell r="AA514" t="str">
            <v>11.5.1.1</v>
          </cell>
          <cell r="AB514" t="str">
            <v>Техническое перевооружение АСПС КЗ и ПТ, САУ</v>
          </cell>
        </row>
        <row r="515">
          <cell r="Y515" t="str">
            <v>051-2005689П.8.1.1</v>
          </cell>
          <cell r="Z515" t="str">
            <v>051-2005689</v>
          </cell>
          <cell r="AA515" t="str">
            <v>П.8.1.1</v>
          </cell>
          <cell r="AB515" t="str">
            <v>Реконструкция трубопровода склада ГСМ, реконструкция автоматизированной системы налива АСН-5М «Дельта», реконструкция резервуаров для хранения нефтепродуктов  РВС-400, РГС-25.</v>
          </cell>
        </row>
        <row r="516">
          <cell r="Y516" t="str">
            <v>051-20056903.8.0.1</v>
          </cell>
          <cell r="Z516" t="str">
            <v>051-2005690</v>
          </cell>
          <cell r="AA516" t="str">
            <v>3.8.0.1</v>
          </cell>
          <cell r="AB516" t="str">
            <v>Реконструкция электрохимзащиты (ЭХЗ) ЗПА-1, ЗПА-2 УКПГ-1С Заполярного НГКМ</v>
          </cell>
        </row>
        <row r="517">
          <cell r="Y517" t="str">
            <v>051-20056903.8.0.2</v>
          </cell>
          <cell r="Z517" t="str">
            <v>051-2005690</v>
          </cell>
          <cell r="AA517" t="str">
            <v>3.8.0.2</v>
          </cell>
          <cell r="AB517" t="str">
            <v>Реконструкция электрохимзащиты (ЭХЗ) ЗПА-1, ЗПА-2 УКПГ-2С Заполярного НГКМ</v>
          </cell>
        </row>
        <row r="518">
          <cell r="Y518" t="str">
            <v>051-20056903.8.0.3</v>
          </cell>
          <cell r="Z518" t="str">
            <v>051-2005690</v>
          </cell>
          <cell r="AA518" t="str">
            <v>3.8.0.3</v>
          </cell>
          <cell r="AB518" t="str">
            <v>Реконструкция электрохимзащиты (ЭХЗ) внутрипромыслового
метанолопровода, участок нефтебаза - УКПГ-1С Заполярного НГКМ</v>
          </cell>
        </row>
        <row r="519">
          <cell r="Y519" t="str">
            <v>051-20056903.8.0.4</v>
          </cell>
          <cell r="Z519" t="str">
            <v>051-2005690</v>
          </cell>
          <cell r="AA519" t="str">
            <v>3.8.0.4</v>
          </cell>
          <cell r="AB519" t="str">
            <v>Реконструкция системы электрохимзащиты (ЭХЗ) газопровода ЦДКС-ГРС
II нитка  Заполярного НГКМ</v>
          </cell>
        </row>
        <row r="520">
          <cell r="Y520" t="str">
            <v>051-20056903.8.0.5</v>
          </cell>
          <cell r="Z520" t="str">
            <v>051-2005690</v>
          </cell>
          <cell r="AA520" t="str">
            <v>3.8.0.5</v>
          </cell>
          <cell r="AB520" t="str">
            <v>Реконструкция системы электрохимзащиты (ЭХЗ) на кустах газовых
скважин УКПГ-1С №105; УКПГ-2С №202, №204, №206, №216 Заполярного НГКМ</v>
          </cell>
        </row>
        <row r="521">
          <cell r="Y521" t="str">
            <v>051-20056929.4.1.3</v>
          </cell>
          <cell r="Z521" t="str">
            <v>051-2005692</v>
          </cell>
          <cell r="AA521" t="str">
            <v>9.4.1.3</v>
          </cell>
          <cell r="AB521" t="str">
            <v>Техническое перевооружение газоперекачивающих агрегатов ст.№ 15 на ДКС (1 очередь) ГП-1 Бованенковского НГКМ (замена ГТУ-25НУ80.10 с двигателем ДУ80Л1 на ГТУ-25П с двигателем ПС-90ГП-25).(агр.6)</v>
          </cell>
        </row>
        <row r="522">
          <cell r="Y522" t="str">
            <v>051-20056943.4.1.1</v>
          </cell>
          <cell r="Z522" t="str">
            <v>051-2005694</v>
          </cell>
          <cell r="AA522" t="str">
            <v>3.4.1.1</v>
          </cell>
          <cell r="AB522" t="str">
            <v>Замена сменной проточной части газоперекачивающих агрегатов ДКС 1 очереди УКПГ-1С с увеличением степени сжатия.</v>
          </cell>
        </row>
        <row r="523">
          <cell r="Y523" t="str">
            <v>051-20056953.3.1.2</v>
          </cell>
          <cell r="Z523" t="str">
            <v>051-2005695</v>
          </cell>
          <cell r="AA523" t="str">
            <v>3.3.1.2</v>
          </cell>
          <cell r="AB523" t="str">
            <v>Реконструкция установок пожаротушения УКПГ-1С</v>
          </cell>
        </row>
        <row r="524">
          <cell r="Y524" t="str">
            <v>051-20056953.3.2.1(2)</v>
          </cell>
          <cell r="Z524" t="str">
            <v>051-2005695</v>
          </cell>
          <cell r="AA524" t="str">
            <v>3.3.2.1(2)</v>
          </cell>
          <cell r="AB524" t="str">
            <v>Реконструкция установок пожаротушения УКПГ-2С</v>
          </cell>
        </row>
        <row r="525">
          <cell r="Y525" t="str">
            <v>051-20056953.3.3.2</v>
          </cell>
          <cell r="Z525" t="str">
            <v>051-2005695</v>
          </cell>
          <cell r="AA525" t="str">
            <v>3.3.3.2</v>
          </cell>
          <cell r="AB525" t="str">
            <v>Реконструкция установок пожаротушения УКПГ-3С</v>
          </cell>
        </row>
        <row r="526">
          <cell r="Y526" t="str">
            <v>051-20056953.3.0.1</v>
          </cell>
          <cell r="Z526" t="str">
            <v>051-2005695</v>
          </cell>
          <cell r="AA526" t="str">
            <v>3.3.0.1</v>
          </cell>
          <cell r="AB526" t="str">
            <v>Реконструкция установок пожаротушения АГРС БК 2/70</v>
          </cell>
        </row>
        <row r="527">
          <cell r="Y527" t="str">
            <v>051-20056963.8.0.1(3)</v>
          </cell>
          <cell r="Z527" t="str">
            <v>051-2005696</v>
          </cell>
          <cell r="AA527" t="str">
            <v>3.8.0.1(3)</v>
          </cell>
          <cell r="AB527" t="str">
            <v>Реконструкция автоматизированной системы управления НБиБМ</v>
          </cell>
        </row>
        <row r="528">
          <cell r="Y528" t="str">
            <v>051-20056963.8.0.2(3)</v>
          </cell>
          <cell r="Z528" t="str">
            <v>051-2005696</v>
          </cell>
          <cell r="AA528" t="str">
            <v>3.8.0.2(3)</v>
          </cell>
          <cell r="AB528" t="str">
            <v>Реконструкция системы водоотведения и очистки производственных и ливневых сточных вод</v>
          </cell>
        </row>
        <row r="529">
          <cell r="Y529" t="str">
            <v>051-20056963.8.0.3(3)</v>
          </cell>
          <cell r="Z529" t="str">
            <v>051-2005696</v>
          </cell>
          <cell r="AA529" t="str">
            <v>3.8.0.3(3)</v>
          </cell>
          <cell r="AB529" t="str">
            <v>Техническое перевооружение контейнерных автоматических заправочных станций НБиБМ</v>
          </cell>
        </row>
        <row r="530">
          <cell r="Y530" t="str">
            <v>051-20056963.8.0.6(2)</v>
          </cell>
          <cell r="Z530" t="str">
            <v>051-2005696</v>
          </cell>
          <cell r="AA530" t="str">
            <v>3.8.0.6(2)</v>
          </cell>
          <cell r="AB530" t="str">
            <v>Благоустройство территории НБиБМ</v>
          </cell>
        </row>
        <row r="531">
          <cell r="Y531" t="str">
            <v>051-20056972.3.1В.14</v>
          </cell>
          <cell r="Z531" t="str">
            <v>051-2005697</v>
          </cell>
          <cell r="AA531" t="str">
            <v>2.3.1В.14</v>
          </cell>
          <cell r="AB531" t="str">
            <v>Реконструкция УЗПП УКПГ-1В Ямбургского НГКМ</v>
          </cell>
        </row>
        <row r="532">
          <cell r="Y532" t="str">
            <v>051-20056972.3.1В.15(2)</v>
          </cell>
          <cell r="Z532" t="str">
            <v>051-2005697</v>
          </cell>
          <cell r="AA532" t="str">
            <v>2.3.1В.15(2)</v>
          </cell>
          <cell r="AB532" t="str">
            <v>Разделение потоков промышленных и хозяйственно-бытовых сточных вод</v>
          </cell>
        </row>
        <row r="533">
          <cell r="Y533" t="str">
            <v>051-20056981.6.9.1</v>
          </cell>
          <cell r="Z533" t="str">
            <v>051-2005698</v>
          </cell>
          <cell r="AA533" t="str">
            <v>1.6.9.1</v>
          </cell>
          <cell r="AB533" t="str">
            <v>I этап (строительство 3-го энергомодуля)</v>
          </cell>
        </row>
        <row r="534">
          <cell r="Y534" t="str">
            <v>051-20056981.6.9.2</v>
          </cell>
          <cell r="Z534" t="str">
            <v>051-2005698</v>
          </cell>
          <cell r="AA534" t="str">
            <v>1.6.9.2</v>
          </cell>
          <cell r="AB534" t="str">
            <v>II этап (реконструкция 1-го энергомодуля)</v>
          </cell>
        </row>
        <row r="535">
          <cell r="Y535" t="str">
            <v>051-20056981.6.9.3</v>
          </cell>
          <cell r="Z535" t="str">
            <v>051-2005698</v>
          </cell>
          <cell r="AA535" t="str">
            <v>1.6.9.3</v>
          </cell>
          <cell r="AB535" t="str">
            <v>III этап (реконструкция 2-го энергомодуля)</v>
          </cell>
        </row>
        <row r="536">
          <cell r="Y536" t="str">
            <v>051-20056993.6.0.1</v>
          </cell>
          <cell r="Z536" t="str">
            <v>051-2005699</v>
          </cell>
          <cell r="AA536" t="str">
            <v>3.6.0.1</v>
          </cell>
          <cell r="AB536" t="str">
            <v>1- Реконструкция первой очереди:</v>
          </cell>
        </row>
        <row r="537">
          <cell r="Y537" t="str">
            <v>051-20056993.6.0.2</v>
          </cell>
          <cell r="Z537" t="str">
            <v>051-2005699</v>
          </cell>
          <cell r="AA537" t="str">
            <v>3.6.0.2</v>
          </cell>
          <cell r="AB537" t="str">
            <v>2 - Реконструкция второй очереди:</v>
          </cell>
        </row>
        <row r="538">
          <cell r="Y538" t="str">
            <v>051-20056993.6.0.3.25</v>
          </cell>
          <cell r="Z538" t="str">
            <v>051-2005699</v>
          </cell>
          <cell r="AA538" t="str">
            <v>3.6.0.3.25</v>
          </cell>
          <cell r="AB538" t="str">
            <v>3 - Технологическое присоединение к ВЛ 110 кВ от ПС 220/110/10 кВ "Ермак"</v>
          </cell>
        </row>
        <row r="539">
          <cell r="Y539" t="str">
            <v>051-200570019.3.1В.1</v>
          </cell>
          <cell r="Z539" t="str">
            <v>051-2005700</v>
          </cell>
          <cell r="AA539" t="str">
            <v>19.3.1В.1</v>
          </cell>
          <cell r="AB539" t="str">
            <v>Техническое перевооружение технологического трубопровода ВМР УКПГ-1В</v>
          </cell>
        </row>
        <row r="540">
          <cell r="Y540" t="str">
            <v>051-200570019.3.1В.4</v>
          </cell>
          <cell r="Z540" t="str">
            <v>051-2005700</v>
          </cell>
          <cell r="AA540" t="str">
            <v>19.3.1В.4</v>
          </cell>
          <cell r="AB540" t="str">
            <v>Техническое перевооружение СПЧ ТДА на УКПГ-1В</v>
          </cell>
        </row>
        <row r="541">
          <cell r="Y541" t="str">
            <v>051-200570019.3.1В.7</v>
          </cell>
          <cell r="Z541" t="str">
            <v>051-2005700</v>
          </cell>
          <cell r="AA541" t="str">
            <v>19.3.1В.7</v>
          </cell>
          <cell r="AB541" t="str">
            <v>Техническое перевооружение теплообменников 20Т-1 УКПГ-1В Заполярного НГКМ</v>
          </cell>
        </row>
        <row r="542">
          <cell r="Y542" t="str">
            <v>051-200570019.3.2В.1</v>
          </cell>
          <cell r="Z542" t="str">
            <v>051-2005700</v>
          </cell>
          <cell r="AA542" t="str">
            <v>19.3.2В.1</v>
          </cell>
          <cell r="AB542" t="str">
            <v>Техническое перевооружение технологического трубопровода ВМР УКПГ-2В</v>
          </cell>
        </row>
        <row r="543">
          <cell r="Y543" t="str">
            <v>051-200570019.3.2В.3</v>
          </cell>
          <cell r="Z543" t="str">
            <v>051-2005700</v>
          </cell>
          <cell r="AA543" t="str">
            <v>19.3.2В.3</v>
          </cell>
          <cell r="AB543" t="str">
            <v>Техническое перевооружение СПЧ ТДА на УКПГ-2В</v>
          </cell>
        </row>
        <row r="544">
          <cell r="Y544" t="str">
            <v>051-200570019.3.2В.6.24</v>
          </cell>
          <cell r="Z544" t="str">
            <v>051-2005700</v>
          </cell>
          <cell r="AA544" t="str">
            <v>19.3.2В.6.24</v>
          </cell>
          <cell r="AB544" t="str">
            <v>Техническое перевооружение теплообменников 20Т-1 УКПГ-2В Заполярного НГКМ</v>
          </cell>
        </row>
        <row r="545">
          <cell r="Y545" t="str">
            <v>051-20057016.4.0.1</v>
          </cell>
          <cell r="Z545" t="str">
            <v>051-2005701</v>
          </cell>
          <cell r="AA545" t="str">
            <v>6.4.0.1</v>
          </cell>
          <cell r="AB545" t="str">
            <v>Реконструкция ЦДКС Медвежьего НГКМ</v>
          </cell>
        </row>
        <row r="546">
          <cell r="Y546" t="str">
            <v>051-20057026.1.0.3</v>
          </cell>
          <cell r="Z546" t="str">
            <v>051-2005702</v>
          </cell>
          <cell r="AA546" t="str">
            <v>6.1.0.3</v>
          </cell>
          <cell r="AB546" t="str">
            <v>Установка насосов дозаторов жидких ПАВ  - 12 ед.</v>
          </cell>
        </row>
        <row r="547">
          <cell r="Y547" t="str">
            <v>051-20057026.1.0.4</v>
          </cell>
          <cell r="Z547" t="str">
            <v>051-2005702</v>
          </cell>
          <cell r="AA547" t="str">
            <v>6.1.0.4</v>
          </cell>
          <cell r="AB547" t="str">
            <v>Установка насосов дозаторов жидких ПАВ  - 12 ед.</v>
          </cell>
        </row>
        <row r="548">
          <cell r="Y548" t="str">
            <v>051-20057026.1.0.5</v>
          </cell>
          <cell r="Z548" t="str">
            <v>051-2005702</v>
          </cell>
          <cell r="AA548" t="str">
            <v>6.1.0.5</v>
          </cell>
          <cell r="AB548" t="str">
            <v>Установка насосов дозаторов жидких ПАВ  - 13 ед.</v>
          </cell>
        </row>
        <row r="549">
          <cell r="Y549" t="str">
            <v>051-20057036.2.0.1</v>
          </cell>
          <cell r="Z549" t="str">
            <v>051-2005703</v>
          </cell>
          <cell r="AA549" t="str">
            <v>6.2.0.1</v>
          </cell>
          <cell r="AB549" t="str">
            <v>Газопровод подключения МПК-3 к газосборным коллекторам ГП-8 Медвежьего НГКМ</v>
          </cell>
        </row>
        <row r="550">
          <cell r="Y550" t="str">
            <v>051-20057036.2.0.1.25</v>
          </cell>
          <cell r="Z550" t="str">
            <v>051-2005703</v>
          </cell>
          <cell r="AA550" t="str">
            <v>6.2.0.1.25</v>
          </cell>
          <cell r="AB550" t="str">
            <v>Газопровод подключения МПК-1,2 к газосборному коллектору от СП-7 до ГП-6 Медвежьего НГКМ</v>
          </cell>
        </row>
        <row r="551">
          <cell r="Y551" t="str">
            <v>051-20057036.2.0.2.25</v>
          </cell>
          <cell r="Z551" t="str">
            <v>051-2005703</v>
          </cell>
          <cell r="AA551" t="str">
            <v>6.2.0.2.25</v>
          </cell>
          <cell r="AB551" t="str">
            <v>Установка клапана-регулятора на МПК-2 Медвежьего НГКМ</v>
          </cell>
        </row>
        <row r="552">
          <cell r="Y552" t="str">
            <v>051-20057036.2.0.3.25</v>
          </cell>
          <cell r="Z552" t="str">
            <v>051-2005703</v>
          </cell>
          <cell r="AA552" t="str">
            <v>6.2.0.3.25</v>
          </cell>
          <cell r="AB552" t="str">
            <v>Газопроводы подключения МПК-1,2 к  газосборным сетям ГП-3, 4, 6 Медвежьего НГКМ</v>
          </cell>
        </row>
        <row r="553">
          <cell r="Y553" t="str">
            <v>051-20057036.2.0.4.25</v>
          </cell>
          <cell r="Z553" t="str">
            <v>051-2005703</v>
          </cell>
          <cell r="AA553" t="str">
            <v>6.2.0.4.25</v>
          </cell>
          <cell r="AB553" t="str">
            <v>Отключение МПК-3 от МПК-1, 2 Медвежьего НГКМ</v>
          </cell>
        </row>
        <row r="554">
          <cell r="Y554" t="str">
            <v>051-20057069.6.1.1</v>
          </cell>
          <cell r="Z554" t="str">
            <v>051-2005706</v>
          </cell>
          <cell r="AA554" t="str">
            <v>9.6.1.1</v>
          </cell>
          <cell r="AB554" t="str">
            <v>Модернизация системы водоподготовки котельной "Сермет" на промбазе ГП-1 Бованековского НГКМ</v>
          </cell>
        </row>
        <row r="555">
          <cell r="Y555" t="str">
            <v>051-20057088.2.0.1</v>
          </cell>
          <cell r="Z555" t="str">
            <v>051-2005708</v>
          </cell>
          <cell r="AA555" t="str">
            <v>8.2.0.1</v>
          </cell>
          <cell r="AB555" t="str">
            <v>Крановый узел №1 газосборной сети Ямсовейского НГКМ</v>
          </cell>
        </row>
        <row r="556">
          <cell r="Y556" t="str">
            <v>051-20057088.2.0.1(2)</v>
          </cell>
          <cell r="Z556" t="str">
            <v>051-2005708</v>
          </cell>
          <cell r="AA556" t="str">
            <v>8.2.0.1(2)</v>
          </cell>
          <cell r="AB556" t="str">
            <v>Крановый узел №2 газосборной сети Ямсовейского НГКМ</v>
          </cell>
        </row>
        <row r="557">
          <cell r="Y557" t="str">
            <v>051-20057088.2.0.1(3)</v>
          </cell>
          <cell r="Z557" t="str">
            <v>051-2005708</v>
          </cell>
          <cell r="AA557" t="str">
            <v>8.2.0.1(3)</v>
          </cell>
          <cell r="AB557" t="str">
            <v>Крановый узел №3 газосборной сети Ямсовейского НГКМ</v>
          </cell>
        </row>
        <row r="558">
          <cell r="Y558" t="str">
            <v>051-20057088.2.0.1(4)</v>
          </cell>
          <cell r="Z558" t="str">
            <v>051-2005708</v>
          </cell>
          <cell r="AA558" t="str">
            <v>8.2.0.1(4)</v>
          </cell>
          <cell r="AB558" t="str">
            <v>Крановый узел №8 газосборной сети Ямсовейского НГКМ</v>
          </cell>
        </row>
        <row r="559">
          <cell r="Y559" t="str">
            <v>051-20057088.2.0.2.24</v>
          </cell>
          <cell r="Z559" t="str">
            <v>051-2005708</v>
          </cell>
          <cell r="AA559" t="str">
            <v>8.2.0.2.24</v>
          </cell>
          <cell r="AB559" t="str">
            <v>Крановый узел №4 газосборной сети Ямсовейского НГКМ</v>
          </cell>
        </row>
        <row r="560">
          <cell r="Y560" t="str">
            <v>051-20057088.2.0.2.24(2)</v>
          </cell>
          <cell r="Z560" t="str">
            <v>051-2005708</v>
          </cell>
          <cell r="AA560" t="str">
            <v>8.2.0.2.24(2)</v>
          </cell>
          <cell r="AB560" t="str">
            <v>Крановый узел №5 газосборной сети Ямсовейского НГКМ</v>
          </cell>
        </row>
        <row r="561">
          <cell r="Y561" t="str">
            <v>051-20057088.2.0.2.24(3)</v>
          </cell>
          <cell r="Z561" t="str">
            <v>051-2005708</v>
          </cell>
          <cell r="AA561" t="str">
            <v>8.2.0.2.24(3)</v>
          </cell>
          <cell r="AB561" t="str">
            <v>Крановый узел №6 газосборной сети Ямсовейского НГКМ</v>
          </cell>
        </row>
        <row r="562">
          <cell r="Y562" t="str">
            <v>051-20057088.2.0.2.24(4)</v>
          </cell>
          <cell r="Z562" t="str">
            <v>051-2005708</v>
          </cell>
          <cell r="AA562" t="str">
            <v>8.2.0.2.24(4)</v>
          </cell>
          <cell r="AB562" t="str">
            <v>Крановый узел №7 газосборной сети Ямсовейского НГКМ</v>
          </cell>
        </row>
        <row r="563">
          <cell r="Y563" t="str">
            <v>051-200571515.1.0.13</v>
          </cell>
          <cell r="Z563" t="str">
            <v>051-2005715</v>
          </cell>
          <cell r="AA563" t="str">
            <v>15.1.0.13</v>
          </cell>
          <cell r="AB563" t="str">
            <v>Техперевооружение обвязки устьев скважин</v>
          </cell>
        </row>
        <row r="564">
          <cell r="Y564" t="str">
            <v>051-200571515.1.0.5.23</v>
          </cell>
          <cell r="Z564" t="str">
            <v>051-2005715</v>
          </cell>
          <cell r="AA564" t="str">
            <v>15.1.0.5.23</v>
          </cell>
          <cell r="AB564" t="str">
            <v>Техперевооружение обвязки устьев скважин</v>
          </cell>
        </row>
        <row r="565">
          <cell r="Y565" t="str">
            <v>051-20058532.3.1В.15(3)</v>
          </cell>
          <cell r="Z565" t="str">
            <v>051-2005853</v>
          </cell>
          <cell r="AA565" t="str">
            <v>2.3.1В.15(3)</v>
          </cell>
          <cell r="AB565" t="str">
            <v>Реконструкция УПМТ-1 УКПГ-1В Ямбургского НГКМ</v>
          </cell>
        </row>
        <row r="566">
          <cell r="Y566" t="str">
            <v>051-20058532.3.1В.16.25</v>
          </cell>
          <cell r="Z566" t="str">
            <v>051-2005853</v>
          </cell>
          <cell r="AA566" t="str">
            <v>2.3.1В.16.25</v>
          </cell>
          <cell r="AB566" t="str">
            <v>Защитное сооружение гражданской обороны</v>
          </cell>
        </row>
        <row r="567">
          <cell r="Y567" t="str">
            <v>051-20059775.1.0.8.2</v>
          </cell>
          <cell r="Z567" t="str">
            <v>051-2005977</v>
          </cell>
          <cell r="AA567" t="str">
            <v>5.1.0.8.2</v>
          </cell>
          <cell r="AB567" t="str">
            <v>Замена НКТ в эксплуатационных скважинах УКПГ-1А, 1-16. УКПГ-1АВ, 2В, 5В, 8В, 11В. (в т.ч. при КРС).</v>
          </cell>
        </row>
        <row r="568">
          <cell r="Y568" t="str">
            <v>051-20059775.1.0.8.3</v>
          </cell>
          <cell r="Z568" t="str">
            <v>051-2005977</v>
          </cell>
          <cell r="AA568" t="str">
            <v>5.1.0.8.3</v>
          </cell>
          <cell r="AB568" t="str">
            <v>Замена НКТ в эксплуатационных скважинах УКПГ-1А, 1-16. УКПГ-1АВ, 2В, 5В, 8В, 11В. (в т.ч. при КРС).</v>
          </cell>
        </row>
        <row r="569">
          <cell r="Y569" t="str">
            <v>051-20059775.1.0.8.4</v>
          </cell>
          <cell r="Z569" t="str">
            <v>051-2005977</v>
          </cell>
          <cell r="AA569" t="str">
            <v>5.1.0.8.4</v>
          </cell>
          <cell r="AB569" t="str">
            <v>Замена НКТ в эксплуатационных скважинах УКПГ-1А, 1-16. УКПГ-1АВ, 2В, 5В, 8В, 11В. (в т.ч. при КРС).</v>
          </cell>
        </row>
        <row r="570">
          <cell r="Y570" t="str">
            <v>051-20059775.1.0.8.5</v>
          </cell>
          <cell r="Z570" t="str">
            <v>051-2005977</v>
          </cell>
          <cell r="AA570" t="str">
            <v>5.1.0.8.5</v>
          </cell>
          <cell r="AB570" t="str">
            <v>Замена НКТ в эксплуатационных скважинах УКПГ-1А, 1-16. УКПГ-1АВ, 2В, 5В, 8В, 11В. (в т.ч. при КРС).</v>
          </cell>
        </row>
        <row r="571">
          <cell r="Y571" t="str">
            <v>051-20059775.1.0.8.6</v>
          </cell>
          <cell r="Z571" t="str">
            <v>051-2005977</v>
          </cell>
          <cell r="AA571" t="str">
            <v>5.1.0.8.6</v>
          </cell>
          <cell r="AB571" t="str">
            <v>Замена НКТ в эксплуатационных скважинах УКПГ-1А, 1-16. УКПГ-1АВ, 2В, 5В, 8В, 11В. (в т.ч. при КРС).</v>
          </cell>
        </row>
        <row r="572">
          <cell r="Y572" t="str">
            <v>051-20059774.1.0.8.7</v>
          </cell>
          <cell r="Z572" t="str">
            <v>051-2005977</v>
          </cell>
          <cell r="AA572" t="str">
            <v>4.1.0.8.7</v>
          </cell>
          <cell r="AB572" t="str">
            <v>Замена НКТ в поглощающих скважинах УКПГ-1А, 1-16. (в т.ч. замена устьевого оборудования).</v>
          </cell>
        </row>
        <row r="573">
          <cell r="Y573" t="str">
            <v>051-20059774.1.0.8.8</v>
          </cell>
          <cell r="Z573" t="str">
            <v>051-2005977</v>
          </cell>
          <cell r="AA573" t="str">
            <v>4.1.0.8.8</v>
          </cell>
          <cell r="AB573" t="str">
            <v>Замена НКТ в поглощающих скважинах УКПГ-1А, 1-16. (в т.ч. замена устьевого оборудования).</v>
          </cell>
        </row>
        <row r="574">
          <cell r="Y574" t="str">
            <v>051-20059774.1.0.8.9</v>
          </cell>
          <cell r="Z574" t="str">
            <v>051-2005977</v>
          </cell>
          <cell r="AA574" t="str">
            <v>4.1.0.8.9</v>
          </cell>
          <cell r="AB574" t="str">
            <v>Замена НКТ в поглощающих скважинах УКПГ-1А, 1-16. (в т.ч. замена устьевого оборудования).</v>
          </cell>
        </row>
        <row r="575">
          <cell r="Y575" t="str">
            <v>051-20059775.1.0.8.8</v>
          </cell>
          <cell r="Z575" t="str">
            <v>051-2005977</v>
          </cell>
          <cell r="AA575" t="str">
            <v>5.1.0.8.8</v>
          </cell>
          <cell r="AB575" t="str">
            <v>Замена фонтанных арматур. УКПГ-1А, 1-16. УКПГ-1АВ, 2В, 5В, 8В, 11В. (в т.ч. при КРС).</v>
          </cell>
        </row>
        <row r="576">
          <cell r="Y576" t="str">
            <v>051-20059775.1.0.8.9</v>
          </cell>
          <cell r="Z576" t="str">
            <v>051-2005977</v>
          </cell>
          <cell r="AA576" t="str">
            <v>5.1.0.8.9</v>
          </cell>
          <cell r="AB576" t="str">
            <v>Замена фонтанных арматур. УКПГ-1А, 1-16. УКПГ-1АВ, 2В, 5В, 8В, 11В. (в т.ч. при КРС).</v>
          </cell>
        </row>
        <row r="577">
          <cell r="Y577" t="str">
            <v>051-20059775.1.0.8.10</v>
          </cell>
          <cell r="Z577" t="str">
            <v>051-2005977</v>
          </cell>
          <cell r="AA577" t="str">
            <v>5.1.0.8.10</v>
          </cell>
          <cell r="AB577" t="str">
            <v>Замена фонтанных арматур. УКПГ-1А, 1-16. УКПГ-1АВ, 2В, 5В, 8В, 11В. (в т.ч. при КРС).</v>
          </cell>
        </row>
        <row r="578">
          <cell r="Y578" t="str">
            <v>051-20059775.1.0.8.11</v>
          </cell>
          <cell r="Z578" t="str">
            <v>051-2005977</v>
          </cell>
          <cell r="AA578" t="str">
            <v>5.1.0.8.11</v>
          </cell>
          <cell r="AB578" t="str">
            <v>Замена фонтанных арматур. УКПГ-1А, 1-16. УКПГ-1АВ, 2В, 5В, 8В, 11В. (в т.ч. при КРС).</v>
          </cell>
        </row>
        <row r="579">
          <cell r="Y579" t="str">
            <v>051-20059775.1.0.8.12</v>
          </cell>
          <cell r="Z579" t="str">
            <v>051-2005977</v>
          </cell>
          <cell r="AA579" t="str">
            <v>5.1.0.8.12</v>
          </cell>
          <cell r="AB579" t="str">
            <v>Замена фонтанных арматур. УКПГ-1А, 1-16. УКПГ-1АВ, 2В, 5В, 8В, 11В. (в т.ч. при КРС).</v>
          </cell>
        </row>
        <row r="580">
          <cell r="Y580" t="str">
            <v>051-20059774.1.0.8.13</v>
          </cell>
          <cell r="Z580" t="str">
            <v>051-2005977</v>
          </cell>
          <cell r="AA580" t="str">
            <v>4.1.0.8.13</v>
          </cell>
          <cell r="AB580" t="str">
            <v>Оснащение оборудованием для КЛК скважин УКПГ-1А, 1-16 (в т.ч. замена устьевого оборудования).*</v>
          </cell>
        </row>
        <row r="581">
          <cell r="Y581" t="str">
            <v>051-20059774.1.0.8.14</v>
          </cell>
          <cell r="Z581" t="str">
            <v>051-2005977</v>
          </cell>
          <cell r="AA581" t="str">
            <v>4.1.0.8.14</v>
          </cell>
          <cell r="AB581" t="str">
            <v>Оснащение оборудованием для КЛК скважин УКПГ-1А, 1-16 (в т.ч. замена устьевого оборудования).*</v>
          </cell>
        </row>
        <row r="582">
          <cell r="Y582" t="str">
            <v>051-20059774.1.0.8.15</v>
          </cell>
          <cell r="Z582" t="str">
            <v>051-2005977</v>
          </cell>
          <cell r="AA582" t="str">
            <v>4.1.0.8.15</v>
          </cell>
          <cell r="AB582" t="str">
            <v>Перевод в наблюдательный фонд газовых и газоконденсатных скважин</v>
          </cell>
        </row>
        <row r="583">
          <cell r="Y583" t="str">
            <v>051-20059774.1.0.8.16</v>
          </cell>
          <cell r="Z583" t="str">
            <v>051-2005977</v>
          </cell>
          <cell r="AA583" t="str">
            <v>4.1.0.8.16</v>
          </cell>
          <cell r="AB583" t="str">
            <v>Перевод в наблюдательный фонд газовых и газоконденсатных скважин</v>
          </cell>
        </row>
        <row r="584">
          <cell r="Y584" t="str">
            <v>051-20059785.4.1АВ.3</v>
          </cell>
          <cell r="Z584" t="str">
            <v>051-2005978</v>
          </cell>
          <cell r="AA584" t="str">
            <v>5.4.1АВ.3</v>
          </cell>
          <cell r="AB584" t="str">
            <v>Замена СПЧ на ДКС (2 ст.) УКПГ-1АВ</v>
          </cell>
        </row>
        <row r="585">
          <cell r="Y585" t="str">
            <v>051-20059784.4.16.2</v>
          </cell>
          <cell r="Z585" t="str">
            <v>051-2005978</v>
          </cell>
          <cell r="AA585" t="str">
            <v>4.4.16.2</v>
          </cell>
          <cell r="AB585" t="str">
            <v>Замена СПЧ на ДКС (1 ст.) УКПГ-16</v>
          </cell>
        </row>
        <row r="586">
          <cell r="Y586" t="str">
            <v>051-20059785.4.2В.2</v>
          </cell>
          <cell r="Z586" t="str">
            <v>051-2005978</v>
          </cell>
          <cell r="AA586" t="str">
            <v>5.4.2В.2</v>
          </cell>
          <cell r="AB586" t="str">
            <v>Замена СПЧ на ДКС (1 ст.) УКПГ-2В</v>
          </cell>
        </row>
        <row r="587">
          <cell r="Y587" t="str">
            <v>051-20059785.4.8В.2</v>
          </cell>
          <cell r="Z587" t="str">
            <v>051-2005978</v>
          </cell>
          <cell r="AA587" t="str">
            <v>5.4.8В.2</v>
          </cell>
          <cell r="AB587" t="str">
            <v>Замена СПЧ на ДКС (1 ст.) УКПГ-8В</v>
          </cell>
        </row>
        <row r="588">
          <cell r="Y588" t="str">
            <v>051-20059784.4.2.2</v>
          </cell>
          <cell r="Z588" t="str">
            <v>051-2005978</v>
          </cell>
          <cell r="AA588" t="str">
            <v>4.4.2.2</v>
          </cell>
          <cell r="AB588" t="str">
            <v>Замена СПЧ на ДКС (2 ст.) УКПГ-2</v>
          </cell>
        </row>
        <row r="589">
          <cell r="Y589" t="str">
            <v>051-20059784.4.5.2</v>
          </cell>
          <cell r="Z589" t="str">
            <v>051-2005978</v>
          </cell>
          <cell r="AA589" t="str">
            <v>4.4.5.2</v>
          </cell>
          <cell r="AB589" t="str">
            <v>Замена СПЧ на ДКС (2 ст.) УКПГ-5</v>
          </cell>
        </row>
        <row r="590">
          <cell r="Y590" t="str">
            <v>051-20059784.4.8.2</v>
          </cell>
          <cell r="Z590" t="str">
            <v>051-2005978</v>
          </cell>
          <cell r="AA590" t="str">
            <v>4.4.8.2</v>
          </cell>
          <cell r="AB590" t="str">
            <v>Замена СПЧ на ДКС (2 ст.) УКПГ-8</v>
          </cell>
        </row>
        <row r="591">
          <cell r="Y591" t="str">
            <v>051-200598421.3.1.2</v>
          </cell>
          <cell r="Z591" t="str">
            <v>051-2005984</v>
          </cell>
          <cell r="AA591" t="str">
            <v>21.3.1.2</v>
          </cell>
          <cell r="AB591" t="str">
            <v>Рекострукция КОС</v>
          </cell>
        </row>
        <row r="592">
          <cell r="Y592" t="str">
            <v>051-200598421.3.1.3</v>
          </cell>
          <cell r="Z592" t="str">
            <v>051-2005984</v>
          </cell>
          <cell r="AA592" t="str">
            <v>21.3.1.3</v>
          </cell>
          <cell r="AB592" t="str">
            <v>Реконструкция системы коррозионного мониторинга</v>
          </cell>
        </row>
        <row r="593">
          <cell r="Y593" t="str">
            <v>051-200598421.3.1.4</v>
          </cell>
          <cell r="Z593" t="str">
            <v>051-2005984</v>
          </cell>
          <cell r="AA593" t="str">
            <v>21.3.1.4</v>
          </cell>
          <cell r="AB593" t="str">
            <v>Реконструкция межцеховых коммуникаций</v>
          </cell>
        </row>
        <row r="594">
          <cell r="Y594" t="str">
            <v>051-200598421.3.1.5</v>
          </cell>
          <cell r="Z594" t="str">
            <v>051-2005984</v>
          </cell>
          <cell r="AA594" t="str">
            <v>21.3.1.5</v>
          </cell>
          <cell r="AB594" t="str">
            <v>Реконструкция системы управления технологическими процессами. Установка радарных фазовых уровнемеров</v>
          </cell>
        </row>
        <row r="595">
          <cell r="Y595" t="str">
            <v>051-200598421.3.1.6</v>
          </cell>
          <cell r="Z595" t="str">
            <v>051-2005984</v>
          </cell>
          <cell r="AA595" t="str">
            <v>21.3.1.6</v>
          </cell>
          <cell r="AB595" t="str">
            <v>Реконструкция емкостного и насосного парка хранения (метанола и нигибитора коррозии) для приготовления РИК</v>
          </cell>
        </row>
        <row r="596">
          <cell r="Y596" t="str">
            <v>051-200598421.3.1.7</v>
          </cell>
          <cell r="Z596" t="str">
            <v>051-2005984</v>
          </cell>
          <cell r="AA596" t="str">
            <v>21.3.1.7</v>
          </cell>
          <cell r="AB596" t="str">
            <v>Реконструкция склада хранения аварийного запаса</v>
          </cell>
        </row>
        <row r="597">
          <cell r="Y597" t="str">
            <v>051-200598421.3.1.1.26</v>
          </cell>
          <cell r="Z597" t="str">
            <v>051-2005984</v>
          </cell>
          <cell r="AA597" t="str">
            <v>21.3.1.1.26</v>
          </cell>
          <cell r="AB597" t="str">
            <v>Рекострукция КОС</v>
          </cell>
        </row>
        <row r="598">
          <cell r="Y598" t="str">
            <v>051-20060213.5.0.1</v>
          </cell>
          <cell r="Z598" t="str">
            <v>051-2006021</v>
          </cell>
          <cell r="AA598" t="str">
            <v>3.5.0.1</v>
          </cell>
          <cell r="AB598" t="str">
            <v>Станция мобильная кислородоазотодобывающая контейнерная МКДС-100К ЗНГКМ</v>
          </cell>
        </row>
        <row r="599">
          <cell r="Y599" t="str">
            <v>051-20060213.5.0.2</v>
          </cell>
          <cell r="Z599" t="str">
            <v>051-2006021</v>
          </cell>
          <cell r="AA599" t="str">
            <v>3.5.0.2</v>
          </cell>
          <cell r="AB599" t="str">
            <v>Здание кислородонаполнительной кислородоазотодобывающей станции Заполярного НГКМ</v>
          </cell>
        </row>
        <row r="600">
          <cell r="Y600" t="str">
            <v>051-20060213.5.0.3</v>
          </cell>
          <cell r="Z600" t="str">
            <v>051-2006021</v>
          </cell>
          <cell r="AA600" t="str">
            <v>3.5.0.3</v>
          </cell>
          <cell r="AB600" t="str">
            <v>Здание для размещения криоаппаратов кислородоазотодобывающей станции Заполярного НГКМ</v>
          </cell>
        </row>
        <row r="601">
          <cell r="Y601" t="str">
            <v>051-20060221.6.1В.1</v>
          </cell>
          <cell r="Z601" t="str">
            <v>051-2006022</v>
          </cell>
          <cell r="AA601" t="str">
            <v>1.6.1В.1</v>
          </cell>
          <cell r="AB601" t="str">
            <v>Реконструкция электростанции ПАЭС-2500 УКПГ-1В  Ямбургского ГКМ</v>
          </cell>
        </row>
        <row r="602">
          <cell r="Y602" t="str">
            <v>051-20060221.6.1В.3</v>
          </cell>
          <cell r="Z602" t="str">
            <v>051-2006022</v>
          </cell>
          <cell r="AA602" t="str">
            <v>1.6.1В.3</v>
          </cell>
          <cell r="AB602" t="str">
            <v>Реконструкция передвижной электростанции ПАЭС-2500 УКПГ-1В Ямбургского ГКМ</v>
          </cell>
        </row>
        <row r="603">
          <cell r="Y603" t="str">
            <v>051-200617420.3.22.1</v>
          </cell>
          <cell r="Z603" t="str">
            <v>051-2006174</v>
          </cell>
          <cell r="AA603" t="str">
            <v>20.3.22.1</v>
          </cell>
          <cell r="AB603" t="str">
            <v>Реконструкция технологического оборудования для повышения производительности и эффективности работы оборудования технологических ниток. I Этап</v>
          </cell>
        </row>
        <row r="604">
          <cell r="Y604" t="str">
            <v>051-200617420.3.22.2</v>
          </cell>
          <cell r="Z604" t="str">
            <v>051-2006174</v>
          </cell>
          <cell r="AA604" t="str">
            <v>20.3.22.2</v>
          </cell>
          <cell r="AB604" t="str">
            <v>Реконструкция технологического оборудования для повышения производительности и эффективности работы оборудования технологических ниток. II Этап</v>
          </cell>
        </row>
        <row r="605">
          <cell r="Y605" t="str">
            <v>051-20061889.1.1.1</v>
          </cell>
          <cell r="Z605" t="str">
            <v>051-2006188</v>
          </cell>
          <cell r="AA605" t="str">
            <v>9.1.1.1</v>
          </cell>
          <cell r="AB605" t="str">
            <v>Техническое перевооружение скважины № 5600 ГП-1 (замена арматуры фонтанной, головки колонной, спуск лифтовой колонны)</v>
          </cell>
        </row>
        <row r="606">
          <cell r="Y606" t="str">
            <v>051-20061889.1.1.2</v>
          </cell>
          <cell r="Z606" t="str">
            <v>051-2006188</v>
          </cell>
          <cell r="AA606" t="str">
            <v>9.1.1.2</v>
          </cell>
          <cell r="AB606" t="str">
            <v>Техническое перевооружение скважины № 6100 ГП-2 (замена арматуры фонтанной, головки колонной, спуск лифтовой колонны)</v>
          </cell>
        </row>
        <row r="607">
          <cell r="Y607" t="str">
            <v>051-20061889.1.1.3</v>
          </cell>
          <cell r="Z607" t="str">
            <v>051-2006188</v>
          </cell>
          <cell r="AA607" t="str">
            <v>9.1.1.3</v>
          </cell>
          <cell r="AB607" t="str">
            <v>Техническое перевооружение скважины № 6400 ГП-1 (замена арматуры фонтанной, головки колонной, спуск лифтовой колонны)</v>
          </cell>
        </row>
        <row r="608">
          <cell r="Y608" t="str">
            <v>051-20061889.1.1.4</v>
          </cell>
          <cell r="Z608" t="str">
            <v>051-2006188</v>
          </cell>
          <cell r="AA608" t="str">
            <v>9.1.1.4</v>
          </cell>
          <cell r="AB608" t="str">
            <v>Техническое перевооружение скважины № 6800 ГП-1 (замена арматуры фонтанной, головки колонной, спуск лифтовой колонны)</v>
          </cell>
        </row>
        <row r="609">
          <cell r="Y609" t="str">
            <v>051-200627821.3.1.8</v>
          </cell>
          <cell r="Z609" t="str">
            <v>051-2006278</v>
          </cell>
          <cell r="AA609" t="str">
            <v>21.3.1.8</v>
          </cell>
          <cell r="AB609" t="str">
            <v>Реконструкция установки регенерации МЭГа</v>
          </cell>
        </row>
        <row r="610">
          <cell r="Y610" t="str">
            <v>051-200627821.3.1.9</v>
          </cell>
          <cell r="Z610" t="str">
            <v>051-2006278</v>
          </cell>
          <cell r="AA610" t="str">
            <v>21.3.1.9</v>
          </cell>
          <cell r="AB610" t="str">
            <v>Реконструкция системы пожаротушения  площадки управления подводно-добычного комплекса</v>
          </cell>
        </row>
        <row r="611">
          <cell r="Y611" t="str">
            <v>051-200627821.3.1.10</v>
          </cell>
          <cell r="Z611" t="str">
            <v>051-2006278</v>
          </cell>
          <cell r="AA611" t="str">
            <v>21.3.1.10</v>
          </cell>
          <cell r="AB611" t="str">
            <v>Реконструкция системы пожаротушения  площадки управления подводно-добычного комплекса</v>
          </cell>
        </row>
        <row r="612">
          <cell r="Y612" t="str">
            <v>051-200627821.3.1.11</v>
          </cell>
          <cell r="Z612" t="str">
            <v>051-2006278</v>
          </cell>
          <cell r="AA612" t="str">
            <v>21.3.1.11</v>
          </cell>
          <cell r="AB612" t="str">
            <v>Реконструкция системы управления технологическими процессами. Установка анализаторов ДНП</v>
          </cell>
        </row>
        <row r="613">
          <cell r="Y613" t="str">
            <v>051-200634023.1.1.2.23</v>
          </cell>
          <cell r="Z613" t="str">
            <v>051-2006340</v>
          </cell>
          <cell r="AA613" t="str">
            <v>23.1.1.2.23</v>
          </cell>
          <cell r="AB613" t="str">
            <v>Замена НКТ</v>
          </cell>
        </row>
        <row r="614">
          <cell r="Y614" t="str">
            <v>051-200634111.1.1.11.23</v>
          </cell>
          <cell r="Z614" t="str">
            <v>051-2006341</v>
          </cell>
          <cell r="AA614" t="str">
            <v>11.1.1.11.23</v>
          </cell>
          <cell r="AB614" t="str">
            <v>Замена НКТ</v>
          </cell>
        </row>
        <row r="615">
          <cell r="Y615" t="str">
            <v>051-200634111.1.1.12.23</v>
          </cell>
          <cell r="Z615" t="str">
            <v>051-2006341</v>
          </cell>
          <cell r="AA615" t="str">
            <v>11.1.1.12.23</v>
          </cell>
          <cell r="AB615" t="str">
            <v>Замена НКТ</v>
          </cell>
        </row>
        <row r="616">
          <cell r="Y616" t="str">
            <v>051-20063429.8.0.2.24</v>
          </cell>
          <cell r="Z616" t="str">
            <v>051-2006342</v>
          </cell>
          <cell r="AA616" t="str">
            <v>9.8.0.2.24</v>
          </cell>
          <cell r="AB616" t="str">
            <v>Комплекс термического обезвреживания отходов</v>
          </cell>
        </row>
        <row r="617">
          <cell r="Y617" t="str">
            <v>051-200634324.8.0.1.23</v>
          </cell>
          <cell r="Z617" t="str">
            <v>051-2006343</v>
          </cell>
          <cell r="AA617" t="str">
            <v>24.8.0.1.23</v>
          </cell>
          <cell r="AB617" t="str">
            <v>Система отвода биогаза.  Система сбора и отвода фильтрата. Система весового контроля. Радиометрический контроляь в общем комплексе автоматизированной системы весового контроля.   Автоматизированная система учета и передачи в государственную информационную систему учета. Система фотосъемки и (или) видеосъемки.</v>
          </cell>
        </row>
        <row r="618">
          <cell r="Y618" t="str">
            <v>051-200643726.2.3.1.24</v>
          </cell>
          <cell r="Z618" t="str">
            <v>051-2006437</v>
          </cell>
          <cell r="AA618" t="str">
            <v>26.2.3.1.24</v>
          </cell>
          <cell r="AB618" t="str">
            <v>Реконструкция объекта «Газопровод-шлейф от куста газовых скважин № 106 до опытной установки подготовки газа УПГ-102 Ковыктинского газоконденсатного месторождения».</v>
          </cell>
        </row>
        <row r="619">
          <cell r="Y619" t="str">
            <v>051-200643726.2.3.2.24</v>
          </cell>
          <cell r="Z619" t="str">
            <v>051-2006437</v>
          </cell>
          <cell r="AA619" t="str">
            <v>26.2.3.2.24</v>
          </cell>
          <cell r="AB619" t="str">
            <v>Реконструкция объекта «Газопровод-шлейф от куста газовых
скважин 201 Ковыктинского газоконденсатного месторождения».</v>
          </cell>
        </row>
        <row r="620">
          <cell r="Y620" t="str">
            <v>051-200643726.2.3.3.24</v>
          </cell>
          <cell r="Z620" t="str">
            <v>051-2006437</v>
          </cell>
          <cell r="AA620" t="str">
            <v>26.2.3.3.24</v>
          </cell>
          <cell r="AB620" t="str">
            <v>Реконструкцию объекта «Метанолопровод от куста газовых скважин № 106 до опытной установки подготовки газа УПГ-102 Ковыктинского газоконденсатного месторождения»</v>
          </cell>
        </row>
        <row r="621">
          <cell r="Y621" t="str">
            <v>051-200643726.2.3.4.24</v>
          </cell>
          <cell r="Z621" t="str">
            <v>051-2006437</v>
          </cell>
          <cell r="AA621" t="str">
            <v>26.2.3.4.24</v>
          </cell>
          <cell r="AB621" t="str">
            <v>Реконструкция объекта «Метанолопровод до куста газовых скважин 201 до точки врезки т.1 Метанолопровода от куста газовых скважин № 107 до точек врезки т.1 и т.2».</v>
          </cell>
        </row>
        <row r="622">
          <cell r="Y622" t="str">
            <v>051-200643726.8.3.6.24</v>
          </cell>
          <cell r="Z622" t="str">
            <v>051-2006437</v>
          </cell>
          <cell r="AA622" t="str">
            <v>26.8.3.6.24</v>
          </cell>
          <cell r="AB622" t="str">
            <v>Реконструкция автомобильной дороги «Подъезд от а/д Маг-Жигалово к промбазе «Нючакан», протяженностью 606 м, по адресу: Иркутская область, Жигаловский р-н, 70-й км автодороги Магистральный-Жигалово по направлению на север.</v>
          </cell>
        </row>
        <row r="623">
          <cell r="Y623" t="str">
            <v>051-200643726.2.3.7.24</v>
          </cell>
          <cell r="Z623" t="str">
            <v>051-2006437</v>
          </cell>
          <cell r="AA623" t="str">
            <v>26.2.3.7.24</v>
          </cell>
          <cell r="AB623" t="str">
            <v>Реконструкция объекта «Газопровод от куста № 101 до куста № 102».</v>
          </cell>
        </row>
        <row r="624">
          <cell r="Y624" t="str">
            <v>051-200643726.6.3.8.24</v>
          </cell>
          <cell r="Z624" t="str">
            <v>051-2006437</v>
          </cell>
          <cell r="AA624" t="str">
            <v>26.6.3.8.24</v>
          </cell>
          <cell r="AB624" t="str">
            <v>Реконструкция объекта «Линия электропередачи воздушная двухцепная ВЛ-10 кВ от ЭСН до БК2 Ковыктинского газоконденсатного месторождения».</v>
          </cell>
        </row>
        <row r="625">
          <cell r="Y625" t="str">
            <v>051-200643726.6.3.9.24</v>
          </cell>
          <cell r="Z625" t="str">
            <v>051-2006437</v>
          </cell>
          <cell r="AA625" t="str">
            <v>26.6.3.9.24</v>
          </cell>
          <cell r="AB625" t="str">
            <v>Реконструкция объекта "Сооружение - ВЛ-35 кВ электроснабжения промысловой базы Нючакан", "Волоконно-оптическая линия связи "База промысловая Нючакан-Куст-102-ПАЭС" (после ввода в эксплуатацию системы электроснабжения объектов "Временные здания и сооружения базы единого заказчика", предусмотренной в рамках проекта "Обустройство Ковыктинского ГКМ", от взаиморезервируемых ВЛ-10 кВ площадки водозабора в районе промбазы</v>
          </cell>
        </row>
        <row r="626">
          <cell r="Y626" t="str">
            <v>051-200643726.7.3.17.24</v>
          </cell>
          <cell r="Z626" t="str">
            <v>051-2006437</v>
          </cell>
          <cell r="AA626" t="str">
            <v>26.7.3.17.24</v>
          </cell>
          <cell r="AB626" t="str">
            <v>Реконструкция  системы промышленного телевидения УПГ-102</v>
          </cell>
        </row>
        <row r="627">
          <cell r="Y627" t="str">
            <v>051-200643726.7.3.18.24</v>
          </cell>
          <cell r="Z627" t="str">
            <v>051-2006437</v>
          </cell>
          <cell r="AA627" t="str">
            <v>26.7.3.18.24</v>
          </cell>
          <cell r="AB627" t="str">
            <v>Реконструкция системы фиксированной телефонной связи УПГ-102.</v>
          </cell>
        </row>
        <row r="628">
          <cell r="Y628" t="str">
            <v>051-200643726.7.3.19.24</v>
          </cell>
          <cell r="Z628" t="str">
            <v>051-2006437</v>
          </cell>
          <cell r="AA628" t="str">
            <v>26.7.3.19.24</v>
          </cell>
          <cell r="AB628" t="str">
            <v>Реконструкция реконструкцию системы подвижной радиосвязи УПГ-102.</v>
          </cell>
        </row>
        <row r="629">
          <cell r="Y629" t="str">
            <v>051-200643726.7.3.20.24</v>
          </cell>
          <cell r="Z629" t="str">
            <v>051-2006437</v>
          </cell>
          <cell r="AA629" t="str">
            <v>26.7.3.20.24</v>
          </cell>
          <cell r="AB629" t="str">
            <v>Реконструкция студии ВКС студию ВКС на УПГ-102</v>
          </cell>
        </row>
        <row r="630">
          <cell r="Y630" t="str">
            <v>051-200643726.7.3.21.24</v>
          </cell>
          <cell r="Z630" t="str">
            <v>051-2006437</v>
          </cell>
          <cell r="AA630" t="str">
            <v>26.7.3.21.24</v>
          </cell>
          <cell r="AB630" t="str">
            <v>Реконструкция сети передачи данных УПГ-102.</v>
          </cell>
        </row>
        <row r="631">
          <cell r="Y631" t="str">
            <v>051-200643726.8.3.22.24</v>
          </cell>
          <cell r="Z631" t="str">
            <v>051-2006437</v>
          </cell>
          <cell r="AA631" t="str">
            <v>26.8.3.22.24</v>
          </cell>
          <cell r="AB631" t="str">
            <v>Реконструкция системы электрохимической защиты от коррозии существующего подземного технологического оборудования и трубопроводов площадки УПГ-102 проектируемыми СКЗ</v>
          </cell>
        </row>
        <row r="632">
          <cell r="Y632" t="str">
            <v>051-200643921.3.1.13</v>
          </cell>
          <cell r="Z632" t="str">
            <v>051-2006439</v>
          </cell>
          <cell r="AA632" t="str">
            <v>21.3.1.13</v>
          </cell>
          <cell r="AB632" t="str">
            <v>Реконструкция цеха сепарации газа</v>
          </cell>
        </row>
        <row r="633">
          <cell r="Y633" t="str">
            <v>051-200643921.3.1.14</v>
          </cell>
          <cell r="Z633" t="str">
            <v>051-2006439</v>
          </cell>
          <cell r="AA633" t="str">
            <v>21.3.1.14</v>
          </cell>
          <cell r="AB633" t="str">
            <v>Реконструкция установки стабилизации конденсата</v>
          </cell>
        </row>
        <row r="634">
          <cell r="Y634" t="str">
            <v>051-200643921.3.1.15</v>
          </cell>
          <cell r="Z634" t="str">
            <v>051-2006439</v>
          </cell>
          <cell r="AA634" t="str">
            <v>21.3.1.15</v>
          </cell>
          <cell r="AB634" t="str">
            <v>Реконструкция установки регенерации МЭГа</v>
          </cell>
        </row>
        <row r="635">
          <cell r="Y635" t="str">
            <v>051-20064464.3.0.2.1</v>
          </cell>
          <cell r="Z635" t="str">
            <v>051-2006446</v>
          </cell>
          <cell r="AA635" t="str">
            <v>4.3.0.2.1</v>
          </cell>
          <cell r="AB635" t="str">
            <v>Комплексная реконструкция УКПГ. Перевод УКПГ в УППГ. УКПГ–13</v>
          </cell>
        </row>
        <row r="636">
          <cell r="Y636" t="str">
            <v>051-20064464.3.0.2.2</v>
          </cell>
          <cell r="Z636" t="str">
            <v>051-2006446</v>
          </cell>
          <cell r="AA636" t="str">
            <v>4.3.0.2.2</v>
          </cell>
          <cell r="AB636" t="str">
            <v>Комплексная реконструкция УКПГ. Перевод УКПГ в УППГ. УКПГ–11</v>
          </cell>
        </row>
        <row r="637">
          <cell r="Y637" t="str">
            <v>051-20064464.3.0.2.3</v>
          </cell>
          <cell r="Z637" t="str">
            <v>051-2006446</v>
          </cell>
          <cell r="AA637" t="str">
            <v>4.3.0.2.3</v>
          </cell>
          <cell r="AB637" t="str">
            <v>Комплексная реконструкция УКПГ. Перевод УКПГ в УППГ. УКПГ–15</v>
          </cell>
        </row>
        <row r="638">
          <cell r="Y638" t="str">
            <v>051-20064464.3.0.2.4</v>
          </cell>
          <cell r="Z638" t="str">
            <v>051-2006446</v>
          </cell>
          <cell r="AA638" t="str">
            <v>4.3.0.2.4</v>
          </cell>
          <cell r="AB638" t="str">
            <v>Комплексная реконструкция УКПГ. Перевод УКПГ в УППГ. УКПГ–6</v>
          </cell>
        </row>
        <row r="639">
          <cell r="Y639" t="str">
            <v>051-20064464.3.0.2.5</v>
          </cell>
          <cell r="Z639" t="str">
            <v>051-2006446</v>
          </cell>
          <cell r="AA639" t="str">
            <v>4.3.0.2.5</v>
          </cell>
          <cell r="AB639" t="str">
            <v>Комплексная реконструкция УКПГ. Перевод УКПГ в УППГ. УКПГ–8</v>
          </cell>
        </row>
        <row r="640">
          <cell r="Y640" t="str">
            <v>051-20064484.3.0.2.6.1</v>
          </cell>
          <cell r="Z640" t="str">
            <v>051-2006448</v>
          </cell>
          <cell r="AA640" t="str">
            <v>4.3.0.2.6.1</v>
          </cell>
          <cell r="AB640" t="str">
            <v>Реконструкция систем ЭХЗ ГП-4, 7, 12</v>
          </cell>
        </row>
        <row r="641">
          <cell r="Y641" t="str">
            <v>051-20064484.3.0.2.6.2</v>
          </cell>
          <cell r="Z641" t="str">
            <v>051-2006448</v>
          </cell>
          <cell r="AA641" t="str">
            <v>4.3.0.2.6.2</v>
          </cell>
          <cell r="AB641" t="str">
            <v>Оснащение систем ЭХЗ системами коррозионного мониторинга ГП-4, 7, 12</v>
          </cell>
        </row>
        <row r="642">
          <cell r="Y642" t="str">
            <v>051-20064484.3.0.2.7.1</v>
          </cell>
          <cell r="Z642" t="str">
            <v>051-2006448</v>
          </cell>
          <cell r="AA642" t="str">
            <v>4.3.0.2.7.1</v>
          </cell>
          <cell r="AB642" t="str">
            <v>Реконструкция систем ЭХЗ ГКП-1А, 2, 5</v>
          </cell>
        </row>
        <row r="643">
          <cell r="Y643" t="str">
            <v>051-20064484.3.0.2.7.2</v>
          </cell>
          <cell r="Z643" t="str">
            <v>051-2006448</v>
          </cell>
          <cell r="AA643" t="str">
            <v>4.3.0.2.7.2</v>
          </cell>
          <cell r="AB643" t="str">
            <v>Оснащение систем ЭХЗ системами коррозионного мониторинга ГКП-1А, 2, 5</v>
          </cell>
        </row>
        <row r="644">
          <cell r="Y644" t="str">
            <v>051-200644915.1.0.3.24</v>
          </cell>
          <cell r="Z644" t="str">
            <v>051-2006449</v>
          </cell>
          <cell r="AA644" t="str">
            <v>15.1.0.3.24</v>
          </cell>
          <cell r="AB644" t="str">
            <v>Замена НКТ и ПО, модернизация ФА</v>
          </cell>
        </row>
        <row r="645">
          <cell r="Y645" t="str">
            <v>051-200644915.1.0.3.25</v>
          </cell>
          <cell r="Z645" t="str">
            <v>051-2006449</v>
          </cell>
          <cell r="AA645" t="str">
            <v>15.1.0.3.25</v>
          </cell>
          <cell r="AB645" t="str">
            <v>Замена НКТ и ПО, модернизация ФА</v>
          </cell>
        </row>
        <row r="646">
          <cell r="Y646" t="str">
            <v>051-200644915.1.0.1.26</v>
          </cell>
          <cell r="Z646" t="str">
            <v>051-2006449</v>
          </cell>
          <cell r="AA646" t="str">
            <v>15.1.0.1.26</v>
          </cell>
          <cell r="AB646" t="str">
            <v>Замена НКТ и ПО, модернизация ФА</v>
          </cell>
        </row>
        <row r="647">
          <cell r="Y647" t="str">
            <v>051-200645015.1.0.3.23</v>
          </cell>
          <cell r="Z647" t="str">
            <v>051-2006450</v>
          </cell>
          <cell r="AA647" t="str">
            <v>15.1.0.3.23</v>
          </cell>
          <cell r="AB647" t="str">
            <v>Подключение скважин переведенных в эксплуатационный фонд</v>
          </cell>
        </row>
        <row r="648">
          <cell r="Y648" t="str">
            <v>051-200645115.3.10.1.23</v>
          </cell>
          <cell r="Z648" t="str">
            <v>051-2006451</v>
          </cell>
          <cell r="AA648" t="str">
            <v>15.3.10.1.23</v>
          </cell>
          <cell r="AB648" t="str">
            <v>Реконструкция системы перекачки жидких углеводородов на УКПГ-10 Оренбургского НГКМ</v>
          </cell>
        </row>
        <row r="649">
          <cell r="Y649" t="str">
            <v>051-200646525.8.0.1.23</v>
          </cell>
          <cell r="Z649" t="str">
            <v>051-2006465</v>
          </cell>
          <cell r="AA649" t="str">
            <v>25.8.0.1.23</v>
          </cell>
          <cell r="AB649" t="str">
            <v>Реконструкция сливной эстакады для приема нефтепродуктов автомобильным транспортом на базовый склада ГСМ, ДЭГа и метанола промбазы Харасавэйского ГКМ</v>
          </cell>
        </row>
        <row r="650">
          <cell r="Y650" t="str">
            <v>051-200650917.4.0.1.23</v>
          </cell>
          <cell r="Z650" t="str">
            <v>051-2006509</v>
          </cell>
          <cell r="AA650" t="str">
            <v>17.4.0.1.23</v>
          </cell>
          <cell r="AB650" t="str">
            <v>Модернизация сепарационного оборудования ДКС</v>
          </cell>
        </row>
        <row r="651">
          <cell r="Y651" t="str">
            <v>051-200651017.4.0.2.23</v>
          </cell>
          <cell r="Z651" t="str">
            <v>051-2006510</v>
          </cell>
          <cell r="AA651" t="str">
            <v>17.4.0.2.23</v>
          </cell>
          <cell r="AB651" t="str">
            <v>Реконструкция системы маслоснабжения ДКС-1</v>
          </cell>
        </row>
        <row r="652">
          <cell r="Y652" t="str">
            <v>051-200651017.4.0.3.23</v>
          </cell>
          <cell r="Z652" t="str">
            <v>051-2006510</v>
          </cell>
          <cell r="AA652" t="str">
            <v>17.4.0.3.23</v>
          </cell>
          <cell r="AB652" t="str">
            <v>Реконструкция системы маслоснабжения ДКС-2</v>
          </cell>
        </row>
        <row r="653">
          <cell r="Y653" t="str">
            <v>051-200651017.4.0.4.23</v>
          </cell>
          <cell r="Z653" t="str">
            <v>051-2006510</v>
          </cell>
          <cell r="AA653" t="str">
            <v>17.4.0.4.23</v>
          </cell>
          <cell r="AB653" t="str">
            <v>Реконструкция системы маслоснабжения ДКС-3</v>
          </cell>
        </row>
        <row r="654">
          <cell r="Y654" t="str">
            <v>051-20065139.4.1.1.23</v>
          </cell>
          <cell r="Z654" t="str">
            <v>051-2006513</v>
          </cell>
          <cell r="AA654" t="str">
            <v>9.4.1.1.23</v>
          </cell>
          <cell r="AB654" t="str">
            <v>Техническое перевооружение ГПА ДКС-2 ГП-1 Бованенковского НГКМ (замена СПЧ)</v>
          </cell>
        </row>
        <row r="655">
          <cell r="Y655" t="str">
            <v>051-20065139.4.1.1.26</v>
          </cell>
          <cell r="Z655" t="str">
            <v>051-2006513</v>
          </cell>
          <cell r="AA655" t="str">
            <v>9.4.1.1.26</v>
          </cell>
          <cell r="AB655" t="str">
            <v>Техническое перевооружение ГПА ДКС-2 ГП-2 Бованенковского НГКМ (замена СПЧ)</v>
          </cell>
        </row>
        <row r="656">
          <cell r="Y656" t="str">
            <v>051-20065139.4.1.2.26</v>
          </cell>
          <cell r="Z656" t="str">
            <v>051-2006513</v>
          </cell>
          <cell r="AA656" t="str">
            <v>9.4.1.2.26</v>
          </cell>
          <cell r="AB656" t="str">
            <v>Техническое перевооружение ГПА ДКС-2 ГП-2 Бованенковского НГКМ (замена СПЧ)</v>
          </cell>
        </row>
        <row r="657">
          <cell r="Y657" t="str">
            <v>051-20065139.4.1.2.23</v>
          </cell>
          <cell r="Z657" t="str">
            <v>051-2006513</v>
          </cell>
          <cell r="AA657" t="str">
            <v>9.4.1.2.23</v>
          </cell>
          <cell r="AB657" t="str">
            <v>Техническое перевооружение ГПА ДКС-3 ГП-1 Бованенковского НГКМ (замена СПЧ)</v>
          </cell>
        </row>
        <row r="658">
          <cell r="Y658" t="str">
            <v>051-20065139.4.2.1.23</v>
          </cell>
          <cell r="Z658" t="str">
            <v>051-2006513</v>
          </cell>
          <cell r="AA658" t="str">
            <v>9.4.2.1.23</v>
          </cell>
          <cell r="AB658" t="str">
            <v>Техническое перевооружение ГПА ДКС-3 (1 модуль) ГП-2 Бованенковского НГКМ (замена СПЧ)</v>
          </cell>
        </row>
        <row r="659">
          <cell r="Y659" t="str">
            <v>051-20065139.4.2.2.23</v>
          </cell>
          <cell r="Z659" t="str">
            <v>051-2006513</v>
          </cell>
          <cell r="AA659" t="str">
            <v>9.4.2.2.23</v>
          </cell>
          <cell r="AB659" t="str">
            <v>Техническое перевооружение ГПА ДКС-3 (2 модуль) ГП-2 Бованенковского НГКМ (замена СПЧ)</v>
          </cell>
        </row>
        <row r="660">
          <cell r="Y660" t="str">
            <v>051-200651411.1.0.1.23</v>
          </cell>
          <cell r="Z660" t="str">
            <v>051-2006514</v>
          </cell>
          <cell r="AA660" t="str">
            <v>11.1.0.1.23</v>
          </cell>
          <cell r="AB660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1">
          <cell r="Y661" t="str">
            <v>051-200651411.1.0.2.23</v>
          </cell>
          <cell r="Z661" t="str">
            <v>051-2006514</v>
          </cell>
          <cell r="AA661" t="str">
            <v>11.1.0.2.23</v>
          </cell>
          <cell r="AB661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2">
          <cell r="Y662" t="str">
            <v>051-200651411.1.0.3.23</v>
          </cell>
          <cell r="Z662" t="str">
            <v>051-2006514</v>
          </cell>
          <cell r="AA662" t="str">
            <v>11.1.0.3.23</v>
          </cell>
          <cell r="AB662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3">
          <cell r="Y663" t="str">
            <v>051-200651512.1.0.1.23</v>
          </cell>
          <cell r="Z663" t="str">
            <v>051-2006515</v>
          </cell>
          <cell r="AA663" t="str">
            <v>12.1.0.1.23</v>
          </cell>
          <cell r="AB663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4">
          <cell r="Y664" t="str">
            <v>051-200651512.1.0.2.23</v>
          </cell>
          <cell r="Z664" t="str">
            <v>051-2006515</v>
          </cell>
          <cell r="AA664" t="str">
            <v>12.1.0.2.23</v>
          </cell>
          <cell r="AB664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5">
          <cell r="Y665" t="str">
            <v>051-200651712.4.1.1.23</v>
          </cell>
          <cell r="Z665" t="str">
            <v>051-2006517</v>
          </cell>
          <cell r="AA665" t="str">
            <v>12.4.1.1.23</v>
          </cell>
          <cell r="AB665" t="str">
            <v>Установка 2 ед. многосекционных ЦБК (ТКА) малой производительности</v>
          </cell>
        </row>
        <row r="666">
          <cell r="Y666" t="str">
            <v>051-200651813.1.0.1.23</v>
          </cell>
          <cell r="Z666" t="str">
            <v>051-2006518</v>
          </cell>
          <cell r="AA666" t="str">
            <v>13.1.0.1.23</v>
          </cell>
          <cell r="AB666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7">
          <cell r="Y667" t="str">
            <v>051-200651813.1.0.2.23</v>
          </cell>
          <cell r="Z667" t="str">
            <v>051-2006518</v>
          </cell>
          <cell r="AA667" t="str">
            <v>13.1.0.2.23</v>
          </cell>
          <cell r="AB667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68">
          <cell r="Y668" t="str">
            <v>051-200651813.1.0.3.23</v>
          </cell>
          <cell r="Z668" t="str">
            <v>051-2006518</v>
          </cell>
          <cell r="AA668" t="str">
            <v>13.1.0.3.23</v>
          </cell>
          <cell r="AB668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КГС)).</v>
          </cell>
        </row>
        <row r="669">
          <cell r="Y669" t="str">
            <v>051-200651914.1.0.1.23</v>
          </cell>
          <cell r="Z669" t="str">
            <v>051-2006519</v>
          </cell>
          <cell r="AA669" t="str">
            <v>14.1.0.1.23</v>
          </cell>
          <cell r="AB669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70">
          <cell r="Y670" t="str">
            <v>051-200651914.1.0.2.23</v>
          </cell>
          <cell r="Z670" t="str">
            <v>051-2006519</v>
          </cell>
          <cell r="AA670" t="str">
            <v>14.1.0.2.23</v>
          </cell>
          <cell r="AB670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71">
          <cell r="Y671" t="str">
            <v>051-200651914.1.0.3.23</v>
          </cell>
          <cell r="Z671" t="str">
            <v>051-2006519</v>
          </cell>
          <cell r="AA671" t="str">
            <v>14.1.0.3.23</v>
          </cell>
          <cell r="AB671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КГС).</v>
          </cell>
        </row>
        <row r="672">
          <cell r="Y672" t="str">
            <v>051-200652123.1.0.1.23</v>
          </cell>
          <cell r="Z672" t="str">
            <v>051-2006521</v>
          </cell>
          <cell r="AA672" t="str">
            <v>23.1.0.1.23</v>
          </cell>
          <cell r="AB672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</v>
          </cell>
        </row>
        <row r="673">
          <cell r="Y673" t="str">
            <v>051-200652123.1.0.2.23</v>
          </cell>
          <cell r="Z673" t="str">
            <v>051-2006521</v>
          </cell>
          <cell r="AA673" t="str">
            <v>23.1.0.2.23</v>
          </cell>
          <cell r="AB673" t="str">
            <v>Блок ввода химических реагентов (жидкий ПАВ, ингибитор гидратообразования, игнибитор коррозии) на забой скважин кустов газовых скважин (с интеграцией в СТМ КГС)</v>
          </cell>
        </row>
        <row r="674">
          <cell r="Y674" t="str">
            <v>051-200652311.4.1.2.23</v>
          </cell>
          <cell r="Z674" t="str">
            <v>051-2006523</v>
          </cell>
          <cell r="AA674" t="str">
            <v>11.4.1.2.23</v>
          </cell>
          <cell r="AB674" t="str">
            <v>Межцеховое переподключение Цеха осушки газа с выхода 2 ступени комримирования на выход 3 ступени компримирования ДКС</v>
          </cell>
        </row>
        <row r="675">
          <cell r="Y675" t="str">
            <v>051-200652311.4.1.4.23</v>
          </cell>
          <cell r="Z675" t="str">
            <v>051-2006523</v>
          </cell>
          <cell r="AA675" t="str">
            <v>11.4.1.4.23</v>
          </cell>
          <cell r="AB675" t="str">
            <v>Организация системы сбора пластовой воды из перьевых врезок с электрообогревом их трубопроводов</v>
          </cell>
        </row>
        <row r="676">
          <cell r="Y676" t="str">
            <v>051-200652311.4.1.5.23</v>
          </cell>
          <cell r="Z676" t="str">
            <v>051-2006523</v>
          </cell>
          <cell r="AA676" t="str">
            <v>11.4.1.5.23</v>
          </cell>
          <cell r="AB676" t="str">
            <v>Реконструкция АВО газа 3 ступени компримирования</v>
          </cell>
        </row>
        <row r="677">
          <cell r="Y677" t="str">
            <v>051-200652311.4.1.6.23</v>
          </cell>
          <cell r="Z677" t="str">
            <v>051-2006523</v>
          </cell>
          <cell r="AA677" t="str">
            <v>11.4.1.6.23</v>
          </cell>
          <cell r="AB677" t="str">
            <v>Реконструкция ЦСГ</v>
          </cell>
        </row>
        <row r="678">
          <cell r="Y678" t="str">
            <v>051-200652422.1.3.2.25</v>
          </cell>
          <cell r="Z678" t="str">
            <v>051-2006524</v>
          </cell>
          <cell r="AA678" t="str">
            <v>22.1.3.2.25</v>
          </cell>
          <cell r="AB678" t="str">
            <v>Модернизация гидравлической системы управления МОС с целью обеспечения управления ПКО Ду100</v>
          </cell>
        </row>
        <row r="679">
          <cell r="Y679" t="str">
            <v>051-200652422.1.3.1.25</v>
          </cell>
          <cell r="Z679" t="str">
            <v>051-2006524</v>
          </cell>
          <cell r="AA679" t="str">
            <v>22.1.3.1.25</v>
          </cell>
          <cell r="AB679" t="str">
            <v>Техническое перевооружение блока подготовки газа АИП КГС № 115</v>
          </cell>
        </row>
        <row r="680">
          <cell r="Y680" t="str">
            <v>051-200652422.3.2.8.23</v>
          </cell>
          <cell r="Z680" t="str">
            <v>051-2006524</v>
          </cell>
          <cell r="AA680" t="str">
            <v>22.3.2.8.23</v>
          </cell>
          <cell r="AB680" t="str">
            <v>Модернизация закрытых распределительных устройств 10 кВ (ЗРУ 10 кВ), поз. ГП 62 УППГ-2</v>
          </cell>
        </row>
        <row r="681">
          <cell r="Y681" t="str">
            <v>051-200652422.3.3.10.23</v>
          </cell>
          <cell r="Z681" t="str">
            <v>051-2006524</v>
          </cell>
          <cell r="AA681" t="str">
            <v>22.3.3.10.23</v>
          </cell>
          <cell r="AB681" t="str">
            <v>Обеспечение применения ингибитора асфальтеносмолопарафиновых отложений в поток газового конденсата, загрязненного нефтью, в УСК УКПГ-3 (техническое перевооружение объекта "Расходный склад ингибитора коррозии в районе УКПГ-3")</v>
          </cell>
        </row>
        <row r="682">
          <cell r="Y682" t="str">
            <v>051-200652422.3.3.18.23</v>
          </cell>
          <cell r="Z682" t="str">
            <v>051-2006524</v>
          </cell>
          <cell r="AA682" t="str">
            <v>22.3.3.18.23</v>
          </cell>
          <cell r="AB682" t="str">
            <v>Модернизация технологической схемы УСК УКПГ-3 и УППГ-2 для обеспечения предварительного подогрева нестабильного газового конденсата, загрязненного нефтью, перед подачей в блок буферной емкости 30Е-1 и в продуктопровод внутрипромысловый УППГ-2 – УКПГ-3</v>
          </cell>
        </row>
        <row r="683">
          <cell r="Y683" t="str">
            <v>051-200652422.3.3.1.25</v>
          </cell>
          <cell r="Z683" t="str">
            <v>051-2006524</v>
          </cell>
          <cell r="AA683" t="str">
            <v>22.3.3.1.25</v>
          </cell>
          <cell r="AB683" t="str">
            <v>Монтаж дополнительного емкостного оборудования для хранения КГН 150 м3</v>
          </cell>
        </row>
        <row r="684">
          <cell r="Y684" t="str">
            <v>051-20065709.6.2.1.23</v>
          </cell>
          <cell r="Z684" t="str">
            <v>051-2006570</v>
          </cell>
          <cell r="AA684" t="str">
            <v>9.6.2.1.23</v>
          </cell>
          <cell r="AB684" t="str">
            <v>Реконструкция и техническое перевооружение Энергомодуля №1 (замена ГТД ЭСН)</v>
          </cell>
        </row>
        <row r="685">
          <cell r="Y685" t="str">
            <v>051-20065719.8.1.1.23</v>
          </cell>
          <cell r="Z685" t="str">
            <v>051-2006571</v>
          </cell>
          <cell r="AA685" t="str">
            <v>9.8.1.1.23</v>
          </cell>
          <cell r="AB685" t="str">
            <v>Техническое перевооружение оборудования резервуарного парка расходного склада ГСМ промбазы ГП-1 Бованенковского НГКМ</v>
          </cell>
        </row>
        <row r="686">
          <cell r="Y686" t="str">
            <v>051-20065723.4.2.1</v>
          </cell>
          <cell r="Z686" t="str">
            <v>051-2006572</v>
          </cell>
          <cell r="AA686" t="str">
            <v>3.4.2.1</v>
          </cell>
          <cell r="AB686" t="str">
            <v>Замена сменной проточной части газоперекачивающих агрегатов ДКС УКПГ-2С с увеличением степени сжатия.</v>
          </cell>
        </row>
        <row r="687">
          <cell r="Y687" t="str">
            <v>051-20065723.4.3.1</v>
          </cell>
          <cell r="Z687" t="str">
            <v>051-2006572</v>
          </cell>
          <cell r="AA687" t="str">
            <v>3.4.3.1</v>
          </cell>
          <cell r="AB687" t="str">
            <v>Замена сменной проточной части газоперекачивающих агрегатов ДКС УКПГ-3С с увеличением степени сжатия.</v>
          </cell>
        </row>
        <row r="688">
          <cell r="Y688" t="str">
            <v>051-20065731.1.1.3.25</v>
          </cell>
          <cell r="Z688" t="str">
            <v>051-2006573</v>
          </cell>
          <cell r="AA688" t="str">
            <v>1.1.1.3.25</v>
          </cell>
          <cell r="AB688" t="str">
            <v>Техперевооружение газовых скважин 1014</v>
          </cell>
        </row>
        <row r="689">
          <cell r="Y689" t="str">
            <v>051-20065731.1.2.1.25</v>
          </cell>
          <cell r="Z689" t="str">
            <v>051-2006573</v>
          </cell>
          <cell r="AA689" t="str">
            <v>1.1.2.1.25</v>
          </cell>
          <cell r="AB689" t="str">
            <v>Техперевооружение газовых скважин 2124, 2145</v>
          </cell>
        </row>
        <row r="690">
          <cell r="Y690" t="str">
            <v>051-20065731.1.2.2.25</v>
          </cell>
          <cell r="Z690" t="str">
            <v>051-2006573</v>
          </cell>
          <cell r="AA690" t="str">
            <v>1.1.2.2.25</v>
          </cell>
          <cell r="AB690" t="str">
            <v>Техперевооружение газовых скважин 2082, 2147</v>
          </cell>
        </row>
        <row r="691">
          <cell r="Y691" t="str">
            <v>051-20065731.1.3.1.25</v>
          </cell>
          <cell r="Z691" t="str">
            <v>051-2006573</v>
          </cell>
          <cell r="AA691" t="str">
            <v>1.1.3.1.25</v>
          </cell>
          <cell r="AB691" t="str">
            <v>Техперевооружение газовых скважин 3168</v>
          </cell>
        </row>
        <row r="692">
          <cell r="Y692" t="str">
            <v>051-20065731.1.3.2.25</v>
          </cell>
          <cell r="Z692" t="str">
            <v>051-2006573</v>
          </cell>
          <cell r="AA692" t="str">
            <v>1.1.3.2.25</v>
          </cell>
          <cell r="AB692" t="str">
            <v>Техперевооружение газовых скважин 3055</v>
          </cell>
        </row>
        <row r="693">
          <cell r="Y693" t="str">
            <v>051-20065731.1.3.1.25(2)</v>
          </cell>
          <cell r="Z693" t="str">
            <v>051-2006573</v>
          </cell>
          <cell r="AA693" t="str">
            <v>1.1.3.1.25(2)</v>
          </cell>
          <cell r="AB693" t="str">
            <v>Техперевооружение газовых скважин 3021</v>
          </cell>
        </row>
        <row r="694">
          <cell r="Y694" t="str">
            <v>051-20065731.1.5.1.25</v>
          </cell>
          <cell r="Z694" t="str">
            <v>051-2006573</v>
          </cell>
          <cell r="AA694" t="str">
            <v>1.1.5.1.25</v>
          </cell>
          <cell r="AB694" t="str">
            <v>Техперевооружение газовых скважин 5091</v>
          </cell>
        </row>
        <row r="695">
          <cell r="Y695" t="str">
            <v>051-20065731.1.7.2.25</v>
          </cell>
          <cell r="Z695" t="str">
            <v>051-2006573</v>
          </cell>
          <cell r="AA695" t="str">
            <v>1.1.7.2.25</v>
          </cell>
          <cell r="AB695" t="str">
            <v>Техперевооружение газовых скважин 7146</v>
          </cell>
        </row>
        <row r="696">
          <cell r="Y696" t="str">
            <v>051-20065732.1.0.1.24</v>
          </cell>
          <cell r="Z696" t="str">
            <v>051-2006573</v>
          </cell>
          <cell r="AA696" t="str">
            <v>2.1.0.1.24</v>
          </cell>
          <cell r="AB696" t="str">
            <v>Техперевооружение газоконденсатных скважин 20704</v>
          </cell>
        </row>
        <row r="697">
          <cell r="Y697" t="str">
            <v>051-20065732.1.0.1.26</v>
          </cell>
          <cell r="Z697" t="str">
            <v>051-2006573</v>
          </cell>
          <cell r="AA697" t="str">
            <v>2.1.0.1.26</v>
          </cell>
          <cell r="AB697" t="str">
            <v>Техперевооружение газоконденсатных скважин 12602, 21405</v>
          </cell>
        </row>
        <row r="698">
          <cell r="Y698" t="str">
            <v>051-200658414.4.1.1.23</v>
          </cell>
          <cell r="Z698" t="str">
            <v>051-2006584</v>
          </cell>
          <cell r="AA698" t="str">
            <v>14.4.1.1.23</v>
          </cell>
          <cell r="AB698" t="str">
            <v>Замена СПЧ</v>
          </cell>
        </row>
        <row r="699">
          <cell r="Y699" t="str">
            <v>051-20065856.7.1.1.23</v>
          </cell>
          <cell r="Z699" t="str">
            <v>051-2006585</v>
          </cell>
          <cell r="AA699" t="str">
            <v>6.7.1.1.23</v>
          </cell>
          <cell r="AB699" t="str">
            <v>Техническое перевооружение сети УКВ-радиосвязи на газовых промыслах Надым-Пур-Тазовского региона</v>
          </cell>
        </row>
        <row r="700">
          <cell r="Y700" t="str">
            <v>051-20065866.7.1.2.23</v>
          </cell>
          <cell r="Z700" t="str">
            <v>051-2006586</v>
          </cell>
          <cell r="AA700" t="str">
            <v>6.7.1.2.23</v>
          </cell>
          <cell r="AB700" t="str">
            <v>Реконструкция сети оперативно-диспетчерской связи и оповещения ГОиЧС на газовых промыслах Надым-Пур-Тазовского региона</v>
          </cell>
        </row>
        <row r="701">
          <cell r="Y701" t="str">
            <v>051-200696222.1.3.25.24</v>
          </cell>
          <cell r="Z701" t="str">
            <v>051-2006962</v>
          </cell>
          <cell r="AA701" t="str">
            <v>22.1.3.25.24</v>
          </cell>
          <cell r="AB701" t="str">
            <v>Оснащение выкидных линий газодобывающих скважин надземным автоматическим клапаном-отсекателем в случае неработспособности подземного клапана-отсекателя</v>
          </cell>
        </row>
        <row r="702">
          <cell r="Y702" t="str">
            <v>051-200696222.3.3.19.24</v>
          </cell>
          <cell r="Z702" t="str">
            <v>051-2006962</v>
          </cell>
          <cell r="AA702" t="str">
            <v>22.3.3.19.24</v>
          </cell>
          <cell r="AB702" t="str">
            <v>Монтаж централизованной системы кондиционирования, защитных ограждений, вытяжных вентиляторов, фильтров очистки воздуха
УКПГ-3, УППГ-2</v>
          </cell>
        </row>
        <row r="703">
          <cell r="Y703" t="str">
            <v>051-200696222.3.3.23.24</v>
          </cell>
          <cell r="Z703" t="str">
            <v>051-2006962</v>
          </cell>
          <cell r="AA703" t="str">
            <v>22.3.3.23.24</v>
          </cell>
          <cell r="AB703" t="str">
            <v>Монтаж площадок обслуживания трубопроводной арматуры, стационарных газоанализаторов и приборов КИП
УКПГ-3, УППГ-2</v>
          </cell>
        </row>
        <row r="704">
          <cell r="Y704" t="str">
            <v>051-200696222.3.3.2.25</v>
          </cell>
          <cell r="Z704" t="str">
            <v>051-2006962</v>
          </cell>
          <cell r="AA704" t="str">
            <v>22.3.3.2.25</v>
          </cell>
          <cell r="AB704" t="str">
            <v>Оснащение трубопровода УРМ 101.3 расходомером для измерения объемного расхода кубовой воды, направляемой на утилизацию, с целью составления корректного баланса, поступающего ВМР и регенерированного метанола, а также учета добываемой воды со скважин Чаяндинского НГКМ.</v>
          </cell>
        </row>
        <row r="705">
          <cell r="Y705" t="str">
            <v>051-200696222.3.3.3.25</v>
          </cell>
          <cell r="Z705" t="str">
            <v>051-2006962</v>
          </cell>
          <cell r="AA705" t="str">
            <v>22.3.3.3.25</v>
          </cell>
          <cell r="AB705" t="str">
            <v>Монтаж ТПА Ду200 с обтюратором на технологической линии (подземного исполнения)  "Д/1" 219х7-09Г2С, Рр-0,07МПа, Т= минус 33 … плюс 40С, Установка дренажной емкости конденсата УСК,УКПГ-3, ЧНГКМ</v>
          </cell>
        </row>
        <row r="706">
          <cell r="Y706" t="str">
            <v>051-200696222.3.3.4.25</v>
          </cell>
          <cell r="Z706" t="str">
            <v>051-2006962</v>
          </cell>
          <cell r="AA706" t="str">
            <v>22.3.3.4.25</v>
          </cell>
          <cell r="AB706" t="str">
            <v>Нанесение теплоизоляционного покрытия TLN Ceramic на технологические трубопроводы в обвязке ГПА КСГС 171 поз.</v>
          </cell>
        </row>
        <row r="707">
          <cell r="Y707" t="str">
            <v>051-200696222.3.3.27.24</v>
          </cell>
          <cell r="Z707" t="str">
            <v>051-2006962</v>
          </cell>
          <cell r="AA707" t="str">
            <v>22.3.3.27.24</v>
          </cell>
          <cell r="AB707" t="str">
            <v>Монтаж точек отбора проб входных ниток (внутриплощадочные трубопроводы)</v>
          </cell>
        </row>
        <row r="708">
          <cell r="Y708" t="str">
            <v>051-200696222.3.3.29.24</v>
          </cell>
          <cell r="Z708" t="str">
            <v>051-2006962</v>
          </cell>
          <cell r="AA708" t="str">
            <v>22.3.3.29.24</v>
          </cell>
          <cell r="AB708" t="str">
            <v>Модернизация узла слива/налива метанола, монтаж каре с отводом розливов, герметичных точек подключения спецтранспорта и трубопровода подвода воды (поз. ГП №№ 19, 14)</v>
          </cell>
        </row>
        <row r="709">
          <cell r="Y709" t="str">
            <v>051-200696222.3.3.30.24</v>
          </cell>
          <cell r="Z709" t="str">
            <v>051-2006962</v>
          </cell>
          <cell r="AA709" t="str">
            <v>22.3.3.30.24</v>
          </cell>
          <cell r="AB709" t="str">
            <v>Монтаж трубопровода воды с электрообогревом (поз. ГП №№ 19, 14, 20)</v>
          </cell>
        </row>
        <row r="710">
          <cell r="Y710" t="str">
            <v>051-200696222.3.3.31.24</v>
          </cell>
          <cell r="Z710" t="str">
            <v>051-2006962</v>
          </cell>
          <cell r="AA710" t="str">
            <v>22.3.3.31.24</v>
          </cell>
          <cell r="AB710" t="str">
            <v>Оснащение установки подготовки газа узлами отбора проб жидкости УКПГ-3</v>
          </cell>
        </row>
        <row r="711">
          <cell r="Y711" t="str">
            <v>051-200696222.3.3.42.24</v>
          </cell>
          <cell r="Z711" t="str">
            <v>051-2006962</v>
          </cell>
          <cell r="AA711" t="str">
            <v>22.3.3.42.24</v>
          </cell>
          <cell r="AB711" t="str">
            <v>Модернизация системы подачи метанола на входных нитках и КГС на поз. ГП №№ 1, 4, 10 (монтаж доп. линии на входе и выходе подачи метанола с ЗА, монтаж фильтров на новой линии, монтаж линии от поз. ГП 4 до поз. ГП 10)</v>
          </cell>
        </row>
        <row r="712">
          <cell r="Y712" t="str">
            <v>051-200696222.3.3.43.24</v>
          </cell>
          <cell r="Z712" t="str">
            <v>051-2006962</v>
          </cell>
          <cell r="AA712" t="str">
            <v>22.3.3.43.24</v>
          </cell>
          <cell r="AB712" t="str">
            <v>Монтаж точек отбора проб входных ниток (внутриплощадочные трубопроводы)</v>
          </cell>
        </row>
        <row r="713">
          <cell r="Y713" t="str">
            <v>051-200696222.3.3.45.24</v>
          </cell>
          <cell r="Z713" t="str">
            <v>051-2006962</v>
          </cell>
          <cell r="AA713" t="str">
            <v>22.3.3.45.24</v>
          </cell>
          <cell r="AB713" t="str">
            <v>Оснащение установки подготовки газа узлами отбора проб по жидкости УППГ-2, УППГ-4</v>
          </cell>
        </row>
        <row r="714">
          <cell r="Y714" t="str">
            <v>051-200696222.3.3.49.24</v>
          </cell>
          <cell r="Z714" t="str">
            <v>051-2006962</v>
          </cell>
          <cell r="AA714" t="str">
            <v>22.3.3.49.24</v>
          </cell>
          <cell r="AB714" t="str">
            <v>Интеграция системы связи в систему мониторинга, дооснащение контроллером</v>
          </cell>
        </row>
        <row r="715">
          <cell r="Y715" t="str">
            <v>051-200696222.3.3.53.24</v>
          </cell>
          <cell r="Z715" t="str">
            <v>051-2006962</v>
          </cell>
          <cell r="AA715" t="str">
            <v>22.3.3.53.24</v>
          </cell>
          <cell r="AB715" t="str">
            <v>Замена насосного оборудования дренажной емкости 10Е-1 УППГ-2 и УППГ-4 с увеличением напорной характеристики</v>
          </cell>
        </row>
        <row r="716">
          <cell r="Y716" t="str">
            <v>051-200696222.3.3.5.25</v>
          </cell>
          <cell r="Z716" t="str">
            <v>051-2006962</v>
          </cell>
          <cell r="AA716" t="str">
            <v>22.3.3.5.25</v>
          </cell>
          <cell r="AB716" t="str">
            <v>Монтаж дополнительной дренажной линии для освобождения оборудования и трубопроводов метанола от кустов газовых скважин и входных шлейфов, блок-бокса арматурных узлов метанола в приемно-дренажную подземную емкость поз. ГП 7.</v>
          </cell>
        </row>
        <row r="717">
          <cell r="Y717" t="str">
            <v>051-200696222.3.3.55.24</v>
          </cell>
          <cell r="Z717" t="str">
            <v>051-2006962</v>
          </cell>
          <cell r="AA717" t="str">
            <v>22.3.3.55.24</v>
          </cell>
          <cell r="AB717" t="str">
            <v>Монтаж точек отбора (Гелиепровод)</v>
          </cell>
        </row>
        <row r="718">
          <cell r="Y718" t="str">
            <v>051-200696222.3.3.59.24</v>
          </cell>
          <cell r="Z718" t="str">
            <v>051-2006962</v>
          </cell>
          <cell r="AA718" t="str">
            <v>22.3.3.59.24</v>
          </cell>
          <cell r="AB718" t="str">
            <v>Установка расходомера трубопровода подачи газа с КЦ-2 ЦДКС на УМВГК (с интеграцией в АСУ ТП ЧНГКМ)</v>
          </cell>
        </row>
        <row r="719">
          <cell r="Y719" t="str">
            <v>051-200696222.3.3.6.25</v>
          </cell>
          <cell r="Z719" t="str">
            <v>051-2006962</v>
          </cell>
          <cell r="AA719" t="str">
            <v>22.3.3.6.25</v>
          </cell>
          <cell r="AB719" t="str">
            <v>Модернизация системы подачи метанола на входные нитки и КГС - монтаж линии Ду50 от блок-бокса насосной метанола до блок-бокса арматурных узлов (блок-боксы модернизированы)</v>
          </cell>
        </row>
        <row r="720">
          <cell r="Y720" t="str">
            <v>051-200696222.3.3.7.25</v>
          </cell>
          <cell r="Z720" t="str">
            <v>051-2006962</v>
          </cell>
          <cell r="AA720" t="str">
            <v>22.3.3.7.25</v>
          </cell>
          <cell r="AB720" t="str">
            <v>Монтаж линии возврата продукта из дренажной емкости 10Е-1 в аварийную 10Е-3</v>
          </cell>
        </row>
        <row r="721">
          <cell r="Y721" t="str">
            <v>051-200696222.3.3.8.26</v>
          </cell>
          <cell r="Z721" t="str">
            <v>051-2006962</v>
          </cell>
          <cell r="AA721" t="str">
            <v>22.3.3.8.26</v>
          </cell>
          <cell r="AB721" t="str">
            <v>Обеспечение транспортирования КГН и ВМР с УППГ-2 до буферной емкости 30Е-1 УСК УКПГ-3 после снижения пластового давления</v>
          </cell>
        </row>
        <row r="722">
          <cell r="Y722" t="str">
            <v>051-200696222.3.3.9.26</v>
          </cell>
          <cell r="Z722" t="str">
            <v>051-2006962</v>
          </cell>
          <cell r="AA722" t="str">
            <v>22.3.3.9.26</v>
          </cell>
          <cell r="AB722" t="str">
            <v>Обеспечение подачи газа передавливания в буферные емкости 30Е-1 УСК УКПГ-3</v>
          </cell>
        </row>
        <row r="723">
          <cell r="Y723" t="str">
            <v>051-200696222.3.3.10.26</v>
          </cell>
          <cell r="Z723" t="str">
            <v>051-2006962</v>
          </cell>
          <cell r="AA723" t="str">
            <v>22.3.3.10.26</v>
          </cell>
          <cell r="AB723" t="str">
            <v>Изменение системы сброса газа с ПСК БПГСН УКПГ-3 на аварийное освобождение</v>
          </cell>
        </row>
        <row r="724">
          <cell r="Y724" t="str">
            <v>051-200696222.3.3.11.26</v>
          </cell>
          <cell r="Z724" t="str">
            <v>051-2006962</v>
          </cell>
          <cell r="AA724" t="str">
            <v>22.3.3.11.26</v>
          </cell>
          <cell r="AB724" t="str">
            <v>Обеспечение транспортирования КГН и ВМР с УППГ-4 до буферной емкости 30Е-1 УСК УКПГ-3 после снижения пластового давления</v>
          </cell>
        </row>
        <row r="725">
          <cell r="Y725" t="str">
            <v>051-200696222.4.3.74.24</v>
          </cell>
          <cell r="Z725" t="str">
            <v>051-2006962</v>
          </cell>
          <cell r="AA725" t="str">
            <v>22.4.3.74.24</v>
          </cell>
          <cell r="AB725" t="str">
            <v>Замена расходомеров топливного газа ГПА № 11, 12, 13.</v>
          </cell>
        </row>
        <row r="726">
          <cell r="Y726" t="str">
            <v>051-200696222.4.3.9.25</v>
          </cell>
          <cell r="Z726" t="str">
            <v>051-2006962</v>
          </cell>
          <cell r="AA726" t="str">
            <v>22.4.3.9.25</v>
          </cell>
          <cell r="AB726" t="str">
            <v>Установка дополнительного обратного клапана ДУ1200 (перед краном №7) на площадке отключения арматуры КЦ-2 ЦДКС</v>
          </cell>
        </row>
        <row r="727">
          <cell r="Y727" t="str">
            <v>051-200696222.4.3.10.25</v>
          </cell>
          <cell r="Z727" t="str">
            <v>051-2006962</v>
          </cell>
          <cell r="AA727" t="str">
            <v>22.4.3.10.25</v>
          </cell>
          <cell r="AB727" t="str">
            <v>Перенос датчиков (на стойки, на тросовые подвесы) или монтаж площадок для обслуживания в местах, где нет доступа, на больших высотах.</v>
          </cell>
        </row>
        <row r="728">
          <cell r="Y728" t="str">
            <v>051-200696222.4.3.13.25</v>
          </cell>
          <cell r="Z728" t="str">
            <v>051-2006962</v>
          </cell>
          <cell r="AA728" t="str">
            <v>22.4.3.13.25</v>
          </cell>
          <cell r="AB728" t="str">
            <v>Установка тепловентиляторов в ангарные укрытия ГПА ЦДКС КЦ-1 и ГПА МКС 1-й и 2-й ступени</v>
          </cell>
        </row>
        <row r="729">
          <cell r="Y729" t="str">
            <v>051-200696222.4.3.14.25</v>
          </cell>
          <cell r="Z729" t="str">
            <v>051-2006962</v>
          </cell>
          <cell r="AA729" t="str">
            <v>22.4.3.14.25</v>
          </cell>
          <cell r="AB729" t="str">
            <v>Нанесение теплоизоляционного покрытия TLN Ceramic на технологические трубопроводы в обвязке ДКС УМВГК</v>
          </cell>
        </row>
        <row r="730">
          <cell r="Y730" t="str">
            <v>051-200696222.4.3.15.25</v>
          </cell>
          <cell r="Z730" t="str">
            <v>051-2006962</v>
          </cell>
          <cell r="AA730" t="str">
            <v>22.4.3.15.25</v>
          </cell>
          <cell r="AB730" t="str">
            <v>Техническое перевооружение площадок обслуживания и маршевых проходов, а также укрытий на узле подключения и узле замера газа на территории МКС УМВГК</v>
          </cell>
        </row>
        <row r="731">
          <cell r="Y731" t="str">
            <v>051-200696222.4.3.17.25</v>
          </cell>
          <cell r="Z731" t="str">
            <v>051-2006962</v>
          </cell>
          <cell r="AA731" t="str">
            <v>22.4.3.17.25</v>
          </cell>
          <cell r="AB731" t="str">
            <v>Замена снятых с производства программно-технических средств "Теконик" на программно-технические средства производства РФ</v>
          </cell>
        </row>
        <row r="732">
          <cell r="Y732" t="str">
            <v>051-200696222.4.3.18.25</v>
          </cell>
          <cell r="Z732" t="str">
            <v>051-2006962</v>
          </cell>
          <cell r="AA732" t="str">
            <v>22.4.3.18.25</v>
          </cell>
          <cell r="AB732" t="str">
            <v>Перенос стоек КИП на ГПА-61, 62, 63</v>
          </cell>
        </row>
        <row r="733">
          <cell r="Y733" t="str">
            <v>051-20069656.3.1.1.24</v>
          </cell>
          <cell r="Z733" t="str">
            <v>051-2006965</v>
          </cell>
          <cell r="AA733" t="str">
            <v>6.3.1.1.24</v>
          </cell>
          <cell r="AB733" t="str">
            <v>Монтаж системы обогрева технологических трубопроводов ГП-1</v>
          </cell>
        </row>
        <row r="734">
          <cell r="Y734" t="str">
            <v>051-20069656.3.3.1.24</v>
          </cell>
          <cell r="Z734" t="str">
            <v>051-2006965</v>
          </cell>
          <cell r="AA734" t="str">
            <v>6.3.3.1.24</v>
          </cell>
          <cell r="AB734" t="str">
            <v>Монтаж системы обогрева технологических трубопроводов ГП-3</v>
          </cell>
        </row>
        <row r="735">
          <cell r="Y735" t="str">
            <v>051-20069656.3.4.1.24</v>
          </cell>
          <cell r="Z735" t="str">
            <v>051-2006965</v>
          </cell>
          <cell r="AA735" t="str">
            <v>6.3.4.1.24</v>
          </cell>
          <cell r="AB735" t="str">
            <v>Монтаж системы обогрева технологических трубопроводов ГП-4</v>
          </cell>
        </row>
        <row r="736">
          <cell r="Y736" t="str">
            <v>051-20069656.3.6.1.24</v>
          </cell>
          <cell r="Z736" t="str">
            <v>051-2006965</v>
          </cell>
          <cell r="AA736" t="str">
            <v>6.3.6.1.24</v>
          </cell>
          <cell r="AB736" t="str">
            <v>Монтаж системы обогрева технологических трубопроводов ГП-6</v>
          </cell>
        </row>
        <row r="737">
          <cell r="Y737" t="str">
            <v>051-20069656.3.8.1.24</v>
          </cell>
          <cell r="Z737" t="str">
            <v>051-2006965</v>
          </cell>
          <cell r="AA737" t="str">
            <v>6.3.8.1.24</v>
          </cell>
          <cell r="AB737" t="str">
            <v>Монтаж системы обогрева технологических трубопроводов ГП-8</v>
          </cell>
        </row>
        <row r="738">
          <cell r="Y738" t="str">
            <v>051-20069656.3.9.1.24</v>
          </cell>
          <cell r="Z738" t="str">
            <v>051-2006965</v>
          </cell>
          <cell r="AA738" t="str">
            <v>6.3.9.1.24</v>
          </cell>
          <cell r="AB738" t="str">
            <v>Монтаж системы обогрева технологических трубопроводов ГП-9</v>
          </cell>
        </row>
        <row r="739">
          <cell r="Y739" t="str">
            <v>051-20069656.3.1.2.24</v>
          </cell>
          <cell r="Z739" t="str">
            <v>051-2006965</v>
          </cell>
          <cell r="AA739" t="str">
            <v>6.3.1.2.24</v>
          </cell>
          <cell r="AB739" t="str">
            <v>Система противоаварийной защиты УКПГ-1</v>
          </cell>
        </row>
        <row r="740">
          <cell r="Y740" t="str">
            <v>051-20069656.3.3.2.24</v>
          </cell>
          <cell r="Z740" t="str">
            <v>051-2006965</v>
          </cell>
          <cell r="AA740" t="str">
            <v>6.3.3.2.24</v>
          </cell>
          <cell r="AB740" t="str">
            <v>Система противоаварийной защиты УКПГ-3</v>
          </cell>
        </row>
        <row r="741">
          <cell r="Y741" t="str">
            <v>051-20069656.3.4.2.24</v>
          </cell>
          <cell r="Z741" t="str">
            <v>051-2006965</v>
          </cell>
          <cell r="AA741" t="str">
            <v>6.3.4.2.24</v>
          </cell>
          <cell r="AB741" t="str">
            <v>Система противоаварийной защиты УКПГ-4</v>
          </cell>
        </row>
        <row r="742">
          <cell r="Y742" t="str">
            <v>051-20069656.3.6.2.24</v>
          </cell>
          <cell r="Z742" t="str">
            <v>051-2006965</v>
          </cell>
          <cell r="AA742" t="str">
            <v>6.3.6.2.24</v>
          </cell>
          <cell r="AB742" t="str">
            <v>Система противоаварийной защиты УКПГ-6</v>
          </cell>
        </row>
        <row r="743">
          <cell r="Y743" t="str">
            <v>051-20069656.3.8.2.24</v>
          </cell>
          <cell r="Z743" t="str">
            <v>051-2006965</v>
          </cell>
          <cell r="AA743" t="str">
            <v>6.3.8.2.24</v>
          </cell>
          <cell r="AB743" t="str">
            <v>Система противоаврийной защиты УКПГ-8</v>
          </cell>
        </row>
        <row r="744">
          <cell r="Y744" t="str">
            <v>051-20069656.3.9.2.24</v>
          </cell>
          <cell r="Z744" t="str">
            <v>051-2006965</v>
          </cell>
          <cell r="AA744" t="str">
            <v>6.3.9.2.24</v>
          </cell>
          <cell r="AB744" t="str">
            <v>Система противоаврийной защиты УКПГ-9</v>
          </cell>
        </row>
        <row r="745">
          <cell r="Y745" t="str">
            <v>051-20069656.4.1.1.24</v>
          </cell>
          <cell r="Z745" t="str">
            <v>051-2006965</v>
          </cell>
          <cell r="AA745" t="str">
            <v>6.4.1.1.24</v>
          </cell>
          <cell r="AB745" t="str">
            <v>Система противоаварийной защиты ДКС-1</v>
          </cell>
        </row>
        <row r="746">
          <cell r="Y746" t="str">
            <v>051-20069656.4.3.1.24</v>
          </cell>
          <cell r="Z746" t="str">
            <v>051-2006965</v>
          </cell>
          <cell r="AA746" t="str">
            <v>6.4.3.1.24</v>
          </cell>
          <cell r="AB746" t="str">
            <v>Система противоаварийной защиты ДКС-3</v>
          </cell>
        </row>
        <row r="747">
          <cell r="Y747" t="str">
            <v>051-20069656.4.4.1.24</v>
          </cell>
          <cell r="Z747" t="str">
            <v>051-2006965</v>
          </cell>
          <cell r="AA747" t="str">
            <v>6.4.4.1.24</v>
          </cell>
          <cell r="AB747" t="str">
            <v>Система противоаварийной защиты ДКС-4</v>
          </cell>
        </row>
        <row r="748">
          <cell r="Y748" t="str">
            <v>051-20069656.4.6.1.24</v>
          </cell>
          <cell r="Z748" t="str">
            <v>051-2006965</v>
          </cell>
          <cell r="AA748" t="str">
            <v>6.4.6.1.24</v>
          </cell>
          <cell r="AB748" t="str">
            <v>Система противоаварийной защиты ДКС-6</v>
          </cell>
        </row>
        <row r="749">
          <cell r="Y749" t="str">
            <v>051-20069656.4.8.1.24</v>
          </cell>
          <cell r="Z749" t="str">
            <v>051-2006965</v>
          </cell>
          <cell r="AA749" t="str">
            <v>6.4.8.1.24</v>
          </cell>
          <cell r="AB749" t="str">
            <v>Система противоаварийной защиты ДКС-8</v>
          </cell>
        </row>
        <row r="750">
          <cell r="Y750" t="str">
            <v>051-20069656.4.9.1.24</v>
          </cell>
          <cell r="Z750" t="str">
            <v>051-2006965</v>
          </cell>
          <cell r="AA750" t="str">
            <v>6.4.9.1.24</v>
          </cell>
          <cell r="AB750" t="str">
            <v>Система противоаварийной защиты ДКС-9</v>
          </cell>
        </row>
        <row r="751">
          <cell r="Y751" t="str">
            <v>051-20069668.3.0.1.24</v>
          </cell>
          <cell r="Z751" t="str">
            <v>051-2006966</v>
          </cell>
          <cell r="AA751" t="str">
            <v>8.3.0.1.24</v>
          </cell>
          <cell r="AB751" t="str">
            <v>Система противоаварийной защиты УКПГ Ямсовейского НГКМ</v>
          </cell>
        </row>
        <row r="752">
          <cell r="Y752" t="str">
            <v>051-20069668.4.0.1.24</v>
          </cell>
          <cell r="Z752" t="str">
            <v>051-2006966</v>
          </cell>
          <cell r="AA752" t="str">
            <v>8.4.0.1.24</v>
          </cell>
          <cell r="AB752" t="str">
            <v>Система противоаварийной защиты ДКС Ямсовейского НГКМ</v>
          </cell>
        </row>
        <row r="753">
          <cell r="Y753" t="str">
            <v>051-20069679.8.0.1.24</v>
          </cell>
          <cell r="Z753" t="str">
            <v>051-2006967</v>
          </cell>
          <cell r="AA753" t="str">
            <v>9.8.0.1.24</v>
          </cell>
          <cell r="AB753" t="str">
            <v>Техническое перевооружение теплой стоянки на 50 машин базы АТП на промбазе ГП-1 Бованенковского НГКМ</v>
          </cell>
        </row>
        <row r="754">
          <cell r="Y754" t="str">
            <v>051-20069689.8.2.1.24</v>
          </cell>
          <cell r="Z754" t="str">
            <v>051-2006968</v>
          </cell>
          <cell r="AA754" t="str">
            <v>9.8.2.1.24</v>
          </cell>
          <cell r="AB754" t="str">
            <v>Комплекс инженерно-технических средств охраны ГП-2 Бованенковского НГКМ</v>
          </cell>
        </row>
        <row r="755">
          <cell r="Y755" t="str">
            <v>051-200709022.5.3.14.23</v>
          </cell>
          <cell r="Z755" t="str">
            <v>051-2007090</v>
          </cell>
          <cell r="AA755" t="str">
            <v>22.5.3.14.23</v>
          </cell>
          <cell r="AB755" t="str">
            <v>Техническое перевооружение СОИ СИКН № 1514</v>
          </cell>
        </row>
        <row r="756">
          <cell r="Y756" t="str">
            <v>051-200709022.5.3.3.25</v>
          </cell>
          <cell r="Z756" t="str">
            <v>051-2007090</v>
          </cell>
          <cell r="AA756" t="str">
            <v>22.5.3.3.25</v>
          </cell>
          <cell r="AB756" t="str">
            <v>Модернизация СОУ ПСП – НСП-11</v>
          </cell>
        </row>
        <row r="757">
          <cell r="Y757" t="str">
            <v>051-200709022.5.3.16.23</v>
          </cell>
          <cell r="Z757" t="str">
            <v>051-2007090</v>
          </cell>
          <cell r="AA757" t="str">
            <v>22.5.3.16.23</v>
          </cell>
          <cell r="AB757" t="str">
            <v>Техническое перевооружение видеонаблюдения ПСП «Чаяндинский»</v>
          </cell>
        </row>
        <row r="758">
          <cell r="Y758" t="str">
            <v>051-200709022.5.3.15.23</v>
          </cell>
          <cell r="Z758" t="str">
            <v>051-2007090</v>
          </cell>
          <cell r="AA758" t="str">
            <v>22.5.3.15.23</v>
          </cell>
          <cell r="AB758" t="str">
            <v>Оснащение трубопроводной арматуры ПСП «Чаяндинский» системой контроля разности давлений с целью обеспечения резервной схемы учета</v>
          </cell>
        </row>
        <row r="759">
          <cell r="Y759" t="str">
            <v>051-200709022.5.3.13.23</v>
          </cell>
          <cell r="Z759" t="str">
            <v>051-2007090</v>
          </cell>
          <cell r="AA759" t="str">
            <v>22.5.3.13.23</v>
          </cell>
          <cell r="AB759" t="str">
            <v>Техническое перевооружение высоковольтных частотных преобразователей в составе распределительного устройства 10 кВ здания насосной резервуарного парка ПСП (поз. ГП № 9)</v>
          </cell>
        </row>
        <row r="760">
          <cell r="Y760" t="str">
            <v>051-200709022.5.3.11.23</v>
          </cell>
          <cell r="Z760" t="str">
            <v>051-2007090</v>
          </cell>
          <cell r="AA760" t="str">
            <v>22.5.3.11.23</v>
          </cell>
          <cell r="AB760" t="str">
            <v>Техническое перевооружение закрытых распределительных устройств 10 кВ (ЗРУ 10 кВ), поз. ГП 68 с установкой устройства быстродействующего автоматического включения резерва 10 кВ (БАВР)</v>
          </cell>
        </row>
        <row r="761">
          <cell r="Y761" t="str">
            <v>051-200709022.5.3.1.25</v>
          </cell>
          <cell r="Z761" t="str">
            <v>051-2007090</v>
          </cell>
          <cell r="AA761" t="str">
            <v>22.5.3.1.25</v>
          </cell>
          <cell r="AB761" t="str">
            <v>Техническое перевооружение системы пробоотбора БИК СИКН на ПСП</v>
          </cell>
        </row>
        <row r="762">
          <cell r="Y762" t="str">
            <v>051-200709022.5.3.2.25</v>
          </cell>
          <cell r="Z762" t="str">
            <v>051-2007090</v>
          </cell>
          <cell r="AA762" t="str">
            <v>22.5.3.2.25</v>
          </cell>
          <cell r="AB762" t="str">
            <v>Техническое перевооружение СиСА АСУТП ПСП</v>
          </cell>
        </row>
        <row r="763">
          <cell r="Y763" t="str">
            <v>051-200709022.6.3.77.24</v>
          </cell>
          <cell r="Z763" t="str">
            <v>051-2007090</v>
          </cell>
          <cell r="AA763" t="str">
            <v>22.6.3.77.24</v>
          </cell>
          <cell r="AB763" t="str">
            <v>Техническое перевооружение системы электрообогрева ПСП</v>
          </cell>
        </row>
        <row r="764">
          <cell r="Y764" t="str">
            <v>051-200709022.6.3.12.23</v>
          </cell>
          <cell r="Z764" t="str">
            <v>051-2007090</v>
          </cell>
          <cell r="AA764" t="str">
            <v>22.6.3.12.23</v>
          </cell>
          <cell r="AB764" t="str">
            <v>Реконструкция противопожарного водоснабжения ПСП (поз. ГП 42)</v>
          </cell>
        </row>
        <row r="765">
          <cell r="Y765" t="str">
            <v>051-200709022.8.3.76.24</v>
          </cell>
          <cell r="Z765" t="str">
            <v>051-2007090</v>
          </cell>
          <cell r="AA765" t="str">
            <v>22.8.3.76.24</v>
          </cell>
          <cell r="AB765" t="str">
            <v>Доработка системы пожаротушения ПСП "Чаяндинский"</v>
          </cell>
        </row>
        <row r="766">
          <cell r="Y766" t="str">
            <v>051-200709022.8.3.16.23</v>
          </cell>
          <cell r="Z766" t="str">
            <v>051-2007090</v>
          </cell>
          <cell r="AA766" t="str">
            <v>22.8.3.16.23</v>
          </cell>
          <cell r="AB766" t="str">
            <v>Реконструкция системы контроля и управления доступом на ПСП «Чаяндинский»</v>
          </cell>
        </row>
        <row r="767">
          <cell r="Y767" t="str">
            <v>051-200709022.8.3.1.25</v>
          </cell>
          <cell r="Z767" t="str">
            <v>051-2007090</v>
          </cell>
          <cell r="AA767" t="str">
            <v>22.8.3.1.25</v>
          </cell>
          <cell r="AB767" t="str">
            <v>Дооснащение насосной резервуарного парка (поз. ГП № 9) для обеспечения поставки нефти в объеме до 3,705 млн. тонн в год</v>
          </cell>
        </row>
        <row r="768">
          <cell r="Y768" t="str">
            <v>051-200709022.8.3.17.25</v>
          </cell>
          <cell r="Z768" t="str">
            <v>051-2007090</v>
          </cell>
          <cell r="AA768" t="str">
            <v>22.8.3.17.25</v>
          </cell>
          <cell r="AB768" t="str">
            <v>Реконструкция резервуарного парка ПСП «Чаяндинский»</v>
          </cell>
        </row>
        <row r="769">
          <cell r="Y769" t="str">
            <v>051-200709022.8.3.18.25</v>
          </cell>
          <cell r="Z769" t="str">
            <v>051-2007090</v>
          </cell>
          <cell r="AA769" t="str">
            <v>22.8.3.18.25</v>
          </cell>
          <cell r="AB769" t="str">
            <v>Техническое перевооружение площадок обслуживания оборудования</v>
          </cell>
        </row>
        <row r="770">
          <cell r="Y770" t="str">
            <v>051-200709919.3.1В.1.25</v>
          </cell>
          <cell r="Z770" t="str">
            <v>051-2007099</v>
          </cell>
          <cell r="AA770" t="str">
            <v>19.3.1В.1.25</v>
          </cell>
          <cell r="AB770" t="str">
            <v>Система эжектирования газов выветривания и дегазации УКПГ-1В</v>
          </cell>
        </row>
        <row r="771">
          <cell r="Y771" t="str">
            <v>051-200709919.3.2В.1.25</v>
          </cell>
          <cell r="Z771" t="str">
            <v>051-2007099</v>
          </cell>
          <cell r="AA771" t="str">
            <v>19.3.2В.1.25</v>
          </cell>
          <cell r="AB771" t="str">
            <v>Система эжектирования газов выветривания и дегазации УКПГ-2В</v>
          </cell>
        </row>
        <row r="772">
          <cell r="Y772" t="str">
            <v>051-200710011.3.1.2.25</v>
          </cell>
          <cell r="Z772" t="str">
            <v>051-2007100</v>
          </cell>
          <cell r="AA772" t="str">
            <v>11.3.1.2.25</v>
          </cell>
          <cell r="AB772" t="str">
            <v>Устройство системы проитвопожарного водоснабжения</v>
          </cell>
        </row>
        <row r="773">
          <cell r="Y773" t="str">
            <v>051-200710011.8.1.1.25</v>
          </cell>
          <cell r="Z773" t="str">
            <v>051-2007100</v>
          </cell>
          <cell r="AA773" t="str">
            <v>11.8.1.1.25</v>
          </cell>
          <cell r="AB773" t="str">
            <v>Техническое перевооружение элементов конструкций зданий СЭРБ, ПЭБ</v>
          </cell>
        </row>
        <row r="774">
          <cell r="Y774" t="str">
            <v>051-200710113.2.1.1.25</v>
          </cell>
          <cell r="Z774" t="str">
            <v>051-2007101</v>
          </cell>
          <cell r="AA774" t="str">
            <v>13.2.1.1.25</v>
          </cell>
          <cell r="AB774" t="str">
            <v>Техническое перевооружение охранных кранов Ду 1000</v>
          </cell>
        </row>
        <row r="775">
          <cell r="Y775" t="str">
            <v>051-200710113.2.1.2.25</v>
          </cell>
          <cell r="Z775" t="str">
            <v>051-2007101</v>
          </cell>
          <cell r="AA775" t="str">
            <v>13.2.1.2.25</v>
          </cell>
          <cell r="AB775" t="str">
            <v>Техническое перевооружение крана Ду 500</v>
          </cell>
        </row>
        <row r="776">
          <cell r="Y776" t="str">
            <v>051-200710222.3.3.8.25</v>
          </cell>
          <cell r="Z776" t="str">
            <v>051-2007102</v>
          </cell>
          <cell r="AA776" t="str">
            <v>22.3.3.8.25</v>
          </cell>
          <cell r="AB776" t="str">
            <v>Модернизация системы управления противопожарными клапанами, изменение системы подключения кабелей для электроснабжения и автоматизации на УППГ-2 поз. по ГП №№1, 50 и УКПГ-3 поз. по ГП №№ 1, 15, 30, 55, 77, 78, 79, 133, 134, 147</v>
          </cell>
        </row>
        <row r="777">
          <cell r="Y777" t="str">
            <v>051-200710222.3.3.9.25</v>
          </cell>
          <cell r="Z777" t="str">
            <v>051-2007102</v>
          </cell>
          <cell r="AA777" t="str">
            <v>22.3.3.9.25</v>
          </cell>
          <cell r="AB777" t="str">
            <v>Монтаж трубопровода пожсистемы Ду 50 (поз. ГП 20)</v>
          </cell>
        </row>
        <row r="778">
          <cell r="Y778" t="str">
            <v>051-200710222.3.3.10.25</v>
          </cell>
          <cell r="Z778" t="str">
            <v>051-2007102</v>
          </cell>
          <cell r="AA778" t="str">
            <v>22.3.3.10.25</v>
          </cell>
          <cell r="AB778" t="str">
            <v>Перенос внутриплощадочных извещателей пожарных ручных</v>
          </cell>
        </row>
        <row r="779">
          <cell r="Y779" t="str">
            <v>051-200710222.3.3.11.25</v>
          </cell>
          <cell r="Z779" t="str">
            <v>051-2007102</v>
          </cell>
          <cell r="AA779" t="str">
            <v>22.3.3.11.25</v>
          </cell>
          <cell r="AB779" t="str">
            <v>Нанесение огнезащитного покрытия на воздуховоды (поз. по ГП №№ 30, 55, 77, 79, 133, 134, 144, 147)</v>
          </cell>
        </row>
        <row r="780">
          <cell r="Y780" t="str">
            <v>051-200710222.3.3.12.25</v>
          </cell>
          <cell r="Z780" t="str">
            <v>051-2007102</v>
          </cell>
          <cell r="AA780" t="str">
            <v>22.3.3.12.25</v>
          </cell>
          <cell r="AB780" t="str">
            <v>Приведение в соответствиие к противопожарным нормам позиций ГП 133, 134, 55 (замена дверей) с заменой индикаторов средств пожаротушения на поз. ГП 133, 134, 147</v>
          </cell>
        </row>
        <row r="781">
          <cell r="Y781" t="str">
            <v>051-200710222.3.3.13.25</v>
          </cell>
          <cell r="Z781" t="str">
            <v>051-2007102</v>
          </cell>
          <cell r="AA781" t="str">
            <v>22.3.3.13.25</v>
          </cell>
          <cell r="AB781" t="str">
            <v>Монтаж опусков с устройством дренажных кранов на трубопроводах системы пенного пожаротушения в поз. по ГП 15, 30, 147</v>
          </cell>
        </row>
        <row r="782">
          <cell r="Y782" t="str">
            <v>051-200710222.3.3.14.25</v>
          </cell>
          <cell r="Z782" t="str">
            <v>051-2007102</v>
          </cell>
          <cell r="AA782" t="str">
            <v>22.3.3.14.25</v>
          </cell>
          <cell r="AB782" t="str">
            <v>Монтаж противопожарной индикации с подключением к аварийному освешению (поз. по ГП 48)</v>
          </cell>
        </row>
        <row r="783">
          <cell r="Y783" t="str">
            <v>051-200710222.3.3.15.25</v>
          </cell>
          <cell r="Z783" t="str">
            <v>051-2007102</v>
          </cell>
          <cell r="AA783" t="str">
            <v>22.3.3.15.25</v>
          </cell>
          <cell r="AB783" t="str">
            <v>Монтаж противопожарных клапанов на системы вентиляции, автоматизация  (поз. по ГП №№ 55, 77, 79, 133, 134)</v>
          </cell>
        </row>
        <row r="784">
          <cell r="Y784" t="str">
            <v>051-200710222.3.3.16.25</v>
          </cell>
          <cell r="Z784" t="str">
            <v>051-2007102</v>
          </cell>
          <cell r="AA784" t="str">
            <v>22.3.3.16.25</v>
          </cell>
          <cell r="AB784" t="str">
            <v>Перенос внутриплощадочных извещателей пожарных ручных</v>
          </cell>
        </row>
        <row r="785">
          <cell r="Y785" t="str">
            <v>051-200710222.3.3.17.25</v>
          </cell>
          <cell r="Z785" t="str">
            <v>051-2007102</v>
          </cell>
          <cell r="AA785" t="str">
            <v>22.3.3.17.25</v>
          </cell>
          <cell r="AB785" t="str">
            <v>Нанесение огнезащитного покрытия на воздуховоды (поз. по ГП №№454, 471, 481а,б)</v>
          </cell>
        </row>
        <row r="786">
          <cell r="Y786" t="str">
            <v>051-200710222.3.3.18.25</v>
          </cell>
          <cell r="Z786" t="str">
            <v>051-2007102</v>
          </cell>
          <cell r="AA786" t="str">
            <v>22.3.3.18.25</v>
          </cell>
          <cell r="AB786" t="str">
            <v>Монтаж противопожарных клапанов на системы вентиляции, автоматизация (поз. по ГП № 471)</v>
          </cell>
        </row>
        <row r="787">
          <cell r="Y787" t="str">
            <v>051-200710222.3.2.12.25</v>
          </cell>
          <cell r="Z787" t="str">
            <v>051-2007102</v>
          </cell>
          <cell r="AA787" t="str">
            <v>22.3.2.12.25</v>
          </cell>
          <cell r="AB787" t="str">
            <v>Техническое перевооружение насосной противопожарного водоснабжения УППГ-2 (поз. ГП 38)</v>
          </cell>
        </row>
        <row r="788">
          <cell r="Y788" t="str">
            <v>051-200710222.3.2.13.25</v>
          </cell>
          <cell r="Z788" t="str">
            <v>051-2007102</v>
          </cell>
          <cell r="AA788" t="str">
            <v>22.3.2.13.25</v>
          </cell>
          <cell r="AB788" t="str">
            <v>Перенос внутриплощадочных извещателей пожарных ручных</v>
          </cell>
        </row>
        <row r="789">
          <cell r="Y789" t="str">
            <v>051-200710222.3.2.14.25</v>
          </cell>
          <cell r="Z789" t="str">
            <v>051-2007102</v>
          </cell>
          <cell r="AA789" t="str">
            <v>22.3.2.14.25</v>
          </cell>
          <cell r="AB789" t="str">
            <v>Монтаж опусков с устройством дренажных кранов на трубопроводах системы пенного пожаротушения в поз. по ГП 1</v>
          </cell>
        </row>
        <row r="790">
          <cell r="Y790" t="str">
            <v>051-200710222.3.2.15.25</v>
          </cell>
          <cell r="Z790" t="str">
            <v>051-2007102</v>
          </cell>
          <cell r="AA790" t="str">
            <v>22.3.2.15.25</v>
          </cell>
          <cell r="AB790" t="str">
            <v>Нанесение огнезащитного покрытия на воздуховоды (поз. по ГП №№1, 50)</v>
          </cell>
        </row>
        <row r="791">
          <cell r="Y791" t="str">
            <v>051-200710222.3.2.16.25</v>
          </cell>
          <cell r="Z791" t="str">
            <v>051-2007102</v>
          </cell>
          <cell r="AA791" t="str">
            <v>22.3.2.16.25</v>
          </cell>
          <cell r="AB791" t="str">
            <v>Монтаж противопожарных клапанов системы вентиляции, автоматизация (поз. по ГП №№1, 50)</v>
          </cell>
        </row>
        <row r="792">
          <cell r="Y792" t="str">
            <v>051-200710222.3.2.17.25</v>
          </cell>
          <cell r="Z792" t="str">
            <v>051-2007102</v>
          </cell>
          <cell r="AA792" t="str">
            <v>22.3.2.17.25</v>
          </cell>
          <cell r="AB792" t="str">
            <v>Монтаж противопожарной индикации с подключением к аварийному освешению (поз. по ГП 38)</v>
          </cell>
        </row>
        <row r="793">
          <cell r="Y793" t="str">
            <v>051-200710222.4.2.32.25</v>
          </cell>
          <cell r="Z793" t="str">
            <v>051-2007102</v>
          </cell>
          <cell r="AA793" t="str">
            <v>22.4.2.32.25</v>
          </cell>
          <cell r="AB793" t="str">
            <v>Перенос внутриплощадочных извещателей пожарных ручных</v>
          </cell>
        </row>
        <row r="794">
          <cell r="Y794" t="str">
            <v>051-200710222.4.2.33.25</v>
          </cell>
          <cell r="Z794" t="str">
            <v>051-2007102</v>
          </cell>
          <cell r="AA794" t="str">
            <v>22.4.2.33.25</v>
          </cell>
          <cell r="AB794" t="str">
            <v>Нанесение огнезащитного покрытия на воздуховоды поз. по ГП №№176</v>
          </cell>
        </row>
        <row r="795">
          <cell r="Y795" t="str">
            <v>051-200710222.4.2.34.25</v>
          </cell>
          <cell r="Z795" t="str">
            <v>051-2007102</v>
          </cell>
          <cell r="AA795" t="str">
            <v>22.4.2.34.25</v>
          </cell>
          <cell r="AB795" t="str">
            <v>Монтаж противопожарных клапанов системы вентиляции, автоматизация поз. по ГП №176</v>
          </cell>
        </row>
        <row r="796">
          <cell r="Y796" t="str">
            <v>051-200710222.8.3.2.25</v>
          </cell>
          <cell r="Z796" t="str">
            <v>051-2007102</v>
          </cell>
          <cell r="AA796" t="str">
            <v>22.8.3.2.25</v>
          </cell>
          <cell r="AB796" t="str">
            <v>Модернизация системы пожарной сигнализации (СПС) объектов обустройства Чаяндинского НГКМ</v>
          </cell>
        </row>
        <row r="797">
          <cell r="Y797" t="str">
            <v>051-200710222.8.3.3.25</v>
          </cell>
          <cell r="Z797" t="str">
            <v>051-2007102</v>
          </cell>
          <cell r="AA797" t="str">
            <v>22.8.3.3.25</v>
          </cell>
          <cell r="AB797" t="str">
            <v>Система освещения</v>
          </cell>
        </row>
        <row r="798">
          <cell r="Y798" t="str">
            <v>051-200710222.8.3.4.25</v>
          </cell>
          <cell r="Z798" t="str">
            <v>051-2007102</v>
          </cell>
          <cell r="AA798" t="str">
            <v>22.8.3.4.25</v>
          </cell>
          <cell r="AB798" t="str">
            <v>Монтаж системы противодымной вентиляции</v>
          </cell>
        </row>
        <row r="799">
          <cell r="Y799" t="str">
            <v>051-200710222.8.3.5.25</v>
          </cell>
          <cell r="Z799" t="str">
            <v>051-2007102</v>
          </cell>
          <cell r="AA799" t="str">
            <v>22.8.3.5.25</v>
          </cell>
          <cell r="AB799" t="str">
            <v>Приведение в соответствиие к противопожарным нормам позиций ГП 63, 152 (монтаж лестниц)</v>
          </cell>
        </row>
        <row r="800">
          <cell r="Y800" t="str">
            <v>051-200710222.8.3.6.25</v>
          </cell>
          <cell r="Z800" t="str">
            <v>051-2007102</v>
          </cell>
          <cell r="AA800" t="str">
            <v>22.8.3.6.25</v>
          </cell>
          <cell r="AB800" t="str">
            <v>Приведение в соответствиие к противопожарным нормам позиций ГП 151, 8, 63, 163, в т.ч.:
- Монтаж дверей люков (материал) металл либо пластик (поз. 151);
- Монтаж притивопожарного люка (поз.151);
- Монтаж дверей (поз. 8, 63, 163)/</v>
          </cell>
        </row>
        <row r="801">
          <cell r="Y801" t="str">
            <v>051-200710222.8.3.7.25</v>
          </cell>
          <cell r="Z801" t="str">
            <v>051-2007102</v>
          </cell>
          <cell r="AA801" t="str">
            <v>22.8.3.7.25</v>
          </cell>
          <cell r="AB801" t="str">
            <v>Монтаж проемов и окон (поз. ГП 130)</v>
          </cell>
        </row>
        <row r="802">
          <cell r="Y802" t="str">
            <v>051-200710222.8.3.8.25</v>
          </cell>
          <cell r="Z802" t="str">
            <v>051-2007102</v>
          </cell>
          <cell r="AA802" t="str">
            <v>22.8.3.8.25</v>
          </cell>
          <cell r="AB802" t="str">
            <v>Нанесение огнезащитного покрытия на воздуховоды (поз. по ГП №№8, 71, 162, 120, 130)</v>
          </cell>
        </row>
        <row r="803">
          <cell r="Y803" t="str">
            <v>051-200710222.8.3.9.25</v>
          </cell>
          <cell r="Z803" t="str">
            <v>051-2007102</v>
          </cell>
          <cell r="AA803" t="str">
            <v>22.8.3.9.25</v>
          </cell>
          <cell r="AB803" t="str">
            <v>Монтаж противопожарных клапанов на системы вентиляции, автоматизация (поз. по ГП №№2, 7, 8, 41, 63, 120, 130, 140, 151, 152, 153, 156а, 156б, 156в, 156г, 162, 163, 164, 186)</v>
          </cell>
        </row>
        <row r="804">
          <cell r="Y804" t="str">
            <v>051-200710222.8.3.10.25</v>
          </cell>
          <cell r="Z804" t="str">
            <v>051-2007102</v>
          </cell>
          <cell r="AA804" t="str">
            <v>22.8.3.10.25</v>
          </cell>
          <cell r="AB804" t="str">
            <v>Монтаж противопожарной индикации с подключением к аварийному освешению позиции ГП 93</v>
          </cell>
        </row>
        <row r="805">
          <cell r="Y805" t="str">
            <v>051-200710222.8.3.11.25</v>
          </cell>
          <cell r="Z805" t="str">
            <v>051-2007102</v>
          </cell>
          <cell r="AA805" t="str">
            <v>22.8.3.11.25</v>
          </cell>
          <cell r="AB805" t="str">
            <v>Подключение позиции по ГП 93 к контроллеру АСПС, КЗ и ПТ объекта ОБ и ВЖК.</v>
          </cell>
        </row>
        <row r="806">
          <cell r="Y806" t="str">
            <v>051-200710222.8.3.12.25</v>
          </cell>
          <cell r="Z806" t="str">
            <v>051-2007102</v>
          </cell>
          <cell r="AA806" t="str">
            <v>22.8.3.12.25</v>
          </cell>
          <cell r="AB806" t="str">
            <v>Нанесение огнезащитного покрытия на воздуховоды поз. по ГП №20</v>
          </cell>
        </row>
        <row r="807">
          <cell r="Y807" t="str">
            <v>051-200710222.8.3.13.25</v>
          </cell>
          <cell r="Z807" t="str">
            <v>051-2007102</v>
          </cell>
          <cell r="AA807" t="str">
            <v>22.8.3.13.25</v>
          </cell>
          <cell r="AB807" t="str">
            <v>Монтаж противопожарных клапанов системы вентиляции, автоматизация поз. по ГП №№16, 21, 81</v>
          </cell>
        </row>
        <row r="808">
          <cell r="Y808" t="str">
            <v>051-200710222.8.3.14.25</v>
          </cell>
          <cell r="Z808" t="str">
            <v>051-2007102</v>
          </cell>
          <cell r="AA808" t="str">
            <v>22.8.3.14.25</v>
          </cell>
          <cell r="AB808" t="str">
            <v>Перенос внутриплощадочных извещателей пожарных ручных</v>
          </cell>
        </row>
        <row r="809">
          <cell r="Y809" t="str">
            <v>051-200710222.8.3.15.25</v>
          </cell>
          <cell r="Z809" t="str">
            <v>051-2007102</v>
          </cell>
          <cell r="AA809" t="str">
            <v>22.8.3.15.25</v>
          </cell>
          <cell r="AB809" t="str">
            <v>Монтаж извещателей пожарных ручных у входов в здания категории А по взрывопожарной опасности (поз. по ГП 14, 14а)</v>
          </cell>
        </row>
        <row r="810">
          <cell r="Y810" t="str">
            <v>051-200710222.8.3.16.25</v>
          </cell>
          <cell r="Z810" t="str">
            <v>051-2007102</v>
          </cell>
          <cell r="AA810" t="str">
            <v>22.8.3.16.25</v>
          </cell>
          <cell r="AB810" t="str">
            <v>Монтаж противопожарной индикации с подключением к аварийному освешению позиции по ГП 42</v>
          </cell>
        </row>
        <row r="811">
          <cell r="Y811" t="str">
            <v>051-200710323.3.1.1.25</v>
          </cell>
          <cell r="Z811" t="str">
            <v>051-2007103</v>
          </cell>
          <cell r="AA811" t="str">
            <v>23.3.1.1.25</v>
          </cell>
          <cell r="AB811" t="str">
            <v>Реконструкция узлов редуцирования газа</v>
          </cell>
        </row>
        <row r="812">
          <cell r="Y812" t="str">
            <v>051-200710323.3.1.2.25</v>
          </cell>
          <cell r="Z812" t="str">
            <v>051-2007103</v>
          </cell>
          <cell r="AA812" t="str">
            <v>23.3.1.2.25</v>
          </cell>
          <cell r="AB812" t="str">
            <v>Реконструкция ПНГ-100</v>
          </cell>
        </row>
        <row r="813">
          <cell r="Y813" t="str">
            <v>051-200710323.3.1.3.25</v>
          </cell>
          <cell r="Z813" t="str">
            <v>051-2007103</v>
          </cell>
          <cell r="AA813" t="str">
            <v>23.3.1.3.25</v>
          </cell>
          <cell r="AB813" t="str">
            <v>Реконструкция ПНГ-50</v>
          </cell>
        </row>
        <row r="814">
          <cell r="Y814" t="str">
            <v>051-200710323.3.1.4.25</v>
          </cell>
          <cell r="Z814" t="str">
            <v>051-2007103</v>
          </cell>
          <cell r="AA814" t="str">
            <v>23.3.1.4.25</v>
          </cell>
          <cell r="AB814" t="str">
            <v>Реконструкция УСК</v>
          </cell>
        </row>
        <row r="815">
          <cell r="Y815" t="str">
            <v>051-200710323.3.1.5.25</v>
          </cell>
          <cell r="Z815" t="str">
            <v>051-2007103</v>
          </cell>
          <cell r="AA815" t="str">
            <v>23.3.1.5.25</v>
          </cell>
          <cell r="AB815" t="str">
            <v>Реконструкция сетей подачи метанолла</v>
          </cell>
        </row>
        <row r="816">
          <cell r="Y816" t="str">
            <v>051-200710515.3.9.1.25</v>
          </cell>
          <cell r="Z816" t="str">
            <v>051-2007105</v>
          </cell>
          <cell r="AA816" t="str">
            <v>15.3.9.1.25</v>
          </cell>
          <cell r="AB816" t="str">
            <v>Реконструкция ТЛ с установкой модульной компрессорной станции</v>
          </cell>
        </row>
        <row r="817">
          <cell r="Y817" t="str">
            <v>051-200710615.3.2.1.25</v>
          </cell>
          <cell r="Z817" t="str">
            <v>051-2007106</v>
          </cell>
          <cell r="AA817" t="str">
            <v>15.3.2.1.25</v>
          </cell>
          <cell r="AB817" t="str">
            <v>Установка подготовки газа УКПГ-2</v>
          </cell>
        </row>
        <row r="818">
          <cell r="Y818" t="str">
            <v>051-200710615.3.2.2.25</v>
          </cell>
          <cell r="Z818" t="str">
            <v>051-2007106</v>
          </cell>
          <cell r="AA818" t="str">
            <v>15.3.2.2.25</v>
          </cell>
          <cell r="AB818" t="str">
            <v>АСУ ТП с центром управления на УКПГ-2 с учетом реализации смежных проектов на УКПГ-6,1,12</v>
          </cell>
        </row>
        <row r="819">
          <cell r="Y819" t="str">
            <v>051-200710615.3.2.3.25</v>
          </cell>
          <cell r="Z819" t="str">
            <v>051-2007106</v>
          </cell>
          <cell r="AA819" t="str">
            <v>15.3.2.3.25</v>
          </cell>
          <cell r="AB819" t="str">
            <v>Склад метанола и установка приготовления ингибиторов УКПГ-2</v>
          </cell>
        </row>
        <row r="820">
          <cell r="Y820" t="str">
            <v>051-200710615.3.2.4.25</v>
          </cell>
          <cell r="Z820" t="str">
            <v>051-2007106</v>
          </cell>
          <cell r="AA820" t="str">
            <v>15.3.2.4.25</v>
          </cell>
          <cell r="AB820" t="str">
            <v>Технологическая насосная, компрессорная воздуха КИП УКПГ-2</v>
          </cell>
        </row>
        <row r="821">
          <cell r="Y821" t="str">
            <v>051-200710615.3.2.5.25</v>
          </cell>
          <cell r="Z821" t="str">
            <v>051-2007106</v>
          </cell>
          <cell r="AA821" t="str">
            <v>15.3.2.5.25</v>
          </cell>
          <cell r="AB821" t="str">
            <v>Реконструкция газосборных сетей УКПГ-2 (скважина - БВН)</v>
          </cell>
        </row>
        <row r="822">
          <cell r="Y822" t="str">
            <v>051-200710615.3.2.6.25</v>
          </cell>
          <cell r="Z822" t="str">
            <v>051-2007106</v>
          </cell>
          <cell r="AA822" t="str">
            <v>15.3.2.6.25</v>
          </cell>
          <cell r="AB822" t="str">
            <v>Реконструкция систем межпромысловых трубопроводов для транспорта УВС с УКПГ-1,6,12 на УКПГ-2</v>
          </cell>
        </row>
        <row r="823">
          <cell r="Y823" t="str">
            <v>051-200710615.3.2.7.25</v>
          </cell>
          <cell r="Z823" t="str">
            <v>051-2007106</v>
          </cell>
          <cell r="AA823" t="str">
            <v>15.3.2.7.25</v>
          </cell>
          <cell r="AB823" t="str">
            <v>Сети и сооружения</v>
          </cell>
        </row>
        <row r="824">
          <cell r="Y824" t="str">
            <v>051-200710715.3.6.1.25</v>
          </cell>
          <cell r="Z824" t="str">
            <v>051-2007107</v>
          </cell>
          <cell r="AA824" t="str">
            <v>15.3.6.1.25</v>
          </cell>
          <cell r="AB824" t="str">
            <v>Реконструкция газосборных сетей (участок скважина - БВН)</v>
          </cell>
        </row>
        <row r="825">
          <cell r="Y825" t="str">
            <v>051-200710715.3.6.2.25</v>
          </cell>
          <cell r="Z825" t="str">
            <v>051-2007107</v>
          </cell>
          <cell r="AA825" t="str">
            <v>15.3.6.2.25</v>
          </cell>
          <cell r="AB825" t="str">
            <v>Переключение АСУ ТП на УКПГ-2</v>
          </cell>
        </row>
        <row r="826">
          <cell r="Y826" t="str">
            <v>051-200710715.3.6.3.25</v>
          </cell>
          <cell r="Z826" t="str">
            <v>051-2007107</v>
          </cell>
          <cell r="AA826" t="str">
            <v>15.3.6.3.25</v>
          </cell>
          <cell r="AB826" t="str">
            <v>Ликвидация площадного объекта</v>
          </cell>
        </row>
        <row r="827">
          <cell r="Y827" t="str">
            <v>051-200710715.3.6.4.25</v>
          </cell>
          <cell r="Z827" t="str">
            <v>051-2007107</v>
          </cell>
          <cell r="AA827" t="str">
            <v>15.3.6.4.25</v>
          </cell>
          <cell r="AB827" t="str">
            <v>Реконструкция  участка г.н.г. УКПГ-6-ГПЗ</v>
          </cell>
        </row>
        <row r="828">
          <cell r="Y828" t="str">
            <v>051-200710715.3.6.5.25</v>
          </cell>
          <cell r="Z828" t="str">
            <v>051-2007107</v>
          </cell>
          <cell r="AA828" t="str">
            <v>15.3.6.5.25</v>
          </cell>
          <cell r="AB828" t="str">
            <v>Замена существующих УЗПП и ЗА</v>
          </cell>
        </row>
        <row r="829">
          <cell r="Y829" t="str">
            <v>051-200710715.3.6.6.25</v>
          </cell>
          <cell r="Z829" t="str">
            <v>051-2007107</v>
          </cell>
          <cell r="AA829" t="str">
            <v>15.3.6.6.25</v>
          </cell>
          <cell r="AB829" t="str">
            <v>Ликвидация участка г.н.г. УКПГ-6-ГПЗ II нитка</v>
          </cell>
        </row>
        <row r="830">
          <cell r="Y830" t="str">
            <v>051-200710815.3.15.1.25</v>
          </cell>
          <cell r="Z830" t="str">
            <v>051-2007108</v>
          </cell>
          <cell r="AA830" t="str">
            <v>15.3.15.1.25</v>
          </cell>
          <cell r="AB830" t="str">
            <v>Реконструкция факельных и дренажных систем УКПГ-15</v>
          </cell>
        </row>
        <row r="831">
          <cell r="Y831" t="str">
            <v>051-200710815.3.15.2.25</v>
          </cell>
          <cell r="Z831" t="str">
            <v>051-2007108</v>
          </cell>
          <cell r="AA831" t="str">
            <v>15.3.15.2.25</v>
          </cell>
          <cell r="AB831" t="str">
            <v>Установка подготовки газа УКПГ-15</v>
          </cell>
        </row>
        <row r="832">
          <cell r="Y832" t="str">
            <v>051-200710815.3.15.3.25</v>
          </cell>
          <cell r="Z832" t="str">
            <v>051-2007108</v>
          </cell>
          <cell r="AA832" t="str">
            <v>15.3.15.3.25</v>
          </cell>
          <cell r="AB832" t="str">
            <v>Установка подготовки нефти УКПГ-15</v>
          </cell>
        </row>
        <row r="833">
          <cell r="Y833" t="str">
            <v>051-200710815.3.15.5.25</v>
          </cell>
          <cell r="Z833" t="str">
            <v>051-2007108</v>
          </cell>
          <cell r="AA833" t="str">
            <v>15.3.15.5.25</v>
          </cell>
          <cell r="AB833" t="str">
            <v>Склад метанола и установка приготовления ингибиторов УКПГ-15</v>
          </cell>
        </row>
        <row r="834">
          <cell r="Y834" t="str">
            <v>051-200710815.3.15.6.25</v>
          </cell>
          <cell r="Z834" t="str">
            <v>051-2007108</v>
          </cell>
          <cell r="AA834" t="str">
            <v>15.3.15.6.25</v>
          </cell>
          <cell r="AB834" t="str">
            <v>Технологическая насосная, компрессорная воздуха КИП УКПГ-15</v>
          </cell>
        </row>
        <row r="835">
          <cell r="Y835" t="str">
            <v>051-200710815.3.15.7.25</v>
          </cell>
          <cell r="Z835" t="str">
            <v>051-2007108</v>
          </cell>
          <cell r="AA835" t="str">
            <v>15.3.15.7.25</v>
          </cell>
          <cell r="AB835" t="str">
            <v>Реконструкция газосборных сетей УКПГ-15 (участок скважина - БВН)</v>
          </cell>
        </row>
        <row r="836">
          <cell r="Y836" t="str">
            <v>051-200710815.3.15.9.25</v>
          </cell>
          <cell r="Z836" t="str">
            <v>051-2007108</v>
          </cell>
          <cell r="AA836" t="str">
            <v>15.3.15.9.25</v>
          </cell>
          <cell r="AB836" t="str">
            <v>Сети и сооружения</v>
          </cell>
        </row>
        <row r="837">
          <cell r="Y837" t="str">
            <v>051-200713312.2.1.1.25</v>
          </cell>
          <cell r="Z837" t="str">
            <v>051-2007133</v>
          </cell>
          <cell r="AA837" t="str">
            <v>12.2.1.1.25</v>
          </cell>
          <cell r="AB837" t="str">
            <v>Реконструкция ГСС для подключения скважин ЗТГМ к ГСС</v>
          </cell>
        </row>
        <row r="838">
          <cell r="Y838" t="str">
            <v>051-200713621.3.1.12</v>
          </cell>
          <cell r="Z838" t="str">
            <v>051-2007136</v>
          </cell>
          <cell r="AA838" t="str">
            <v>21.3.1.12</v>
          </cell>
          <cell r="AB838" t="str">
            <v>Реконструкция установки получения азота</v>
          </cell>
        </row>
        <row r="839">
          <cell r="Y839" t="str">
            <v>051-200723813.8.0.1.26</v>
          </cell>
          <cell r="Z839" t="str">
            <v>051-2007238</v>
          </cell>
          <cell r="AA839" t="str">
            <v>13.8.0.1.26</v>
          </cell>
          <cell r="AB839" t="str">
            <v>Оборудование системой фотосъемки и (или) видеофиксации движения транспортных средств, доставляющих отходы на полигон. Система весового контроля, автоматизированной системы учета процессов полигона. Система радиометрического контроля поступающих на полигон отходов. Система сбора и отвода биогаза. Автоматизированная система учета и передачи данных в государственную информационную систему.</v>
          </cell>
        </row>
        <row r="840">
          <cell r="Y840" t="str">
            <v>051-20072889.1.1.1</v>
          </cell>
          <cell r="Z840" t="str">
            <v>051-2007288</v>
          </cell>
          <cell r="AA840" t="str">
            <v>9.1.1.1</v>
          </cell>
          <cell r="AB840" t="str">
            <v>Техническое перевооружение скважин Бованенковского НГКМ эксплуатирующих пласты ТП1-6 (замена НКТ)</v>
          </cell>
        </row>
        <row r="841">
          <cell r="Y841" t="str">
            <v>051-20072889.1.1.2</v>
          </cell>
          <cell r="Z841" t="str">
            <v>051-2007288</v>
          </cell>
          <cell r="AA841" t="str">
            <v>9.1.1.2</v>
          </cell>
          <cell r="AB841" t="str">
            <v>Техническое перевооружение скважин Бованенковского НГКМ эксплуатирующих пласты ТП1-6 (замена НКТ)</v>
          </cell>
        </row>
        <row r="842">
          <cell r="Y842" t="str">
            <v>051-20072889.1.1.3</v>
          </cell>
          <cell r="Z842" t="str">
            <v>051-2007288</v>
          </cell>
          <cell r="AA842" t="str">
            <v>9.1.1.3</v>
          </cell>
          <cell r="AB842" t="str">
            <v>Техническое перевооружение скважин Бованенковского НГКМ эксплуатирующих пласты ТП1-6 (замена НКТ)</v>
          </cell>
        </row>
        <row r="843">
          <cell r="Y843" t="str">
            <v>051-20072891.4.2.1.26</v>
          </cell>
          <cell r="Z843" t="str">
            <v>051-2007289</v>
          </cell>
          <cell r="AA843" t="str">
            <v>1.4.2.1.26</v>
          </cell>
          <cell r="AB843" t="str">
            <v>Замена сменной проточной части газоперекачивающих агрегатов ДКС 2 очереди УКПГ-2 с увеличением степени сжатия.</v>
          </cell>
        </row>
        <row r="844">
          <cell r="Y844" t="str">
            <v>051-20072891.4.3.1.26</v>
          </cell>
          <cell r="Z844" t="str">
            <v>051-2007289</v>
          </cell>
          <cell r="AA844" t="str">
            <v>1.4.3.1.26</v>
          </cell>
          <cell r="AB844" t="str">
            <v>Замена сменной проточной части газоперекачивающих агрегатов ДКС 2 очереди УКПГ-3 с увеличением степени сжатия.</v>
          </cell>
        </row>
        <row r="845">
          <cell r="Y845" t="str">
            <v>051-20072901.4.4.1.26</v>
          </cell>
          <cell r="Z845" t="str">
            <v>051-2007290</v>
          </cell>
          <cell r="AA845" t="str">
            <v>1.4.4.1.26</v>
          </cell>
          <cell r="AB845" t="str">
            <v>Замена сменной проточной части газоперекачивающих агрегатов ДКС 2 очереди УКПГ-4 с увеличением степени сжатия.</v>
          </cell>
        </row>
        <row r="846">
          <cell r="Y846" t="str">
            <v>051-20072901.4.7.1.26</v>
          </cell>
          <cell r="Z846" t="str">
            <v>051-2007290</v>
          </cell>
          <cell r="AA846" t="str">
            <v>1.4.7.1.26</v>
          </cell>
          <cell r="AB846" t="str">
            <v>Замена сменной проточной части газоперекачивающих агрегатов ДКС 2 очереди УКПГ-7 с увеличением степени сжатия.</v>
          </cell>
        </row>
        <row r="847">
          <cell r="Y847" t="str">
            <v>051-20072914.4.13.3.26</v>
          </cell>
          <cell r="Z847" t="str">
            <v>051-2007291</v>
          </cell>
          <cell r="AA847" t="str">
            <v>4.4.13.3.26</v>
          </cell>
          <cell r="AB847" t="str">
            <v>Техническое перевооружение ДКС (1 ступень) на УКПГ-13</v>
          </cell>
        </row>
        <row r="848">
          <cell r="Y848" t="str">
            <v>051-20072914.4.1.3.26</v>
          </cell>
          <cell r="Z848" t="str">
            <v>051-2007291</v>
          </cell>
          <cell r="AA848" t="str">
            <v>4.4.1.3.26</v>
          </cell>
          <cell r="AB848" t="str">
            <v>Техническое перевооружение ДКС (1 ступень) на УКПГ-1</v>
          </cell>
        </row>
        <row r="849">
          <cell r="Y849" t="str">
            <v>051-20072924.1.0.8.26</v>
          </cell>
          <cell r="Z849" t="str">
            <v>051-2007292</v>
          </cell>
          <cell r="AA849" t="str">
            <v>4.1.0.8.26</v>
          </cell>
          <cell r="AB849" t="str">
            <v>Организация подачи ПАВ и ингибиторов на фонде скважин Уренгойского, Северо-Уренгойского, Ен-Яхинского НГКМ, в т.ч. УКПГ-1, УКПГ-3, УКПГ-4, УКПГ-5, УКПГ-6, УКПГ-7, УКПГ-8, УКПГ-9, УКПГ-10</v>
          </cell>
        </row>
        <row r="850">
          <cell r="Y850" t="str">
            <v>051-20072924.1.0.9.26</v>
          </cell>
          <cell r="Z850" t="str">
            <v>051-2007292</v>
          </cell>
          <cell r="AA850" t="str">
            <v>4.1.0.9.26</v>
          </cell>
          <cell r="AB850" t="str">
            <v>Организация подачи ПАВ и ингибиторов на фонде скважин Уренгойского, Северо-Уренгойского, Ен-Яхинского НГКМ, в т.ч. УКПГ-15</v>
          </cell>
        </row>
        <row r="851">
          <cell r="Y851" t="str">
            <v>051-20072924.1.0.10.26</v>
          </cell>
          <cell r="Z851" t="str">
            <v>051-2007292</v>
          </cell>
          <cell r="AA851" t="str">
            <v>4.1.0.10.26</v>
          </cell>
          <cell r="AB851" t="str">
            <v>Организация подачи ПАВ и ингибиторов на фонде скважин Уренгойского, Северо-Уренгойского, Ен-Яхинского НГКМ, в т.ч. УКПГ-16</v>
          </cell>
        </row>
        <row r="852">
          <cell r="Y852" t="str">
            <v>051-20072924.1.0.11.26</v>
          </cell>
          <cell r="Z852" t="str">
            <v>051-2007292</v>
          </cell>
          <cell r="AA852" t="str">
            <v>4.1.0.11.26</v>
          </cell>
          <cell r="AB852" t="str">
            <v>Организация подачи ПАВ и ингибиторов на фонде скважин Уренгойского, Северо-Уренгойского, Ен-Яхинского НГКМ, в т.ч. УКПГ-15</v>
          </cell>
        </row>
        <row r="853">
          <cell r="Y853" t="str">
            <v>051-20072925.1.0.12.26</v>
          </cell>
          <cell r="Z853" t="str">
            <v>051-2007292</v>
          </cell>
          <cell r="AA853" t="str">
            <v>5.1.0.12.26</v>
          </cell>
          <cell r="AB853" t="str">
            <v>Организация подачи ПАВ и ингибиторов на фонде скважин Уренгойского, Северо-Уренгойского, Ен-Яхинского НГКМ, в т.ч. УКПГ-1, УКПГ-1А, УКПГ-2В, УКПГ-8В</v>
          </cell>
        </row>
        <row r="854">
          <cell r="Y854" t="str">
            <v>051-20072924.1.0.13.26</v>
          </cell>
          <cell r="Z854" t="str">
            <v>051-2007292</v>
          </cell>
          <cell r="AA854" t="str">
            <v>4.1.0.13.26</v>
          </cell>
          <cell r="AB854" t="str">
            <v>Организация подачи ПАВ и ингибиторов на фонде скважин Уренгойского, Северо-Уренгойского, Ен-Яхинского НГКМ, в т.ч. УКПГ-16</v>
          </cell>
        </row>
        <row r="855">
          <cell r="Y855" t="str">
            <v>051-20072925.1.0.14.26</v>
          </cell>
          <cell r="Z855" t="str">
            <v>051-2007292</v>
          </cell>
          <cell r="AA855" t="str">
            <v>5.1.0.14.26</v>
          </cell>
          <cell r="AB855" t="str">
            <v>Организация подачи ПАВ и ингибиторов на фонде скважин Уренгойского, Северо-Уренгойского, Ен-Яхинского НГКМ, в т.ч. УКПГ-1А, УКПГ-5В</v>
          </cell>
        </row>
        <row r="856">
          <cell r="Y856" t="str">
            <v>051-20072925.1.0.15.26</v>
          </cell>
          <cell r="Z856" t="str">
            <v>051-2007292</v>
          </cell>
          <cell r="AA856" t="str">
            <v>5.1.0.15.26</v>
          </cell>
          <cell r="AB856" t="str">
            <v>Организация подачи ПАВ и ингибиторов на фонде скважин Уренгойского, Северо-Уренгойского, Ен-Яхинского НГКМ, в т.ч. УКПГ-2В, УКПГ-5В</v>
          </cell>
        </row>
        <row r="857">
          <cell r="Y857" t="str">
            <v>051-20072925.1.0.16.26</v>
          </cell>
          <cell r="Z857" t="str">
            <v>051-2007292</v>
          </cell>
          <cell r="AA857" t="str">
            <v>5.1.0.16.26</v>
          </cell>
          <cell r="AB857" t="str">
            <v>Организация подачи ПАВ и ингибиторов на фонде скважин Уренгойского, Северо-Уренгойского, Ен-Яхинского НГКМ, в т.ч. НГДУ</v>
          </cell>
        </row>
        <row r="858">
          <cell r="Y858" t="str">
            <v>051-20072925.1.0.17.26</v>
          </cell>
          <cell r="Z858" t="str">
            <v>051-2007292</v>
          </cell>
          <cell r="AA858" t="str">
            <v>5.1.0.17.26</v>
          </cell>
          <cell r="AB858" t="str">
            <v>Организация подачи ПАВ и ингибиторов на фонде скважин Уренгойского, Северо-Уренгойского, Ен-Яхинского НГКМ, в т.ч. НГДУ</v>
          </cell>
        </row>
        <row r="859">
          <cell r="Y859" t="str">
            <v>051-200729320.2.22.5.26</v>
          </cell>
          <cell r="Z859" t="str">
            <v>051-2007293</v>
          </cell>
          <cell r="AA859" t="str">
            <v>20.2.22.5.26</v>
          </cell>
          <cell r="AB859" t="str">
            <v>Замена обвязок ГКС ГКП-22 Уренгойского НГКМ на трубную продукцию из стали группы прочности Х80 тип 13 хром. I этап</v>
          </cell>
        </row>
        <row r="860">
          <cell r="Y860" t="str">
            <v>051-200729320.2.22.6.26</v>
          </cell>
          <cell r="Z860" t="str">
            <v>051-2007293</v>
          </cell>
          <cell r="AA860" t="str">
            <v>20.2.22.6.26</v>
          </cell>
          <cell r="AB860" t="str">
            <v>Замена обвязок ГКС ГКП-22 Уренгойского НГКМ на трубную продукцию из стали группы прочности Х80 тип 13 хром. II этап</v>
          </cell>
        </row>
        <row r="861">
          <cell r="Y861" t="str">
            <v>051-200729320.2.21.1.26</v>
          </cell>
          <cell r="Z861" t="str">
            <v>051-2007293</v>
          </cell>
          <cell r="AA861" t="str">
            <v>20.2.21.1.26</v>
          </cell>
          <cell r="AB861" t="str">
            <v>Замена обвязок ГКС ГКП-21 Уренгойского НГКМ на трубную продукцию из стали группы прочности Х80 тип 13 хром</v>
          </cell>
        </row>
        <row r="862">
          <cell r="Y862" t="str">
            <v>051-200729415.3.1.1.26</v>
          </cell>
          <cell r="Z862" t="str">
            <v>051-2007294</v>
          </cell>
          <cell r="AA862" t="str">
            <v>15.3.1.1.26</v>
          </cell>
          <cell r="AB862" t="str">
            <v>Реконструкция газосборных сетей (участок скважина - БВН)</v>
          </cell>
        </row>
        <row r="863">
          <cell r="Y863" t="str">
            <v>051-200729515.3.12.1.26</v>
          </cell>
          <cell r="Z863" t="str">
            <v>051-2007295</v>
          </cell>
          <cell r="AA863" t="str">
            <v>15.3.12.1.26</v>
          </cell>
          <cell r="AB863" t="str">
            <v>Реконструкция газосборных сетей (участок скважина - БВН)</v>
          </cell>
        </row>
        <row r="864">
          <cell r="Y864" t="str">
            <v>051-200729615.3.14.1.26</v>
          </cell>
          <cell r="Z864" t="str">
            <v>051-2007296</v>
          </cell>
          <cell r="AA864" t="str">
            <v>15.3.14.1.26</v>
          </cell>
          <cell r="AB864" t="str">
            <v>Реконструкция газосборных сетей УКПГ-14 (участок скважина - БВН)</v>
          </cell>
        </row>
        <row r="865">
          <cell r="Y865" t="str">
            <v>051-20072973.3.1C.1.26</v>
          </cell>
          <cell r="Z865" t="str">
            <v>051-2007297</v>
          </cell>
          <cell r="AA865" t="str">
            <v>3.3.1C.1.26</v>
          </cell>
          <cell r="AB865" t="str">
            <v>Техническое перевооружение системы термостабилизации грунтов ГП-1С</v>
          </cell>
        </row>
        <row r="866">
          <cell r="Y866" t="str">
            <v>051-20072973.3.2C.1.26</v>
          </cell>
          <cell r="Z866" t="str">
            <v>051-2007297</v>
          </cell>
          <cell r="AA866" t="str">
            <v>3.3.2C.1.26</v>
          </cell>
          <cell r="AB866" t="str">
            <v>Техническое перевооружение системы термостабилизации грунтов ГП-2С</v>
          </cell>
        </row>
        <row r="867">
          <cell r="Y867" t="str">
            <v>051-20072973.3.3C.1.26</v>
          </cell>
          <cell r="Z867" t="str">
            <v>051-2007297</v>
          </cell>
          <cell r="AA867" t="str">
            <v>3.3.3C.1.26</v>
          </cell>
          <cell r="AB867" t="str">
            <v>Техническое перевооружение системы термостабилизации грунтов ГП-3С</v>
          </cell>
        </row>
        <row r="868">
          <cell r="Y868" t="str">
            <v>051-200729719.3.1В.1.26</v>
          </cell>
          <cell r="Z868" t="str">
            <v>051-2007297</v>
          </cell>
          <cell r="AA868" t="str">
            <v>19.3.1В.1.26</v>
          </cell>
          <cell r="AB868" t="str">
            <v>Техническое перевооружение  системы термостабилизации грунтов ГП-1В</v>
          </cell>
        </row>
        <row r="869">
          <cell r="Y869" t="str">
            <v>051-200729719.3.2В.1.26</v>
          </cell>
          <cell r="Z869" t="str">
            <v>051-2007297</v>
          </cell>
          <cell r="AA869" t="str">
            <v>19.3.2В.1.26</v>
          </cell>
          <cell r="AB869" t="str">
            <v>Техническое перевооружение  системы термостабилизации грунтов ГП-2В</v>
          </cell>
        </row>
        <row r="870">
          <cell r="Y870" t="str">
            <v>051-20072973(19).2.0.1.26</v>
          </cell>
          <cell r="Z870" t="str">
            <v>051-2007297</v>
          </cell>
          <cell r="AA870" t="str">
            <v>3(19).2.0.1.26</v>
          </cell>
          <cell r="AB870" t="str">
            <v>Техническое перевооружение системы термостабилизации грунтов ЛЭС</v>
          </cell>
        </row>
        <row r="871">
          <cell r="Y871" t="str">
            <v>051-200733126.3.2.23.25</v>
          </cell>
          <cell r="Z871" t="str">
            <v>051-2007331</v>
          </cell>
          <cell r="AA871" t="str">
            <v>26.3.2.23.25</v>
          </cell>
          <cell r="AB871" t="str">
            <v>Подключение линии отвода конденсата из дренажных емкостей Е-2 Компрессорной станции газов стабилизации УКПГ-2 к технологическим сетям УКПГ-2.</v>
          </cell>
        </row>
        <row r="872">
          <cell r="Y872" t="str">
            <v>051-200733126.8.0.30.25</v>
          </cell>
          <cell r="Z872" t="str">
            <v>051-2007331</v>
          </cell>
          <cell r="AA872" t="str">
            <v>26.8.0.30.25</v>
          </cell>
          <cell r="AB872" t="str">
            <v>Реконструкция емкостей хранения конденсата для обеспечения требований пожарной безопасности ТОК в п. Окунайский Ковыктинского ГКМ</v>
          </cell>
        </row>
        <row r="873">
          <cell r="Y873" t="str">
            <v>051-200733126.3.3.31.26</v>
          </cell>
          <cell r="Z873" t="str">
            <v>051-2007331</v>
          </cell>
          <cell r="AA873" t="str">
            <v>26.3.3.31.26</v>
          </cell>
          <cell r="AB873" t="str">
            <v>Обустройство СПАЗ сброса НК из насосов 20Н-1 УКПГ-3</v>
          </cell>
        </row>
        <row r="874">
          <cell r="Y874" t="str">
            <v>051-200733126.3.3.32.26</v>
          </cell>
          <cell r="Z874" t="str">
            <v>051-2007331</v>
          </cell>
          <cell r="AA874" t="str">
            <v>26.3.3.32.26</v>
          </cell>
          <cell r="AB874" t="str">
            <v>Обустройство СПАЗ сброса НК из внутрицеховых трубопроводов УКПГ-3 и УКПГ-2</v>
          </cell>
        </row>
        <row r="875">
          <cell r="Y875" t="str">
            <v>051-200733126.3.2.33.26</v>
          </cell>
          <cell r="Z875" t="str">
            <v>051-2007331</v>
          </cell>
          <cell r="AA875" t="str">
            <v>26.3.2.33.26</v>
          </cell>
          <cell r="AB875" t="str">
            <v>Обустройство продувочных линий в змеевиках печей нагрева углеводородного конденсата УСК УКПГ-2</v>
          </cell>
        </row>
        <row r="876">
          <cell r="Y876" t="str">
            <v>051-200733126.3.2.34.26</v>
          </cell>
          <cell r="Z876" t="str">
            <v>051-2007331</v>
          </cell>
          <cell r="AA876" t="str">
            <v>26.3.2.34.26</v>
          </cell>
          <cell r="AB876" t="str">
            <v>Сообщение дренажной емкости 30Е-4 и 30Е-6 с факельной системой УКПГ-2</v>
          </cell>
        </row>
        <row r="877">
          <cell r="Y877" t="str">
            <v>ГДИ-0002.202626.3.3.35.26</v>
          </cell>
          <cell r="Z877" t="str">
            <v>ГДИ-0002.2026</v>
          </cell>
          <cell r="AA877" t="str">
            <v>26.3.3.35.26</v>
          </cell>
          <cell r="AB877" t="str">
            <v>Обустройство сепарационного оборудования Цехов подготовки газа УКПГ-2 и УКПГ-3 узлами замера капельного уноса в соответствия с ТУ ООО "Газпром ВНИИГАЗ"</v>
          </cell>
        </row>
        <row r="878">
          <cell r="Y878" t="str">
            <v>ГДИ-0002.202626.3.2.36.26</v>
          </cell>
          <cell r="Z878" t="str">
            <v>ГДИ-0002.2026</v>
          </cell>
          <cell r="AA878" t="str">
            <v>26.3.2.36.26</v>
          </cell>
          <cell r="AB878" t="str">
            <v>Обустройство общей линии подачи газа выветривания (пассивного газа) на все блоки эжекторов.</v>
          </cell>
        </row>
        <row r="879">
          <cell r="Y879" t="str">
            <v>ГДИ-0002.202626.3.2.37.26</v>
          </cell>
          <cell r="Z879" t="str">
            <v>ГДИ-0002.2026</v>
          </cell>
          <cell r="AA879" t="str">
            <v>26.3.2.37.26</v>
          </cell>
          <cell r="AB879" t="str">
            <v>Реконструкция линии подачи потока КГН+ВМР в 30Е-1 № 1,2,3 в части реализации равномерного распределения ВМР по технологическим ниткам УСК</v>
          </cell>
        </row>
        <row r="880">
          <cell r="Y880" t="str">
            <v>ГДИ-0002.202626.3.2.24.25</v>
          </cell>
          <cell r="Z880" t="str">
            <v>ГДИ-0002.2026</v>
          </cell>
          <cell r="AA880" t="str">
            <v>26.3.2.24.25</v>
          </cell>
          <cell r="AB880" t="str">
            <v>Монтаж перемычки между метанолопроводами кустов газовых скважин 308 (УКПГ-3) и 201 (УКПГ-2)</v>
          </cell>
        </row>
        <row r="881">
          <cell r="Y881" t="str">
            <v>ГДИ-0002.202626.3.2.41.26</v>
          </cell>
          <cell r="Z881" t="str">
            <v>ГДИ-0002.2026</v>
          </cell>
          <cell r="AA881" t="str">
            <v>26.3.2.41.26</v>
          </cell>
          <cell r="AB881" t="str">
            <v>Оснащение конденсатопровода УКПГ-2 – ТОК пос. Окунайский линиями продувки и узлами подключения сепараторов</v>
          </cell>
        </row>
        <row r="882">
          <cell r="Y882" t="str">
            <v>ГДИ-0003.202626.2.3.39.26</v>
          </cell>
          <cell r="Z882" t="str">
            <v>ГДИ-0003.2026</v>
          </cell>
          <cell r="AA882" t="str">
            <v>26.2.3.39.26</v>
          </cell>
          <cell r="AB882" t="str">
            <v>Монтаж трубопровода постоянной подачи осушенного газа в продуктопровод УКПГ-3 - УКПГ-2 для возможности проведения работ  по очистке полости от жидкости с применением очистных поршней</v>
          </cell>
        </row>
        <row r="883">
          <cell r="Y883" t="str">
            <v>ГДИ-0003.202626.2.2.40.26</v>
          </cell>
          <cell r="Z883" t="str">
            <v>ГДИ-0003.2026</v>
          </cell>
          <cell r="AA883" t="str">
            <v>26.2.2.40.26</v>
          </cell>
          <cell r="AB883" t="str">
            <v>Монтаж трубопровода постоянной подачи осушенного газа в конденсатопровод УКПГ-2 - ТОК Окунайский для возможности проведения работ по очистке полости от конденсата с применением очистных поршней</v>
          </cell>
        </row>
        <row r="884">
          <cell r="Y884" t="str">
            <v>ГДИ-0004.202626.2.2.38.26</v>
          </cell>
          <cell r="Z884" t="str">
            <v>ГДИ-0004.2026</v>
          </cell>
          <cell r="AA884" t="str">
            <v>26.2.2.38.26</v>
          </cell>
          <cell r="AB884" t="str">
            <v>Монтаж УЗОУ – УПОУ на газосборном коллекторе кустов газовых скважин № 206, 207, 208 УКПГ-2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2:D12"/>
  <sheetViews>
    <sheetView showGridLines="0" view="pageBreakPreview" zoomScaleNormal="100" zoomScaleSheetLayoutView="100" zoomScalePageLayoutView="80" workbookViewId="0">
      <selection activeCell="B17" sqref="B17"/>
    </sheetView>
  </sheetViews>
  <sheetFormatPr defaultColWidth="8.85546875" defaultRowHeight="15"/>
  <cols>
    <col min="1" max="1" width="70.28515625" style="1" customWidth="1"/>
    <col min="2" max="3" width="8.85546875" style="1"/>
    <col min="4" max="4" width="112.140625" style="1" customWidth="1"/>
    <col min="5" max="16384" width="8.85546875" style="1"/>
  </cols>
  <sheetData>
    <row r="2" spans="1:4" ht="15.75">
      <c r="D2" s="2" t="s">
        <v>53</v>
      </c>
    </row>
    <row r="4" spans="1:4" ht="45">
      <c r="D4" s="1" t="s">
        <v>54</v>
      </c>
    </row>
    <row r="8" spans="1:4" ht="45">
      <c r="D8" s="1" t="s">
        <v>55</v>
      </c>
    </row>
    <row r="10" spans="1:4" ht="90">
      <c r="D10" s="3" t="s">
        <v>56</v>
      </c>
    </row>
    <row r="12" spans="1:4" ht="119.1" customHeight="1">
      <c r="A12" s="57" t="s">
        <v>57</v>
      </c>
      <c r="B12" s="57"/>
      <c r="C12" s="57"/>
      <c r="D12" s="57"/>
    </row>
  </sheetData>
  <mergeCells count="1">
    <mergeCell ref="A12:D12"/>
  </mergeCells>
  <pageMargins left="0.70866141732283472" right="0.70866141732283472" top="0.74803149606299213" bottom="0.74803149606299213" header="0.31496062992125984" footer="0.31496062992125984"/>
  <pageSetup paperSize="9" scale="66" orientation="landscape" r:id="rId1"/>
  <headerFooter>
    <oddHeader>&amp;L&amp;"Arial (Основной текст),обычный"Инструкция по заполнению ФСД (на примере ФСД-1)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O21"/>
  <sheetViews>
    <sheetView showGridLines="0" tabSelected="1" view="pageBreakPreview" topLeftCell="D1" zoomScale="85" zoomScaleNormal="100" zoomScaleSheetLayoutView="85" workbookViewId="0">
      <selection activeCell="M19" sqref="M19"/>
    </sheetView>
  </sheetViews>
  <sheetFormatPr defaultColWidth="12.42578125" defaultRowHeight="12.75"/>
  <cols>
    <col min="1" max="1" width="3" style="22" customWidth="1"/>
    <col min="2" max="2" width="24.140625" style="22" customWidth="1"/>
    <col min="3" max="3" width="75.85546875" style="22" customWidth="1"/>
    <col min="4" max="4" width="17.42578125" style="42" bestFit="1" customWidth="1"/>
    <col min="5" max="6" width="42.140625" style="22" customWidth="1"/>
    <col min="7" max="7" width="21.5703125" style="42" customWidth="1"/>
    <col min="8" max="9" width="17.140625" style="22" customWidth="1"/>
    <col min="10" max="10" width="24.140625" style="22" customWidth="1"/>
    <col min="11" max="11" width="21.140625" style="22" hidden="1" customWidth="1"/>
    <col min="12" max="13" width="24.140625" style="22" customWidth="1"/>
    <col min="14" max="14" width="24.140625" style="22" hidden="1" customWidth="1"/>
    <col min="15" max="15" width="64" style="22" customWidth="1"/>
    <col min="16" max="16384" width="12.42578125" style="22"/>
  </cols>
  <sheetData>
    <row r="1" spans="1:15" ht="18" customHeight="1">
      <c r="B1" s="23" t="s">
        <v>439</v>
      </c>
      <c r="H1" s="24"/>
    </row>
    <row r="2" spans="1:15" ht="38.25">
      <c r="B2" s="25" t="s">
        <v>49</v>
      </c>
      <c r="C2" s="26" t="s">
        <v>50</v>
      </c>
      <c r="H2" s="24"/>
      <c r="J2" s="27"/>
      <c r="K2" s="27"/>
      <c r="L2" s="27"/>
      <c r="M2" s="27"/>
    </row>
    <row r="3" spans="1:15" ht="15.75" customHeight="1">
      <c r="B3" s="25" t="s">
        <v>46</v>
      </c>
      <c r="C3" s="55">
        <v>2025</v>
      </c>
      <c r="D3" s="31" t="s">
        <v>154</v>
      </c>
      <c r="E3" s="54">
        <v>46063</v>
      </c>
      <c r="F3" s="27"/>
      <c r="H3" s="24"/>
    </row>
    <row r="4" spans="1:15" ht="15.75" customHeight="1">
      <c r="B4" s="28" t="s">
        <v>40</v>
      </c>
      <c r="C4" s="55" t="s">
        <v>588</v>
      </c>
      <c r="D4" s="31" t="s">
        <v>155</v>
      </c>
      <c r="E4" s="26" t="s">
        <v>2901</v>
      </c>
      <c r="F4" s="27"/>
      <c r="H4" s="24"/>
    </row>
    <row r="5" spans="1:15" ht="15.75" customHeight="1">
      <c r="B5" s="35" t="s">
        <v>156</v>
      </c>
      <c r="C5" s="56" t="s">
        <v>52</v>
      </c>
      <c r="H5" s="24"/>
    </row>
    <row r="6" spans="1:15" ht="15.75" customHeight="1">
      <c r="B6" s="28" t="s">
        <v>60</v>
      </c>
      <c r="C6" s="55" t="s">
        <v>5</v>
      </c>
      <c r="E6" s="39"/>
      <c r="F6" s="39"/>
      <c r="H6" s="24"/>
    </row>
    <row r="7" spans="1:15" ht="15.75" customHeight="1">
      <c r="B7" s="25" t="s">
        <v>61</v>
      </c>
      <c r="C7" s="55" t="s">
        <v>62</v>
      </c>
      <c r="H7" s="24"/>
    </row>
    <row r="8" spans="1:15" ht="15.75" customHeight="1">
      <c r="B8" s="25" t="s">
        <v>148</v>
      </c>
      <c r="C8" s="29" t="s">
        <v>461</v>
      </c>
      <c r="H8" s="24"/>
    </row>
    <row r="9" spans="1:15" ht="25.5">
      <c r="B9" s="36" t="s">
        <v>592</v>
      </c>
      <c r="C9" s="37" t="str">
        <f>CONCATENATE(C7,".",C8)</f>
        <v>Астраханское.Карбон</v>
      </c>
      <c r="D9" s="43"/>
      <c r="E9" s="40"/>
      <c r="F9" s="40"/>
      <c r="H9" s="24"/>
    </row>
    <row r="10" spans="1:15" ht="15.75" customHeight="1">
      <c r="B10" s="30" t="s">
        <v>452</v>
      </c>
      <c r="C10" s="46" t="s">
        <v>453</v>
      </c>
      <c r="E10" s="41"/>
      <c r="F10" s="41"/>
      <c r="H10" s="24"/>
    </row>
    <row r="11" spans="1:15" ht="25.5">
      <c r="B11" s="47" t="s">
        <v>591</v>
      </c>
      <c r="C11" s="29" t="s">
        <v>588</v>
      </c>
      <c r="E11" s="27"/>
      <c r="F11" s="27"/>
      <c r="H11" s="24"/>
    </row>
    <row r="12" spans="1:15" ht="15.75" customHeight="1">
      <c r="A12" s="24"/>
      <c r="B12" s="47" t="s">
        <v>587</v>
      </c>
      <c r="C12" s="44">
        <v>1.1000000000000001</v>
      </c>
      <c r="E12" s="27"/>
      <c r="F12" s="27"/>
      <c r="H12" s="24"/>
    </row>
    <row r="13" spans="1:15" ht="25.5">
      <c r="A13" s="24"/>
      <c r="B13" s="48" t="s">
        <v>590</v>
      </c>
      <c r="C13" s="29" t="s">
        <v>589</v>
      </c>
      <c r="E13" s="27"/>
      <c r="F13" s="27"/>
      <c r="H13" s="24"/>
    </row>
    <row r="14" spans="1:15" ht="15.75" customHeight="1">
      <c r="A14" s="24"/>
      <c r="B14" s="48" t="s">
        <v>587</v>
      </c>
      <c r="C14" s="45">
        <v>2.1</v>
      </c>
      <c r="E14" s="27"/>
      <c r="F14" s="27"/>
      <c r="H14" s="24"/>
    </row>
    <row r="15" spans="1:15" ht="15.75" customHeight="1" thickBot="1">
      <c r="E15" s="27"/>
      <c r="F15" s="27"/>
      <c r="H15" s="24"/>
    </row>
    <row r="16" spans="1:15" ht="27" customHeight="1" thickBot="1">
      <c r="B16" s="61" t="s">
        <v>149</v>
      </c>
      <c r="C16" s="61" t="s">
        <v>150</v>
      </c>
      <c r="D16" s="61" t="s">
        <v>583</v>
      </c>
      <c r="E16" s="61" t="s">
        <v>584</v>
      </c>
      <c r="F16" s="67" t="s">
        <v>2744</v>
      </c>
      <c r="G16" s="61" t="s">
        <v>586</v>
      </c>
      <c r="H16" s="61" t="s">
        <v>47</v>
      </c>
      <c r="I16" s="61" t="s">
        <v>48</v>
      </c>
      <c r="J16" s="64" t="s">
        <v>454</v>
      </c>
      <c r="K16" s="65"/>
      <c r="L16" s="65"/>
      <c r="M16" s="65"/>
      <c r="N16" s="66"/>
      <c r="O16" s="58" t="s">
        <v>593</v>
      </c>
    </row>
    <row r="17" spans="2:15" ht="21" customHeight="1" thickBot="1">
      <c r="B17" s="62"/>
      <c r="C17" s="62"/>
      <c r="D17" s="62"/>
      <c r="E17" s="62"/>
      <c r="F17" s="68"/>
      <c r="G17" s="62"/>
      <c r="H17" s="62"/>
      <c r="I17" s="62"/>
      <c r="J17" s="51" t="s">
        <v>441</v>
      </c>
      <c r="K17" s="52" t="s">
        <v>443</v>
      </c>
      <c r="L17" s="52" t="s">
        <v>444</v>
      </c>
      <c r="M17" s="52" t="s">
        <v>447</v>
      </c>
      <c r="N17" s="53" t="s">
        <v>446</v>
      </c>
      <c r="O17" s="59"/>
    </row>
    <row r="18" spans="2:15" ht="18.95" customHeight="1" thickBot="1">
      <c r="B18" s="63"/>
      <c r="C18" s="63"/>
      <c r="D18" s="63"/>
      <c r="E18" s="63"/>
      <c r="F18" s="69"/>
      <c r="G18" s="63"/>
      <c r="H18" s="63"/>
      <c r="I18" s="63"/>
      <c r="J18" s="51" t="s">
        <v>458</v>
      </c>
      <c r="K18" s="51" t="s">
        <v>458</v>
      </c>
      <c r="L18" s="52" t="s">
        <v>445</v>
      </c>
      <c r="M18" s="52" t="s">
        <v>445</v>
      </c>
      <c r="N18" s="52" t="s">
        <v>445</v>
      </c>
      <c r="O18" s="60"/>
    </row>
    <row r="19" spans="2:15" ht="25.5">
      <c r="B19" s="32" t="s">
        <v>649</v>
      </c>
      <c r="C19" s="50" t="str">
        <f>IFERROR(VLOOKUP(B19,[1]Справочник!$W$6:$X$238,2,FALSE),"Необходимо внести наименование стройки в НСИ Мероприятия на лист Справочник")</f>
        <v>Реконструкция промысловых объектов ООО "Астраханьгазпром"</v>
      </c>
      <c r="D19" s="49" t="s">
        <v>611</v>
      </c>
      <c r="E19" s="50" t="str">
        <f>IFERROR(VLOOKUP(CONCATENATE(B19,D19),[1]Справочник!$Y$6:$AB$884,4,FALSE),"Необходимо внести наименование мероприятия в НСИ Мероприятия на лист Справочник")</f>
        <v>Реконструкция обвязки устья скважины газовой эксплуатационной № 263 УППГ-2</v>
      </c>
      <c r="F19" s="33" t="s">
        <v>2807</v>
      </c>
      <c r="G19" s="33">
        <v>1</v>
      </c>
      <c r="H19" s="33">
        <v>2024</v>
      </c>
      <c r="I19" s="33" t="s">
        <v>39</v>
      </c>
      <c r="J19" s="33">
        <v>1</v>
      </c>
      <c r="K19" s="33">
        <v>2</v>
      </c>
      <c r="L19" s="33">
        <v>3</v>
      </c>
      <c r="M19" s="33"/>
      <c r="N19" s="33">
        <v>5</v>
      </c>
      <c r="O19" s="37" t="str">
        <f>VLOOKUP(CONCATENATE(B19,D19,F19),[1]Справочник!$O:$S,5,FALSE)</f>
        <v>051-2001317.(16.1.2.15).Астраханское.Карбон.Р.С.Скважины.Прискважинное оборудование</v>
      </c>
    </row>
    <row r="20" spans="2:15" ht="38.25">
      <c r="B20" s="32"/>
      <c r="C20" s="50" t="str">
        <f>IFERROR(VLOOKUP(B20,Справочник!$W$6:$X$238,2,FALSE),"Необходимо внести наименование стройки в НСИ Мероприятия на лист Справочник")</f>
        <v>Необходимо внести наименование стройки в НСИ Мероприятия на лист Справочник</v>
      </c>
      <c r="D20" s="49"/>
      <c r="E20" s="50" t="str">
        <f>IFERROR(VLOOKUP(CONCATENATE(B20,D20),Справочник!$Y$6:$AB$884,4,FALSE),"Необходимо внести наименование мероприятия в НСИ Мероприятия на лист Справочник")</f>
        <v>Необходимо внести наименование мероприятия в НСИ Мероприятия на лист Справочник</v>
      </c>
      <c r="F20" s="33"/>
      <c r="G20" s="34"/>
      <c r="H20" s="34"/>
      <c r="I20" s="34"/>
      <c r="J20" s="34"/>
      <c r="K20" s="34"/>
      <c r="L20" s="34"/>
      <c r="M20" s="34"/>
      <c r="N20" s="34"/>
      <c r="O20" s="37">
        <f>VLOOKUP(CONCATENATE(B20,D20,F20),Справочник!$O:$S,5,FALSE)</f>
        <v>0</v>
      </c>
    </row>
    <row r="21" spans="2:15" ht="38.25">
      <c r="B21" s="32"/>
      <c r="C21" s="50" t="str">
        <f>IFERROR(VLOOKUP(B21,Справочник!$W$6:$X$238,2,FALSE),"Необходимо внести наименование стройки в НСИ Мероприятия на лист Справочник")</f>
        <v>Необходимо внести наименование стройки в НСИ Мероприятия на лист Справочник</v>
      </c>
      <c r="D21" s="49"/>
      <c r="E21" s="50" t="str">
        <f>IFERROR(VLOOKUP(CONCATENATE(B21,D21),Справочник!$Y$6:$AB$884,4,FALSE),"Необходимо внести наименование мероприятия в НСИ Мероприятия на лист Справочник")</f>
        <v>Необходимо внести наименование мероприятия в НСИ Мероприятия на лист Справочник</v>
      </c>
      <c r="F21" s="33"/>
      <c r="G21" s="33"/>
      <c r="H21" s="33"/>
      <c r="I21" s="34"/>
      <c r="J21" s="34"/>
      <c r="K21" s="34"/>
      <c r="L21" s="34"/>
      <c r="M21" s="34"/>
      <c r="N21" s="34"/>
      <c r="O21" s="37">
        <f>VLOOKUP(CONCATENATE(B21,D21,F21),Справочник!$O:$S,5,FALSE)</f>
        <v>0</v>
      </c>
    </row>
  </sheetData>
  <sheetProtection algorithmName="SHA-512" hashValue="1wM6YOwiDppSKm8HJBYbm5gTSqwEeQxeHpE24k9anSAg7UvS+sWuEv86J2q+tTJxVYbjdEU9zNa7oV8ZAhwUHg==" saltValue="DMCy4kR09pNxXbzrxInouA==" spinCount="100000" sheet="1" objects="1" scenarios="1"/>
  <dataConsolidate/>
  <mergeCells count="10">
    <mergeCell ref="O16:O18"/>
    <mergeCell ref="B16:B18"/>
    <mergeCell ref="J16:N16"/>
    <mergeCell ref="I16:I18"/>
    <mergeCell ref="H16:H18"/>
    <mergeCell ref="C16:C18"/>
    <mergeCell ref="G16:G18"/>
    <mergeCell ref="D16:D18"/>
    <mergeCell ref="E16:E18"/>
    <mergeCell ref="F16:F18"/>
  </mergeCells>
  <dataValidations count="6">
    <dataValidation type="list" allowBlank="1" showInputMessage="1" showErrorMessage="1" sqref="C7" xr:uid="{00000000-0002-0000-0100-000000000000}">
      <formula1>Месторождение</formula1>
    </dataValidation>
    <dataValidation type="list" allowBlank="1" showInputMessage="1" showErrorMessage="1" sqref="C8" xr:uid="{00000000-0002-0000-0100-000001000000}">
      <formula1>Горизонт</formula1>
    </dataValidation>
    <dataValidation type="list" allowBlank="1" showInputMessage="1" showErrorMessage="1" sqref="C11" xr:uid="{00000000-0002-0000-0100-000002000000}">
      <formula1>"КПР"</formula1>
    </dataValidation>
    <dataValidation type="list" allowBlank="1" showInputMessage="1" showErrorMessage="1" sqref="C13" xr:uid="{00000000-0002-0000-0100-000003000000}">
      <formula1>"Пиковый баланс газа"</formula1>
    </dataValidation>
    <dataValidation type="list" allowBlank="1" showInputMessage="1" showErrorMessage="1" sqref="B19:B21" xr:uid="{00000000-0002-0000-0100-000004000000}">
      <formula1>Номер_стройки</formula1>
    </dataValidation>
    <dataValidation type="list" allowBlank="1" showInputMessage="1" showErrorMessage="1" sqref="D19:D21" xr:uid="{00000000-0002-0000-0100-000005000000}">
      <formula1>Номер_мероприятия</formula1>
    </dataValidation>
  </dataValidations>
  <pageMargins left="0.7" right="0.7" top="0.75" bottom="0.75" header="0.3" footer="0.3"/>
  <pageSetup paperSize="9" scale="2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100-000006000000}">
          <x14:formula1>
            <xm:f>Справочник!$I$6:$I$82</xm:f>
          </x14:formula1>
          <xm:sqref>H19:H21 C3</xm:sqref>
        </x14:dataValidation>
        <x14:dataValidation type="list" allowBlank="1" showInputMessage="1" showErrorMessage="1" xr:uid="{00000000-0002-0000-0100-000008000000}">
          <x14:formula1>
            <xm:f>Справочник!$J$6:$J$21</xm:f>
          </x14:formula1>
          <xm:sqref>I19:I21</xm:sqref>
        </x14:dataValidation>
        <x14:dataValidation type="list" allowBlank="1" showInputMessage="1" showErrorMessage="1" xr:uid="{00000000-0002-0000-0100-000009000000}">
          <x14:formula1>
            <xm:f>Справочник!$A$6:$A$36</xm:f>
          </x14:formula1>
          <xm:sqref>C6:F6</xm:sqref>
        </x14:dataValidation>
        <x14:dataValidation type="list" allowBlank="1" showInputMessage="1" showErrorMessage="1" xr:uid="{00000000-0002-0000-0100-00000A000000}">
          <x14:formula1>
            <xm:f>Справочник!$H$6:$H$9</xm:f>
          </x14:formula1>
          <xm:sqref>C10:F10</xm:sqref>
        </x14:dataValidation>
        <x14:dataValidation type="list" allowBlank="1" showInputMessage="1" showErrorMessage="1" xr:uid="{00000000-0002-0000-0100-00000B000000}">
          <x14:formula1>
            <xm:f>Справочник!$U$14:$U$17</xm:f>
          </x14:formula1>
          <xm:sqref>C12</xm:sqref>
        </x14:dataValidation>
        <x14:dataValidation type="list" allowBlank="1" showInputMessage="1" showErrorMessage="1" xr:uid="{00000000-0002-0000-0100-00000C000000}">
          <x14:formula1>
            <xm:f>Справочник!$U$6:$U$13</xm:f>
          </x14:formula1>
          <xm:sqref>C14</xm:sqref>
        </x14:dataValidation>
        <x14:dataValidation type="list" allowBlank="1" showInputMessage="1" showErrorMessage="1" xr:uid="{00000000-0002-0000-0100-00000D000000}">
          <x14:formula1>
            <xm:f>Справочник!$AC$6:$AC$115</xm:f>
          </x14:formula1>
          <xm:sqref>F19:F21</xm:sqref>
        </x14:dataValidation>
        <x14:dataValidation type="list" allowBlank="1" showInputMessage="1" showErrorMessage="1" xr:uid="{00000000-0002-0000-0100-00000E000000}">
          <x14:formula1>
            <xm:f>Справочник!$G$6:$G$10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G46"/>
  <sheetViews>
    <sheetView showGridLines="0" view="pageBreakPreview" zoomScale="90" zoomScaleNormal="100" zoomScaleSheetLayoutView="90" zoomScalePageLayoutView="75" workbookViewId="0">
      <selection activeCell="B5" sqref="B5"/>
    </sheetView>
  </sheetViews>
  <sheetFormatPr defaultColWidth="12.42578125" defaultRowHeight="12.75"/>
  <cols>
    <col min="1" max="1" width="3" style="15" customWidth="1"/>
    <col min="2" max="2" width="54.42578125" style="15" customWidth="1"/>
    <col min="3" max="3" width="11" style="15" customWidth="1"/>
    <col min="4" max="4" width="14.42578125" style="15" customWidth="1"/>
    <col min="5" max="6" width="17.85546875" style="15" customWidth="1"/>
    <col min="7" max="7" width="20.7109375" style="15" customWidth="1"/>
    <col min="8" max="16384" width="12.42578125" style="15"/>
  </cols>
  <sheetData>
    <row r="1" spans="2:7" ht="19.5" customHeight="1">
      <c r="B1" s="19" t="s">
        <v>438</v>
      </c>
    </row>
    <row r="2" spans="2:7" ht="19.5" customHeight="1">
      <c r="B2" s="70" t="s">
        <v>34</v>
      </c>
      <c r="C2" s="70" t="s">
        <v>47</v>
      </c>
      <c r="D2" s="70" t="s">
        <v>48</v>
      </c>
      <c r="E2" s="70" t="s">
        <v>448</v>
      </c>
      <c r="F2" s="70"/>
      <c r="G2" s="70" t="s">
        <v>450</v>
      </c>
    </row>
    <row r="3" spans="2:7">
      <c r="B3" s="70"/>
      <c r="C3" s="70"/>
      <c r="D3" s="70"/>
      <c r="E3" s="16" t="s">
        <v>449</v>
      </c>
      <c r="F3" s="16" t="s">
        <v>451</v>
      </c>
      <c r="G3" s="70"/>
    </row>
    <row r="4" spans="2:7">
      <c r="B4" s="70"/>
      <c r="C4" s="70"/>
      <c r="D4" s="70"/>
      <c r="E4" s="16" t="s">
        <v>442</v>
      </c>
      <c r="F4" s="16" t="s">
        <v>442</v>
      </c>
      <c r="G4" s="16" t="s">
        <v>442</v>
      </c>
    </row>
    <row r="5" spans="2:7" ht="15.75" customHeight="1">
      <c r="B5" s="17"/>
      <c r="C5" s="20"/>
      <c r="D5" s="21"/>
      <c r="E5" s="18"/>
      <c r="F5" s="18"/>
      <c r="G5" s="18"/>
    </row>
    <row r="6" spans="2:7" ht="15.75" customHeight="1">
      <c r="B6" s="17"/>
      <c r="C6" s="20"/>
      <c r="D6" s="21"/>
      <c r="E6" s="18"/>
      <c r="F6" s="18"/>
      <c r="G6" s="18"/>
    </row>
    <row r="7" spans="2:7" ht="15.75" customHeight="1">
      <c r="B7" s="17"/>
      <c r="C7" s="20"/>
      <c r="D7" s="21"/>
      <c r="E7" s="18"/>
      <c r="F7" s="18"/>
      <c r="G7" s="18"/>
    </row>
    <row r="8" spans="2:7" ht="15.75" customHeight="1">
      <c r="B8" s="17"/>
      <c r="C8" s="20"/>
      <c r="D8" s="21"/>
      <c r="E8" s="18"/>
      <c r="F8" s="18"/>
      <c r="G8" s="18"/>
    </row>
    <row r="9" spans="2:7" ht="15.75" customHeight="1">
      <c r="B9" s="17"/>
      <c r="C9" s="20"/>
      <c r="D9" s="21"/>
      <c r="E9" s="18"/>
      <c r="F9" s="18"/>
      <c r="G9" s="18"/>
    </row>
    <row r="10" spans="2:7" ht="15.75" customHeight="1">
      <c r="B10" s="17"/>
      <c r="C10" s="20"/>
      <c r="D10" s="21"/>
      <c r="E10" s="18"/>
      <c r="F10" s="18"/>
      <c r="G10" s="18"/>
    </row>
    <row r="11" spans="2:7" ht="15.75" customHeight="1">
      <c r="B11" s="17"/>
      <c r="C11" s="20"/>
      <c r="D11" s="21"/>
      <c r="E11" s="18"/>
      <c r="F11" s="18"/>
      <c r="G11" s="18"/>
    </row>
    <row r="12" spans="2:7" ht="15.75" customHeight="1">
      <c r="B12" s="17"/>
      <c r="C12" s="20"/>
      <c r="D12" s="21"/>
      <c r="E12" s="18"/>
      <c r="F12" s="18"/>
      <c r="G12" s="18"/>
    </row>
    <row r="13" spans="2:7" ht="15.75" customHeight="1">
      <c r="B13" s="17"/>
      <c r="C13" s="20"/>
      <c r="D13" s="21"/>
      <c r="E13" s="18"/>
      <c r="F13" s="18"/>
      <c r="G13" s="18"/>
    </row>
    <row r="14" spans="2:7" ht="15.75" customHeight="1">
      <c r="B14" s="17"/>
      <c r="C14" s="20"/>
      <c r="D14" s="21"/>
      <c r="E14" s="18"/>
      <c r="F14" s="18"/>
      <c r="G14" s="18"/>
    </row>
    <row r="15" spans="2:7" ht="15.75" customHeight="1">
      <c r="B15" s="17"/>
      <c r="C15" s="20"/>
      <c r="D15" s="21"/>
      <c r="E15" s="18"/>
      <c r="F15" s="18"/>
      <c r="G15" s="18"/>
    </row>
    <row r="16" spans="2:7" ht="15.75" customHeight="1">
      <c r="B16" s="17"/>
      <c r="C16" s="20"/>
      <c r="D16" s="21"/>
      <c r="E16" s="18"/>
      <c r="F16" s="18"/>
      <c r="G16" s="18"/>
    </row>
    <row r="17" spans="2:7" ht="15.75" customHeight="1">
      <c r="B17" s="17"/>
      <c r="C17" s="20"/>
      <c r="D17" s="21"/>
      <c r="E17" s="18"/>
      <c r="F17" s="18"/>
      <c r="G17" s="18"/>
    </row>
    <row r="18" spans="2:7" ht="15.75" customHeight="1">
      <c r="B18" s="17"/>
      <c r="C18" s="20"/>
      <c r="D18" s="21"/>
      <c r="E18" s="18"/>
      <c r="F18" s="18"/>
      <c r="G18" s="18"/>
    </row>
    <row r="19" spans="2:7" ht="15.75" customHeight="1">
      <c r="B19" s="17"/>
      <c r="C19" s="20"/>
      <c r="D19" s="21"/>
      <c r="E19" s="18"/>
      <c r="F19" s="18"/>
      <c r="G19" s="18"/>
    </row>
    <row r="20" spans="2:7" ht="15.75" customHeight="1">
      <c r="B20" s="17"/>
      <c r="C20" s="20"/>
      <c r="D20" s="21"/>
      <c r="E20" s="18"/>
      <c r="F20" s="18"/>
      <c r="G20" s="18"/>
    </row>
    <row r="21" spans="2:7">
      <c r="B21" s="17"/>
      <c r="C21" s="20"/>
      <c r="D21" s="21"/>
      <c r="E21" s="18"/>
      <c r="F21" s="18"/>
      <c r="G21" s="18"/>
    </row>
    <row r="22" spans="2:7">
      <c r="B22" s="17"/>
      <c r="C22" s="20"/>
      <c r="D22" s="21"/>
      <c r="E22" s="18"/>
      <c r="F22" s="18"/>
      <c r="G22" s="18"/>
    </row>
    <row r="23" spans="2:7" ht="15.75" customHeight="1">
      <c r="B23" s="17"/>
      <c r="C23" s="20"/>
      <c r="D23" s="21"/>
      <c r="E23" s="18"/>
      <c r="F23" s="18"/>
      <c r="G23" s="18"/>
    </row>
    <row r="24" spans="2:7" ht="15.75" customHeight="1">
      <c r="B24" s="17"/>
      <c r="C24" s="20"/>
      <c r="D24" s="21"/>
      <c r="E24" s="18"/>
      <c r="F24" s="18"/>
      <c r="G24" s="18"/>
    </row>
    <row r="25" spans="2:7" ht="15.75" customHeight="1">
      <c r="B25" s="17"/>
      <c r="C25" s="20"/>
      <c r="D25" s="21"/>
      <c r="E25" s="18"/>
      <c r="F25" s="18"/>
      <c r="G25" s="18"/>
    </row>
    <row r="26" spans="2:7" ht="15.75" customHeight="1">
      <c r="B26" s="17"/>
      <c r="C26" s="20"/>
      <c r="D26" s="21"/>
      <c r="E26" s="18"/>
      <c r="F26" s="18"/>
      <c r="G26" s="18"/>
    </row>
    <row r="27" spans="2:7" ht="15.75" customHeight="1">
      <c r="B27" s="17"/>
      <c r="C27" s="20"/>
      <c r="D27" s="21"/>
      <c r="E27" s="18"/>
      <c r="F27" s="18"/>
      <c r="G27" s="18"/>
    </row>
    <row r="28" spans="2:7" ht="15.75" customHeight="1">
      <c r="B28" s="17"/>
      <c r="C28" s="20"/>
      <c r="D28" s="21"/>
      <c r="E28" s="18"/>
      <c r="F28" s="18"/>
      <c r="G28" s="18"/>
    </row>
    <row r="29" spans="2:7" ht="15.75" customHeight="1">
      <c r="B29" s="17"/>
      <c r="C29" s="20"/>
      <c r="D29" s="21"/>
      <c r="E29" s="18"/>
      <c r="F29" s="18"/>
      <c r="G29" s="18"/>
    </row>
    <row r="30" spans="2:7" ht="15.75" customHeight="1">
      <c r="B30" s="17"/>
      <c r="C30" s="20"/>
      <c r="D30" s="21"/>
      <c r="E30" s="18"/>
      <c r="F30" s="18"/>
      <c r="G30" s="18"/>
    </row>
    <row r="31" spans="2:7" ht="15.75" customHeight="1">
      <c r="B31" s="17"/>
      <c r="C31" s="20"/>
      <c r="D31" s="21"/>
      <c r="E31" s="18"/>
      <c r="F31" s="18"/>
      <c r="G31" s="18"/>
    </row>
    <row r="32" spans="2:7" ht="15.75" customHeight="1">
      <c r="B32" s="17"/>
      <c r="C32" s="20"/>
      <c r="D32" s="21"/>
      <c r="E32" s="18"/>
      <c r="F32" s="18"/>
      <c r="G32" s="18"/>
    </row>
    <row r="33" spans="2:7" ht="15.75" customHeight="1">
      <c r="B33" s="17"/>
      <c r="C33" s="20"/>
      <c r="D33" s="21"/>
      <c r="E33" s="18"/>
      <c r="F33" s="18"/>
      <c r="G33" s="18"/>
    </row>
    <row r="34" spans="2:7" ht="15.75" customHeight="1">
      <c r="B34" s="17"/>
      <c r="C34" s="20"/>
      <c r="D34" s="21"/>
      <c r="E34" s="18"/>
      <c r="F34" s="18"/>
      <c r="G34" s="18"/>
    </row>
    <row r="35" spans="2:7" ht="15.75" customHeight="1">
      <c r="B35" s="17"/>
      <c r="C35" s="20"/>
      <c r="D35" s="21"/>
      <c r="E35" s="18"/>
      <c r="F35" s="18"/>
      <c r="G35" s="18"/>
    </row>
    <row r="36" spans="2:7" ht="15.75" customHeight="1">
      <c r="B36" s="17"/>
      <c r="C36" s="20"/>
      <c r="D36" s="21"/>
      <c r="E36" s="18"/>
      <c r="F36" s="18"/>
      <c r="G36" s="18"/>
    </row>
    <row r="37" spans="2:7" ht="15.75" customHeight="1">
      <c r="B37" s="17"/>
      <c r="C37" s="20"/>
      <c r="D37" s="21"/>
      <c r="E37" s="18"/>
      <c r="F37" s="18"/>
      <c r="G37" s="18"/>
    </row>
    <row r="38" spans="2:7" ht="15.75" customHeight="1">
      <c r="B38" s="17"/>
      <c r="C38" s="20"/>
      <c r="D38" s="21"/>
      <c r="E38" s="18"/>
      <c r="F38" s="18"/>
      <c r="G38" s="18"/>
    </row>
    <row r="39" spans="2:7" ht="15.75" customHeight="1">
      <c r="B39" s="17"/>
      <c r="C39" s="20"/>
      <c r="D39" s="21"/>
      <c r="E39" s="18"/>
      <c r="F39" s="18"/>
      <c r="G39" s="18"/>
    </row>
    <row r="40" spans="2:7" ht="15.75" customHeight="1">
      <c r="B40" s="17"/>
      <c r="C40" s="20"/>
      <c r="D40" s="21"/>
      <c r="E40" s="18"/>
      <c r="F40" s="18"/>
      <c r="G40" s="18"/>
    </row>
    <row r="41" spans="2:7" ht="15.75" customHeight="1">
      <c r="B41" s="17"/>
      <c r="C41" s="20"/>
      <c r="D41" s="21"/>
      <c r="E41" s="18"/>
      <c r="F41" s="18"/>
      <c r="G41" s="18"/>
    </row>
    <row r="42" spans="2:7" ht="15.75" customHeight="1">
      <c r="B42" s="17"/>
      <c r="C42" s="20"/>
      <c r="D42" s="21"/>
      <c r="E42" s="18"/>
      <c r="F42" s="18"/>
      <c r="G42" s="18"/>
    </row>
    <row r="43" spans="2:7" ht="15.75" customHeight="1">
      <c r="B43" s="17"/>
      <c r="C43" s="20"/>
      <c r="D43" s="21"/>
      <c r="E43" s="18"/>
      <c r="F43" s="18"/>
      <c r="G43" s="18"/>
    </row>
    <row r="44" spans="2:7" ht="15.75" customHeight="1">
      <c r="B44" s="17"/>
      <c r="C44" s="20"/>
      <c r="D44" s="21"/>
      <c r="E44" s="18"/>
      <c r="F44" s="18"/>
      <c r="G44" s="18"/>
    </row>
    <row r="45" spans="2:7" ht="15.75" customHeight="1">
      <c r="B45" s="17"/>
      <c r="C45" s="20"/>
      <c r="D45" s="21"/>
      <c r="E45" s="18"/>
      <c r="F45" s="18"/>
      <c r="G45" s="18"/>
    </row>
    <row r="46" spans="2:7" ht="15.75" customHeight="1">
      <c r="B46" s="17"/>
      <c r="C46" s="20"/>
      <c r="D46" s="21"/>
      <c r="E46" s="18"/>
      <c r="F46" s="18"/>
      <c r="G46" s="18"/>
    </row>
  </sheetData>
  <mergeCells count="5">
    <mergeCell ref="E2:F2"/>
    <mergeCell ref="G2:G3"/>
    <mergeCell ref="D2:D4"/>
    <mergeCell ref="C2:C4"/>
    <mergeCell ref="B2:B4"/>
  </mergeCells>
  <dataValidations count="2">
    <dataValidation type="list" allowBlank="1" showInputMessage="1" showErrorMessage="1" sqref="B5:B46" xr:uid="{00000000-0002-0000-0200-000000000000}">
      <formula1>Площадь</formula1>
    </dataValidation>
    <dataValidation type="decimal" operator="greaterThanOrEqual" allowBlank="1" showInputMessage="1" showErrorMessage="1" sqref="E5:G46" xr:uid="{00000000-0002-0000-0200-000001000000}">
      <formula1>0</formula1>
      <formula2>0</formula2>
    </dataValidation>
  </dataValidations>
  <pageMargins left="0.7" right="0.7" top="0.75" bottom="0.75" header="0.511811023622047" footer="0.511811023622047"/>
  <pageSetup paperSize="9" scale="34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Справочник!$I$6:$I$82</xm:f>
          </x14:formula1>
          <xm:sqref>C5:C46</xm:sqref>
        </x14:dataValidation>
        <x14:dataValidation type="list" allowBlank="1" showInputMessage="1" showErrorMessage="1" xr:uid="{00000000-0002-0000-0200-000003000000}">
          <x14:formula1>
            <xm:f>Справочник!$J$6:$J$21</xm:f>
          </x14:formula1>
          <xm:sqref>D5:D46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3:AC884"/>
  <sheetViews>
    <sheetView zoomScale="80" zoomScaleNormal="80" workbookViewId="0">
      <selection activeCell="H15" sqref="H15"/>
    </sheetView>
  </sheetViews>
  <sheetFormatPr defaultColWidth="9.140625" defaultRowHeight="12.75"/>
  <cols>
    <col min="1" max="1" width="44.42578125" style="4" bestFit="1" customWidth="1"/>
    <col min="2" max="3" width="44.42578125" style="4" customWidth="1"/>
    <col min="4" max="4" width="26" style="4" bestFit="1" customWidth="1"/>
    <col min="5" max="5" width="26" style="4" customWidth="1"/>
    <col min="6" max="6" width="35.7109375" style="4" bestFit="1" customWidth="1"/>
    <col min="7" max="7" width="30.140625" style="4" bestFit="1" customWidth="1"/>
    <col min="8" max="8" width="26.42578125" style="4" customWidth="1"/>
    <col min="9" max="9" width="8" style="7" customWidth="1"/>
    <col min="10" max="10" width="9.7109375" style="7" customWidth="1"/>
    <col min="11" max="12" width="60.140625" style="13" bestFit="1" customWidth="1"/>
    <col min="13" max="13" width="28.7109375" style="7" customWidth="1"/>
    <col min="14" max="14" width="107.140625" style="13" bestFit="1" customWidth="1"/>
    <col min="15" max="15" width="52.140625" style="4" customWidth="1"/>
    <col min="16" max="18" width="23.5703125" style="4" customWidth="1"/>
    <col min="19" max="19" width="84.5703125" style="4" bestFit="1" customWidth="1"/>
    <col min="20" max="20" width="20" style="4" bestFit="1" customWidth="1"/>
    <col min="21" max="21" width="27.28515625" style="4" bestFit="1" customWidth="1"/>
    <col min="22" max="22" width="23" style="4" bestFit="1" customWidth="1"/>
    <col min="23" max="23" width="15.85546875" style="4" bestFit="1" customWidth="1"/>
    <col min="24" max="24" width="176.28515625" style="4" bestFit="1" customWidth="1"/>
    <col min="25" max="25" width="26.42578125" style="4" bestFit="1" customWidth="1"/>
    <col min="26" max="26" width="15.28515625" style="4" bestFit="1" customWidth="1"/>
    <col min="27" max="27" width="20.140625" style="4" bestFit="1" customWidth="1"/>
    <col min="28" max="28" width="255.7109375" style="4" bestFit="1" customWidth="1"/>
    <col min="29" max="29" width="57.5703125" style="4" customWidth="1"/>
    <col min="30" max="16384" width="9.140625" style="4"/>
  </cols>
  <sheetData>
    <row r="3" spans="1:29">
      <c r="A3" s="4" t="s">
        <v>59</v>
      </c>
    </row>
    <row r="5" spans="1:29" ht="15">
      <c r="A5" s="5" t="s">
        <v>60</v>
      </c>
      <c r="B5" s="5" t="s">
        <v>183</v>
      </c>
      <c r="C5" s="5" t="s">
        <v>61</v>
      </c>
      <c r="D5" s="5" t="s">
        <v>61</v>
      </c>
      <c r="E5" s="5" t="s">
        <v>183</v>
      </c>
      <c r="F5" s="5" t="s">
        <v>33</v>
      </c>
      <c r="G5" s="5" t="s">
        <v>567</v>
      </c>
      <c r="H5" s="5" t="s">
        <v>452</v>
      </c>
      <c r="I5" s="5" t="s">
        <v>47</v>
      </c>
      <c r="J5" s="5" t="s">
        <v>48</v>
      </c>
      <c r="K5" s="14" t="s">
        <v>183</v>
      </c>
      <c r="L5" s="14" t="s">
        <v>34</v>
      </c>
      <c r="M5" s="5" t="s">
        <v>183</v>
      </c>
      <c r="N5" s="14" t="s">
        <v>35</v>
      </c>
      <c r="O5" s="14" t="s">
        <v>594</v>
      </c>
      <c r="P5" s="14" t="s">
        <v>595</v>
      </c>
      <c r="Q5" s="14" t="s">
        <v>596</v>
      </c>
      <c r="R5" s="14" t="s">
        <v>2745</v>
      </c>
      <c r="S5" s="14" t="s">
        <v>593</v>
      </c>
      <c r="T5" s="14" t="s">
        <v>183</v>
      </c>
      <c r="U5" s="14" t="s">
        <v>567</v>
      </c>
      <c r="V5" s="14" t="s">
        <v>183</v>
      </c>
      <c r="W5" s="14" t="s">
        <v>647</v>
      </c>
      <c r="X5" s="14" t="s">
        <v>648</v>
      </c>
      <c r="Y5" s="14" t="s">
        <v>1113</v>
      </c>
      <c r="Z5" s="14" t="s">
        <v>1114</v>
      </c>
      <c r="AA5" s="14" t="s">
        <v>1115</v>
      </c>
      <c r="AB5" s="14" t="s">
        <v>584</v>
      </c>
      <c r="AC5" s="14" t="s">
        <v>2744</v>
      </c>
    </row>
    <row r="6" spans="1:29" ht="15.75">
      <c r="A6" s="6" t="s">
        <v>0</v>
      </c>
      <c r="B6" s="4" t="s">
        <v>85</v>
      </c>
      <c r="C6" s="4" t="s">
        <v>136</v>
      </c>
      <c r="D6" s="6" t="s">
        <v>62</v>
      </c>
      <c r="E6" s="6" t="s">
        <v>62</v>
      </c>
      <c r="F6" s="9" t="s">
        <v>461</v>
      </c>
      <c r="G6" s="38">
        <v>1.1000000000000001</v>
      </c>
      <c r="H6" s="9" t="s">
        <v>455</v>
      </c>
      <c r="I6" s="7">
        <v>2024</v>
      </c>
      <c r="J6" s="7" t="s">
        <v>36</v>
      </c>
      <c r="K6" s="13" t="s">
        <v>509</v>
      </c>
      <c r="L6" s="13" t="s">
        <v>157</v>
      </c>
      <c r="M6" s="7" t="s">
        <v>157</v>
      </c>
      <c r="N6" s="13" t="s">
        <v>184</v>
      </c>
      <c r="O6" s="8" t="str">
        <f>CONCATENATE(P6,Q6,R6)</f>
        <v>051-200131716.1.1.5Прискважинное оборудование</v>
      </c>
      <c r="P6" s="4" t="s">
        <v>649</v>
      </c>
      <c r="Q6" s="4" t="s">
        <v>601</v>
      </c>
      <c r="R6" s="4" t="s">
        <v>2807</v>
      </c>
      <c r="S6" s="4" t="s">
        <v>2856</v>
      </c>
      <c r="T6" s="4" t="s">
        <v>589</v>
      </c>
      <c r="U6" s="4">
        <v>1.1000000000000001</v>
      </c>
      <c r="V6" s="4" t="s">
        <v>62</v>
      </c>
      <c r="W6" s="4" t="s">
        <v>649</v>
      </c>
      <c r="X6" s="4" t="s">
        <v>650</v>
      </c>
      <c r="Y6" s="4" t="str">
        <f>CONCATENATE(Z6,AA6)</f>
        <v>036-20010435.2.2В.1.2</v>
      </c>
      <c r="Z6" s="4" t="s">
        <v>951</v>
      </c>
      <c r="AA6" s="4" t="s">
        <v>1116</v>
      </c>
      <c r="AB6" s="4" t="s">
        <v>1117</v>
      </c>
      <c r="AC6" s="4" t="s">
        <v>2746</v>
      </c>
    </row>
    <row r="7" spans="1:29" ht="15.75">
      <c r="A7" s="6" t="s">
        <v>63</v>
      </c>
      <c r="B7" s="4" t="s">
        <v>85</v>
      </c>
      <c r="C7" s="4" t="s">
        <v>90</v>
      </c>
      <c r="D7" s="6" t="s">
        <v>64</v>
      </c>
      <c r="E7" s="6" t="s">
        <v>67</v>
      </c>
      <c r="F7" s="9" t="s">
        <v>462</v>
      </c>
      <c r="G7" s="38">
        <v>1.2</v>
      </c>
      <c r="H7" s="9" t="s">
        <v>453</v>
      </c>
      <c r="I7" s="7">
        <v>2025</v>
      </c>
      <c r="J7" s="7" t="s">
        <v>38</v>
      </c>
      <c r="K7" s="13" t="s">
        <v>510</v>
      </c>
      <c r="L7" s="13" t="s">
        <v>185</v>
      </c>
      <c r="M7" s="7" t="s">
        <v>157</v>
      </c>
      <c r="N7" s="13" t="s">
        <v>186</v>
      </c>
      <c r="O7" s="8" t="str">
        <f t="shared" ref="O7:O57" si="0">CONCATENATE(P7,Q7,R7)</f>
        <v>051-200131716.1.1.7Прискважинное оборудование</v>
      </c>
      <c r="P7" s="4" t="s">
        <v>649</v>
      </c>
      <c r="Q7" s="4" t="s">
        <v>602</v>
      </c>
      <c r="R7" s="4" t="s">
        <v>2807</v>
      </c>
      <c r="S7" s="4" t="s">
        <v>2857</v>
      </c>
      <c r="T7" s="4" t="s">
        <v>589</v>
      </c>
      <c r="U7" s="4">
        <v>1.2</v>
      </c>
      <c r="V7" s="4" t="s">
        <v>62</v>
      </c>
      <c r="W7" s="4" t="s">
        <v>152</v>
      </c>
      <c r="X7" s="4" t="s">
        <v>153</v>
      </c>
      <c r="Y7" s="4" t="str">
        <f t="shared" ref="Y7:Y70" si="1">CONCATENATE(Z7,AA7)</f>
        <v>036-20010435.2.2В.1.3</v>
      </c>
      <c r="Z7" s="4" t="s">
        <v>951</v>
      </c>
      <c r="AA7" s="4" t="s">
        <v>1118</v>
      </c>
      <c r="AB7" s="4" t="s">
        <v>1119</v>
      </c>
      <c r="AC7" s="4" t="s">
        <v>2747</v>
      </c>
    </row>
    <row r="8" spans="1:29" ht="15.75">
      <c r="A8" s="6" t="s">
        <v>1</v>
      </c>
      <c r="B8" s="4" t="s">
        <v>72</v>
      </c>
      <c r="C8" s="4" t="s">
        <v>92</v>
      </c>
      <c r="D8" s="6" t="s">
        <v>65</v>
      </c>
      <c r="E8" s="6" t="s">
        <v>18</v>
      </c>
      <c r="F8" s="9" t="s">
        <v>463</v>
      </c>
      <c r="G8" s="38">
        <v>1.3</v>
      </c>
      <c r="H8" s="9" t="s">
        <v>456</v>
      </c>
      <c r="I8" s="7">
        <v>2026</v>
      </c>
      <c r="J8" s="7" t="s">
        <v>37</v>
      </c>
      <c r="K8" s="13" t="s">
        <v>511</v>
      </c>
      <c r="L8" s="13" t="s">
        <v>41</v>
      </c>
      <c r="M8" s="7" t="s">
        <v>157</v>
      </c>
      <c r="N8" s="13" t="s">
        <v>187</v>
      </c>
      <c r="O8" s="8" t="str">
        <f t="shared" si="0"/>
        <v>051-200131716.1.1.8Прискважинное оборудование</v>
      </c>
      <c r="P8" s="4" t="s">
        <v>649</v>
      </c>
      <c r="Q8" s="4" t="s">
        <v>603</v>
      </c>
      <c r="R8" s="4" t="s">
        <v>2807</v>
      </c>
      <c r="S8" s="4" t="s">
        <v>2858</v>
      </c>
      <c r="T8" s="4" t="s">
        <v>589</v>
      </c>
      <c r="U8" s="4">
        <v>2.1</v>
      </c>
      <c r="V8" s="4" t="s">
        <v>62</v>
      </c>
      <c r="W8" s="4" t="s">
        <v>597</v>
      </c>
      <c r="X8" s="4" t="s">
        <v>651</v>
      </c>
      <c r="Y8" s="4" t="str">
        <f t="shared" si="1"/>
        <v>036-20010435.2.2В.1.4</v>
      </c>
      <c r="Z8" s="4" t="s">
        <v>951</v>
      </c>
      <c r="AA8" s="4" t="s">
        <v>1120</v>
      </c>
      <c r="AB8" s="4" t="s">
        <v>1121</v>
      </c>
      <c r="AC8" s="4" t="s">
        <v>2748</v>
      </c>
    </row>
    <row r="9" spans="1:29" ht="15.75">
      <c r="A9" s="6" t="s">
        <v>2</v>
      </c>
      <c r="B9" s="4" t="s">
        <v>72</v>
      </c>
      <c r="C9" s="4" t="s">
        <v>107</v>
      </c>
      <c r="D9" s="6" t="s">
        <v>66</v>
      </c>
      <c r="E9" s="6" t="s">
        <v>18</v>
      </c>
      <c r="F9" s="9" t="s">
        <v>464</v>
      </c>
      <c r="G9" s="38">
        <v>1.4</v>
      </c>
      <c r="H9" s="9" t="s">
        <v>457</v>
      </c>
      <c r="I9" s="7">
        <v>2027</v>
      </c>
      <c r="J9" s="7" t="s">
        <v>39</v>
      </c>
      <c r="K9" s="13" t="s">
        <v>512</v>
      </c>
      <c r="L9" s="13" t="s">
        <v>188</v>
      </c>
      <c r="M9" s="7" t="s">
        <v>157</v>
      </c>
      <c r="N9" s="13" t="s">
        <v>189</v>
      </c>
      <c r="O9" s="8" t="str">
        <f t="shared" si="0"/>
        <v>051-200131716.1.1.20Прискважинное оборудование</v>
      </c>
      <c r="P9" s="4" t="s">
        <v>649</v>
      </c>
      <c r="Q9" s="4" t="s">
        <v>604</v>
      </c>
      <c r="R9" s="4" t="s">
        <v>2807</v>
      </c>
      <c r="S9" s="4" t="s">
        <v>2859</v>
      </c>
      <c r="T9" s="4" t="s">
        <v>589</v>
      </c>
      <c r="U9" s="4">
        <v>2.2000000000000002</v>
      </c>
      <c r="V9" s="4" t="s">
        <v>62</v>
      </c>
      <c r="W9" s="4" t="s">
        <v>599</v>
      </c>
      <c r="X9" s="4" t="s">
        <v>652</v>
      </c>
      <c r="Y9" s="4" t="str">
        <f t="shared" si="1"/>
        <v>036-20010435.2.2В.1.5</v>
      </c>
      <c r="Z9" s="4" t="s">
        <v>951</v>
      </c>
      <c r="AA9" s="4" t="s">
        <v>1122</v>
      </c>
      <c r="AB9" s="4" t="s">
        <v>1123</v>
      </c>
      <c r="AC9" s="4" t="s">
        <v>2749</v>
      </c>
    </row>
    <row r="10" spans="1:29" ht="15.75">
      <c r="A10" s="6" t="s">
        <v>3</v>
      </c>
      <c r="B10" s="4" t="s">
        <v>72</v>
      </c>
      <c r="C10" s="4" t="s">
        <v>113</v>
      </c>
      <c r="D10" s="6" t="s">
        <v>67</v>
      </c>
      <c r="E10" s="6" t="s">
        <v>68</v>
      </c>
      <c r="F10" s="10" t="s">
        <v>465</v>
      </c>
      <c r="G10" s="4" t="s">
        <v>52</v>
      </c>
      <c r="I10" s="7">
        <v>2028</v>
      </c>
      <c r="J10" s="7" t="s">
        <v>6</v>
      </c>
      <c r="K10" s="13" t="s">
        <v>513</v>
      </c>
      <c r="L10" s="13" t="s">
        <v>158</v>
      </c>
      <c r="M10" s="7" t="s">
        <v>157</v>
      </c>
      <c r="N10" s="13" t="s">
        <v>190</v>
      </c>
      <c r="O10" s="8" t="str">
        <f t="shared" si="0"/>
        <v>051-200131716.1.1.18Прискважинное оборудование</v>
      </c>
      <c r="P10" s="4" t="s">
        <v>649</v>
      </c>
      <c r="Q10" s="4" t="s">
        <v>605</v>
      </c>
      <c r="R10" s="4" t="s">
        <v>2807</v>
      </c>
      <c r="S10" s="4" t="s">
        <v>2860</v>
      </c>
      <c r="T10" s="4" t="s">
        <v>589</v>
      </c>
      <c r="U10" s="4">
        <v>3.1</v>
      </c>
      <c r="V10" s="4" t="s">
        <v>62</v>
      </c>
      <c r="W10" s="4" t="s">
        <v>653</v>
      </c>
      <c r="X10" s="4" t="s">
        <v>654</v>
      </c>
      <c r="Y10" s="4" t="str">
        <f t="shared" si="1"/>
        <v>036-20010435.2.5В.1.6</v>
      </c>
      <c r="Z10" s="4" t="s">
        <v>951</v>
      </c>
      <c r="AA10" s="4" t="s">
        <v>1124</v>
      </c>
      <c r="AB10" s="4" t="s">
        <v>1125</v>
      </c>
      <c r="AC10" s="4" t="s">
        <v>2750</v>
      </c>
    </row>
    <row r="11" spans="1:29" ht="15.75">
      <c r="A11" s="6" t="s">
        <v>4</v>
      </c>
      <c r="B11" s="4" t="s">
        <v>72</v>
      </c>
      <c r="C11" s="4" t="s">
        <v>126</v>
      </c>
      <c r="D11" s="6" t="s">
        <v>18</v>
      </c>
      <c r="E11" s="6" t="s">
        <v>73</v>
      </c>
      <c r="F11" s="9" t="s">
        <v>461</v>
      </c>
      <c r="G11" s="38"/>
      <c r="I11" s="7">
        <v>2029</v>
      </c>
      <c r="J11" s="7" t="s">
        <v>7</v>
      </c>
      <c r="K11" s="13" t="s">
        <v>514</v>
      </c>
      <c r="L11" s="13" t="s">
        <v>159</v>
      </c>
      <c r="M11" s="7" t="s">
        <v>157</v>
      </c>
      <c r="N11" s="13" t="s">
        <v>191</v>
      </c>
      <c r="O11" s="8" t="str">
        <f t="shared" si="0"/>
        <v>051-200131716.1.1.10Прискважинное оборудование</v>
      </c>
      <c r="P11" s="4" t="s">
        <v>649</v>
      </c>
      <c r="Q11" s="4" t="s">
        <v>606</v>
      </c>
      <c r="R11" s="4" t="s">
        <v>2807</v>
      </c>
      <c r="S11" s="4" t="s">
        <v>2861</v>
      </c>
      <c r="T11" s="4" t="s">
        <v>589</v>
      </c>
      <c r="U11" s="4">
        <v>3.2</v>
      </c>
      <c r="V11" s="4" t="s">
        <v>62</v>
      </c>
      <c r="W11" s="4" t="s">
        <v>598</v>
      </c>
      <c r="X11" s="4" t="s">
        <v>655</v>
      </c>
      <c r="Y11" s="4" t="str">
        <f t="shared" si="1"/>
        <v>036-20010435.2.5В.1.2</v>
      </c>
      <c r="Z11" s="4" t="s">
        <v>951</v>
      </c>
      <c r="AA11" s="4" t="s">
        <v>1126</v>
      </c>
      <c r="AB11" s="4" t="s">
        <v>1127</v>
      </c>
      <c r="AC11" s="4" t="s">
        <v>2751</v>
      </c>
    </row>
    <row r="12" spans="1:29" ht="15.75">
      <c r="A12" s="6" t="s">
        <v>5</v>
      </c>
      <c r="B12" s="4" t="s">
        <v>72</v>
      </c>
      <c r="C12" s="4" t="s">
        <v>68</v>
      </c>
      <c r="D12" s="6" t="s">
        <v>68</v>
      </c>
      <c r="E12" s="6" t="s">
        <v>19</v>
      </c>
      <c r="F12" s="9" t="s">
        <v>466</v>
      </c>
      <c r="G12" s="38"/>
      <c r="I12" s="7">
        <v>2030</v>
      </c>
      <c r="J12" s="7" t="s">
        <v>8</v>
      </c>
      <c r="K12" s="13" t="s">
        <v>515</v>
      </c>
      <c r="L12" s="13" t="s">
        <v>160</v>
      </c>
      <c r="M12" s="7" t="s">
        <v>157</v>
      </c>
      <c r="N12" s="13" t="s">
        <v>192</v>
      </c>
      <c r="O12" s="8" t="str">
        <f t="shared" si="0"/>
        <v>051-200131716.1.2.16Прискважинное оборудование</v>
      </c>
      <c r="P12" s="4" t="s">
        <v>649</v>
      </c>
      <c r="Q12" s="4" t="s">
        <v>607</v>
      </c>
      <c r="R12" s="4" t="s">
        <v>2807</v>
      </c>
      <c r="S12" s="4" t="s">
        <v>2862</v>
      </c>
      <c r="T12" s="4" t="s">
        <v>589</v>
      </c>
      <c r="U12" s="4">
        <v>4.0999999999999996</v>
      </c>
      <c r="V12" s="4" t="s">
        <v>62</v>
      </c>
      <c r="W12" s="4" t="s">
        <v>656</v>
      </c>
      <c r="X12" s="4" t="s">
        <v>655</v>
      </c>
      <c r="Y12" s="4" t="str">
        <f t="shared" si="1"/>
        <v>036-20010435.2.5В.1.3</v>
      </c>
      <c r="Z12" s="4" t="s">
        <v>951</v>
      </c>
      <c r="AA12" s="4" t="s">
        <v>1128</v>
      </c>
      <c r="AB12" s="4" t="s">
        <v>1127</v>
      </c>
      <c r="AC12" s="4" t="s">
        <v>2752</v>
      </c>
    </row>
    <row r="13" spans="1:29" ht="15.75">
      <c r="A13" s="6" t="s">
        <v>440</v>
      </c>
      <c r="B13" s="4" t="s">
        <v>72</v>
      </c>
      <c r="C13" s="4" t="s">
        <v>105</v>
      </c>
      <c r="D13" s="6" t="s">
        <v>69</v>
      </c>
      <c r="E13" s="6" t="s">
        <v>20</v>
      </c>
      <c r="F13" s="9" t="s">
        <v>466</v>
      </c>
      <c r="G13" s="38"/>
      <c r="H13" s="9"/>
      <c r="I13" s="7">
        <v>2031</v>
      </c>
      <c r="J13" s="7" t="s">
        <v>9</v>
      </c>
      <c r="K13" s="13" t="s">
        <v>516</v>
      </c>
      <c r="L13" s="13" t="s">
        <v>161</v>
      </c>
      <c r="M13" s="7" t="s">
        <v>157</v>
      </c>
      <c r="N13" s="13" t="s">
        <v>193</v>
      </c>
      <c r="O13" s="8" t="str">
        <f t="shared" si="0"/>
        <v>051-200131716.1.2.17Прискважинное оборудование</v>
      </c>
      <c r="P13" s="4" t="s">
        <v>649</v>
      </c>
      <c r="Q13" s="4" t="s">
        <v>608</v>
      </c>
      <c r="R13" s="4" t="s">
        <v>2807</v>
      </c>
      <c r="S13" s="4" t="s">
        <v>2863</v>
      </c>
      <c r="T13" s="4" t="s">
        <v>589</v>
      </c>
      <c r="U13" s="4">
        <v>4.2</v>
      </c>
      <c r="V13" s="4" t="s">
        <v>62</v>
      </c>
      <c r="W13" s="4" t="s">
        <v>657</v>
      </c>
      <c r="X13" s="4" t="s">
        <v>658</v>
      </c>
      <c r="Y13" s="4" t="str">
        <f t="shared" si="1"/>
        <v>036-20010434.2.0.2</v>
      </c>
      <c r="Z13" s="4" t="s">
        <v>951</v>
      </c>
      <c r="AA13" s="4" t="s">
        <v>1129</v>
      </c>
      <c r="AB13" s="4" t="s">
        <v>1130</v>
      </c>
      <c r="AC13" s="4" t="s">
        <v>2753</v>
      </c>
    </row>
    <row r="14" spans="1:29" ht="15.75">
      <c r="A14" s="6" t="s">
        <v>554</v>
      </c>
      <c r="B14" s="4" t="s">
        <v>72</v>
      </c>
      <c r="C14" s="4" t="s">
        <v>120</v>
      </c>
      <c r="D14" s="6" t="s">
        <v>70</v>
      </c>
      <c r="E14" s="6" t="s">
        <v>21</v>
      </c>
      <c r="F14" s="11" t="s">
        <v>466</v>
      </c>
      <c r="H14" s="9"/>
      <c r="I14" s="7">
        <v>2032</v>
      </c>
      <c r="J14" s="7" t="s">
        <v>10</v>
      </c>
      <c r="K14" s="13" t="s">
        <v>517</v>
      </c>
      <c r="L14" s="13" t="s">
        <v>194</v>
      </c>
      <c r="M14" s="7" t="s">
        <v>41</v>
      </c>
      <c r="N14" s="13" t="s">
        <v>195</v>
      </c>
      <c r="O14" s="8" t="str">
        <f t="shared" si="0"/>
        <v>051-200131716.1.2.6Прискважинное оборудование</v>
      </c>
      <c r="P14" s="4" t="s">
        <v>649</v>
      </c>
      <c r="Q14" s="4" t="s">
        <v>609</v>
      </c>
      <c r="R14" s="4" t="s">
        <v>2807</v>
      </c>
      <c r="S14" s="4" t="s">
        <v>2864</v>
      </c>
      <c r="T14" s="4" t="s">
        <v>588</v>
      </c>
      <c r="U14" s="4">
        <v>1.1000000000000001</v>
      </c>
      <c r="V14" s="4" t="s">
        <v>62</v>
      </c>
      <c r="W14" s="4" t="s">
        <v>659</v>
      </c>
      <c r="X14" s="4" t="s">
        <v>660</v>
      </c>
      <c r="Y14" s="4" t="str">
        <f t="shared" si="1"/>
        <v>036-20010434.2.0.1.3</v>
      </c>
      <c r="Z14" s="4" t="s">
        <v>951</v>
      </c>
      <c r="AA14" s="4" t="s">
        <v>1131</v>
      </c>
      <c r="AB14" s="4" t="s">
        <v>1132</v>
      </c>
      <c r="AC14" s="4" t="s">
        <v>2754</v>
      </c>
    </row>
    <row r="15" spans="1:29" ht="15.75">
      <c r="A15" s="6" t="s">
        <v>72</v>
      </c>
      <c r="B15" s="4" t="s">
        <v>72</v>
      </c>
      <c r="C15" s="4" t="s">
        <v>125</v>
      </c>
      <c r="D15" s="6" t="s">
        <v>73</v>
      </c>
      <c r="E15" s="6" t="s">
        <v>82</v>
      </c>
      <c r="F15" s="11" t="s">
        <v>467</v>
      </c>
      <c r="H15" s="9"/>
      <c r="I15" s="7">
        <v>2033</v>
      </c>
      <c r="J15" s="7" t="s">
        <v>11</v>
      </c>
      <c r="K15" s="13" t="s">
        <v>518</v>
      </c>
      <c r="L15" s="13" t="s">
        <v>162</v>
      </c>
      <c r="M15" s="7" t="s">
        <v>41</v>
      </c>
      <c r="N15" s="13" t="s">
        <v>196</v>
      </c>
      <c r="O15" s="8" t="str">
        <f t="shared" si="0"/>
        <v>051-200131716.1.2.11Прискважинное оборудование</v>
      </c>
      <c r="P15" s="4" t="s">
        <v>649</v>
      </c>
      <c r="Q15" s="4" t="s">
        <v>610</v>
      </c>
      <c r="R15" s="4" t="s">
        <v>2807</v>
      </c>
      <c r="S15" s="4" t="s">
        <v>2865</v>
      </c>
      <c r="T15" s="4" t="s">
        <v>588</v>
      </c>
      <c r="U15" s="4">
        <v>1.2</v>
      </c>
      <c r="V15" s="4" t="s">
        <v>62</v>
      </c>
      <c r="W15" s="4" t="s">
        <v>661</v>
      </c>
      <c r="X15" s="4" t="s">
        <v>662</v>
      </c>
      <c r="Y15" s="4" t="str">
        <f t="shared" si="1"/>
        <v>036-20010434.2.0.1.4</v>
      </c>
      <c r="Z15" s="4" t="s">
        <v>951</v>
      </c>
      <c r="AA15" s="4" t="s">
        <v>1133</v>
      </c>
      <c r="AB15" s="4" t="s">
        <v>1134</v>
      </c>
      <c r="AC15" s="4" t="s">
        <v>2755</v>
      </c>
    </row>
    <row r="16" spans="1:29" ht="15.75">
      <c r="A16" s="6" t="s">
        <v>74</v>
      </c>
      <c r="B16" s="4" t="s">
        <v>72</v>
      </c>
      <c r="C16" s="4" t="s">
        <v>130</v>
      </c>
      <c r="D16" s="6" t="s">
        <v>19</v>
      </c>
      <c r="E16" s="6" t="s">
        <v>82</v>
      </c>
      <c r="F16" s="11" t="s">
        <v>468</v>
      </c>
      <c r="H16" s="9"/>
      <c r="I16" s="7">
        <v>2034</v>
      </c>
      <c r="J16" s="7" t="s">
        <v>12</v>
      </c>
      <c r="K16" s="13" t="s">
        <v>519</v>
      </c>
      <c r="L16" s="13" t="s">
        <v>163</v>
      </c>
      <c r="M16" s="7" t="s">
        <v>41</v>
      </c>
      <c r="N16" s="13" t="s">
        <v>197</v>
      </c>
      <c r="O16" s="8" t="str">
        <f t="shared" si="0"/>
        <v>051-200131716.1.2.15Прискважинное оборудование</v>
      </c>
      <c r="P16" s="4" t="s">
        <v>649</v>
      </c>
      <c r="Q16" s="4" t="s">
        <v>611</v>
      </c>
      <c r="R16" s="4" t="s">
        <v>2807</v>
      </c>
      <c r="S16" s="4" t="s">
        <v>2866</v>
      </c>
      <c r="T16" s="4" t="s">
        <v>588</v>
      </c>
      <c r="U16" s="4">
        <v>1.3</v>
      </c>
      <c r="V16" s="4" t="s">
        <v>62</v>
      </c>
      <c r="W16" s="4" t="s">
        <v>151</v>
      </c>
      <c r="X16" s="4" t="s">
        <v>663</v>
      </c>
      <c r="Y16" s="4" t="str">
        <f t="shared" si="1"/>
        <v>036-20010434.2.0.1.5</v>
      </c>
      <c r="Z16" s="4" t="s">
        <v>951</v>
      </c>
      <c r="AA16" s="4" t="s">
        <v>1135</v>
      </c>
      <c r="AB16" s="4" t="s">
        <v>1134</v>
      </c>
      <c r="AC16" s="4" t="s">
        <v>2756</v>
      </c>
    </row>
    <row r="17" spans="1:29">
      <c r="A17" s="6" t="s">
        <v>75</v>
      </c>
      <c r="B17" s="4" t="s">
        <v>440</v>
      </c>
      <c r="C17" s="4" t="s">
        <v>21</v>
      </c>
      <c r="D17" s="6" t="s">
        <v>20</v>
      </c>
      <c r="E17" s="6" t="s">
        <v>22</v>
      </c>
      <c r="F17" s="11" t="s">
        <v>469</v>
      </c>
      <c r="I17" s="7">
        <v>2035</v>
      </c>
      <c r="J17" s="7" t="s">
        <v>13</v>
      </c>
      <c r="K17" s="13" t="s">
        <v>520</v>
      </c>
      <c r="L17" s="13" t="s">
        <v>198</v>
      </c>
      <c r="M17" s="7" t="s">
        <v>41</v>
      </c>
      <c r="N17" s="13" t="s">
        <v>199</v>
      </c>
      <c r="O17" s="8" t="str">
        <f t="shared" si="0"/>
        <v>051-200131716.1.2.8Прискважинное оборудование</v>
      </c>
      <c r="P17" s="4" t="s">
        <v>649</v>
      </c>
      <c r="Q17" s="4" t="s">
        <v>612</v>
      </c>
      <c r="R17" s="4" t="s">
        <v>2807</v>
      </c>
      <c r="S17" s="4" t="s">
        <v>2867</v>
      </c>
      <c r="T17" s="4" t="s">
        <v>588</v>
      </c>
      <c r="U17" s="4">
        <v>1.4</v>
      </c>
      <c r="V17" s="4" t="s">
        <v>66</v>
      </c>
      <c r="W17" s="4" t="s">
        <v>664</v>
      </c>
      <c r="X17" s="4" t="s">
        <v>665</v>
      </c>
      <c r="Y17" s="4" t="str">
        <f t="shared" si="1"/>
        <v>036-20010434.6.1А.1</v>
      </c>
      <c r="Z17" s="4" t="s">
        <v>951</v>
      </c>
      <c r="AA17" s="4" t="s">
        <v>1136</v>
      </c>
      <c r="AB17" s="4" t="s">
        <v>1137</v>
      </c>
      <c r="AC17" s="4" t="s">
        <v>2757</v>
      </c>
    </row>
    <row r="18" spans="1:29">
      <c r="A18" s="6" t="s">
        <v>76</v>
      </c>
      <c r="B18" s="4" t="s">
        <v>5</v>
      </c>
      <c r="C18" s="4" t="s">
        <v>62</v>
      </c>
      <c r="D18" s="6" t="s">
        <v>77</v>
      </c>
      <c r="E18" s="6" t="s">
        <v>23</v>
      </c>
      <c r="F18" s="11" t="s">
        <v>466</v>
      </c>
      <c r="I18" s="7">
        <v>2036</v>
      </c>
      <c r="J18" s="7" t="s">
        <v>14</v>
      </c>
      <c r="K18" s="13" t="s">
        <v>521</v>
      </c>
      <c r="L18" s="13" t="s">
        <v>42</v>
      </c>
      <c r="M18" s="7" t="s">
        <v>41</v>
      </c>
      <c r="N18" s="13" t="s">
        <v>200</v>
      </c>
      <c r="O18" s="8" t="str">
        <f t="shared" si="0"/>
        <v>051-200131716.1.1.21Прискважинное оборудование</v>
      </c>
      <c r="P18" s="4" t="s">
        <v>649</v>
      </c>
      <c r="Q18" s="4" t="s">
        <v>613</v>
      </c>
      <c r="R18" s="4" t="s">
        <v>2807</v>
      </c>
      <c r="S18" s="4" t="s">
        <v>2868</v>
      </c>
      <c r="T18" s="4" t="s">
        <v>645</v>
      </c>
      <c r="U18" s="4" t="s">
        <v>568</v>
      </c>
      <c r="V18" s="4" t="s">
        <v>66</v>
      </c>
      <c r="W18" s="4" t="s">
        <v>666</v>
      </c>
      <c r="X18" s="4" t="s">
        <v>667</v>
      </c>
      <c r="Y18" s="4" t="str">
        <f t="shared" si="1"/>
        <v>036-20010434.6.1А.2</v>
      </c>
      <c r="Z18" s="4" t="s">
        <v>951</v>
      </c>
      <c r="AA18" s="4" t="s">
        <v>1138</v>
      </c>
      <c r="AB18" s="4" t="s">
        <v>1139</v>
      </c>
      <c r="AC18" s="4" t="s">
        <v>2758</v>
      </c>
    </row>
    <row r="19" spans="1:29">
      <c r="A19" s="6" t="s">
        <v>78</v>
      </c>
      <c r="B19" s="4" t="s">
        <v>78</v>
      </c>
      <c r="C19" s="4" t="s">
        <v>97</v>
      </c>
      <c r="D19" s="6" t="s">
        <v>79</v>
      </c>
      <c r="E19" s="6" t="s">
        <v>89</v>
      </c>
      <c r="F19" s="11" t="s">
        <v>470</v>
      </c>
      <c r="I19" s="7">
        <v>2037</v>
      </c>
      <c r="J19" s="7" t="s">
        <v>15</v>
      </c>
      <c r="K19" s="13" t="s">
        <v>522</v>
      </c>
      <c r="L19" s="13" t="s">
        <v>43</v>
      </c>
      <c r="M19" s="7" t="s">
        <v>41</v>
      </c>
      <c r="N19" s="13" t="s">
        <v>201</v>
      </c>
      <c r="O19" s="8" t="str">
        <f t="shared" si="0"/>
        <v>051-200131716.1.2.12Прискважинное оборудование</v>
      </c>
      <c r="P19" s="4" t="s">
        <v>649</v>
      </c>
      <c r="Q19" s="4" t="s">
        <v>614</v>
      </c>
      <c r="R19" s="4" t="s">
        <v>2807</v>
      </c>
      <c r="S19" s="4" t="s">
        <v>2869</v>
      </c>
      <c r="T19" s="4" t="s">
        <v>645</v>
      </c>
      <c r="U19" s="4" t="s">
        <v>569</v>
      </c>
      <c r="V19" s="4" t="s">
        <v>18</v>
      </c>
      <c r="W19" s="4" t="s">
        <v>668</v>
      </c>
      <c r="X19" s="4" t="s">
        <v>669</v>
      </c>
      <c r="Y19" s="4" t="str">
        <f t="shared" si="1"/>
        <v>036-20010434.6.5.1</v>
      </c>
      <c r="Z19" s="4" t="s">
        <v>951</v>
      </c>
      <c r="AA19" s="4" t="s">
        <v>1140</v>
      </c>
      <c r="AB19" s="4" t="s">
        <v>1141</v>
      </c>
      <c r="AC19" s="4" t="s">
        <v>2759</v>
      </c>
    </row>
    <row r="20" spans="1:29">
      <c r="A20" s="6" t="s">
        <v>80</v>
      </c>
      <c r="B20" s="4" t="s">
        <v>4</v>
      </c>
      <c r="C20" s="4" t="s">
        <v>102</v>
      </c>
      <c r="D20" s="6" t="s">
        <v>21</v>
      </c>
      <c r="E20" s="6" t="s">
        <v>24</v>
      </c>
      <c r="F20" s="11" t="s">
        <v>466</v>
      </c>
      <c r="I20" s="7">
        <v>2038</v>
      </c>
      <c r="J20" s="7" t="s">
        <v>16</v>
      </c>
      <c r="K20" s="13" t="s">
        <v>523</v>
      </c>
      <c r="L20" s="13" t="s">
        <v>44</v>
      </c>
      <c r="M20" s="7" t="s">
        <v>41</v>
      </c>
      <c r="N20" s="13" t="s">
        <v>202</v>
      </c>
      <c r="O20" s="8" t="str">
        <f t="shared" si="0"/>
        <v>051-200131716.1.2.18Прискважинное оборудование</v>
      </c>
      <c r="P20" s="4" t="s">
        <v>649</v>
      </c>
      <c r="Q20" s="4" t="s">
        <v>615</v>
      </c>
      <c r="R20" s="4" t="s">
        <v>2807</v>
      </c>
      <c r="S20" s="4" t="s">
        <v>2870</v>
      </c>
      <c r="T20" s="4" t="s">
        <v>645</v>
      </c>
      <c r="U20" s="4" t="s">
        <v>570</v>
      </c>
      <c r="V20" s="4" t="s">
        <v>18</v>
      </c>
      <c r="W20" s="4" t="s">
        <v>670</v>
      </c>
      <c r="X20" s="4" t="s">
        <v>671</v>
      </c>
      <c r="Y20" s="4" t="str">
        <f t="shared" si="1"/>
        <v>036-20010434.6.5.2</v>
      </c>
      <c r="Z20" s="4" t="s">
        <v>951</v>
      </c>
      <c r="AA20" s="4" t="s">
        <v>1142</v>
      </c>
      <c r="AB20" s="4" t="s">
        <v>1143</v>
      </c>
      <c r="AC20" s="4" t="s">
        <v>2760</v>
      </c>
    </row>
    <row r="21" spans="1:29">
      <c r="A21" s="6" t="s">
        <v>81</v>
      </c>
      <c r="B21" s="4" t="s">
        <v>4</v>
      </c>
      <c r="C21" s="4" t="s">
        <v>104</v>
      </c>
      <c r="D21" s="6" t="s">
        <v>82</v>
      </c>
      <c r="E21" s="6" t="s">
        <v>24</v>
      </c>
      <c r="F21" s="11" t="s">
        <v>469</v>
      </c>
      <c r="I21" s="7">
        <v>2039</v>
      </c>
      <c r="J21" s="7" t="s">
        <v>17</v>
      </c>
      <c r="K21" s="13" t="s">
        <v>524</v>
      </c>
      <c r="L21" s="13" t="s">
        <v>51</v>
      </c>
      <c r="M21" s="7" t="s">
        <v>41</v>
      </c>
      <c r="N21" s="13" t="s">
        <v>203</v>
      </c>
      <c r="O21" s="8" t="str">
        <f t="shared" si="0"/>
        <v>051-200131716.1.2.19Прискважинное оборудование</v>
      </c>
      <c r="P21" s="4" t="s">
        <v>649</v>
      </c>
      <c r="Q21" s="4" t="s">
        <v>616</v>
      </c>
      <c r="R21" s="4" t="s">
        <v>2807</v>
      </c>
      <c r="S21" s="4" t="s">
        <v>2871</v>
      </c>
      <c r="T21" s="4" t="s">
        <v>645</v>
      </c>
      <c r="U21" s="4" t="s">
        <v>571</v>
      </c>
      <c r="V21" s="4" t="s">
        <v>18</v>
      </c>
      <c r="W21" s="4" t="s">
        <v>672</v>
      </c>
      <c r="X21" s="4" t="s">
        <v>673</v>
      </c>
      <c r="Y21" s="4" t="str">
        <f t="shared" si="1"/>
        <v>036-20010434.6.8.1</v>
      </c>
      <c r="Z21" s="4" t="s">
        <v>951</v>
      </c>
      <c r="AA21" s="4" t="s">
        <v>1144</v>
      </c>
      <c r="AB21" s="4" t="s">
        <v>1145</v>
      </c>
      <c r="AC21" s="4" t="s">
        <v>2761</v>
      </c>
    </row>
    <row r="22" spans="1:29">
      <c r="A22" s="6" t="s">
        <v>83</v>
      </c>
      <c r="B22" s="4" t="s">
        <v>4</v>
      </c>
      <c r="C22" s="4" t="s">
        <v>73</v>
      </c>
      <c r="D22" s="6" t="s">
        <v>22</v>
      </c>
      <c r="E22" s="6" t="s">
        <v>25</v>
      </c>
      <c r="F22" s="11" t="s">
        <v>466</v>
      </c>
      <c r="I22" s="7">
        <v>2040</v>
      </c>
      <c r="K22" s="13" t="s">
        <v>525</v>
      </c>
      <c r="L22" s="13" t="s">
        <v>164</v>
      </c>
      <c r="M22" s="7" t="s">
        <v>41</v>
      </c>
      <c r="N22" s="13" t="s">
        <v>204</v>
      </c>
      <c r="O22" s="8" t="str">
        <f t="shared" si="0"/>
        <v>051-200131716.1.1.16Прискважинное оборудование</v>
      </c>
      <c r="P22" s="4" t="s">
        <v>649</v>
      </c>
      <c r="Q22" s="4" t="s">
        <v>617</v>
      </c>
      <c r="R22" s="4" t="s">
        <v>2807</v>
      </c>
      <c r="S22" s="4" t="s">
        <v>2872</v>
      </c>
      <c r="T22" s="4" t="s">
        <v>645</v>
      </c>
      <c r="U22" s="4" t="s">
        <v>572</v>
      </c>
      <c r="V22" s="4" t="s">
        <v>18</v>
      </c>
      <c r="W22" s="4" t="s">
        <v>674</v>
      </c>
      <c r="X22" s="4" t="s">
        <v>675</v>
      </c>
      <c r="Y22" s="4" t="str">
        <f t="shared" si="1"/>
        <v>036-20010434.6.8.2</v>
      </c>
      <c r="Z22" s="4" t="s">
        <v>951</v>
      </c>
      <c r="AA22" s="4" t="s">
        <v>1146</v>
      </c>
      <c r="AB22" s="4" t="s">
        <v>1147</v>
      </c>
      <c r="AC22" s="4" t="s">
        <v>2762</v>
      </c>
    </row>
    <row r="23" spans="1:29">
      <c r="A23" s="6" t="s">
        <v>84</v>
      </c>
      <c r="B23" s="4" t="s">
        <v>4</v>
      </c>
      <c r="C23" s="4" t="s">
        <v>89</v>
      </c>
      <c r="D23" s="6" t="s">
        <v>23</v>
      </c>
      <c r="E23" s="6" t="s">
        <v>25</v>
      </c>
      <c r="F23" s="11" t="s">
        <v>469</v>
      </c>
      <c r="I23" s="7">
        <v>2041</v>
      </c>
      <c r="K23" s="13" t="s">
        <v>526</v>
      </c>
      <c r="L23" s="13" t="s">
        <v>205</v>
      </c>
      <c r="M23" s="7" t="s">
        <v>41</v>
      </c>
      <c r="N23" s="13" t="s">
        <v>206</v>
      </c>
      <c r="O23" s="8" t="str">
        <f t="shared" si="0"/>
        <v>051-200131716.1.2.1.23Прискважинное оборудование</v>
      </c>
      <c r="P23" s="4" t="s">
        <v>649</v>
      </c>
      <c r="Q23" s="4" t="s">
        <v>618</v>
      </c>
      <c r="R23" s="4" t="s">
        <v>2807</v>
      </c>
      <c r="S23" s="4" t="s">
        <v>2873</v>
      </c>
      <c r="T23" s="4" t="s">
        <v>645</v>
      </c>
      <c r="U23" s="4" t="s">
        <v>573</v>
      </c>
      <c r="V23" s="4" t="s">
        <v>18</v>
      </c>
      <c r="W23" s="4" t="s">
        <v>676</v>
      </c>
      <c r="X23" s="4" t="s">
        <v>677</v>
      </c>
      <c r="Y23" s="4" t="str">
        <f t="shared" si="1"/>
        <v>036-20010434.6.8.3</v>
      </c>
      <c r="Z23" s="4" t="s">
        <v>951</v>
      </c>
      <c r="AA23" s="4" t="s">
        <v>1148</v>
      </c>
      <c r="AB23" s="4" t="s">
        <v>1149</v>
      </c>
      <c r="AC23" s="4" t="s">
        <v>2763</v>
      </c>
    </row>
    <row r="24" spans="1:29">
      <c r="A24" s="6" t="s">
        <v>85</v>
      </c>
      <c r="B24" s="4" t="s">
        <v>4</v>
      </c>
      <c r="C24" s="4" t="s">
        <v>144</v>
      </c>
      <c r="D24" s="6" t="s">
        <v>86</v>
      </c>
      <c r="E24" s="6" t="s">
        <v>25</v>
      </c>
      <c r="F24" s="11" t="s">
        <v>471</v>
      </c>
      <c r="I24" s="7">
        <v>2042</v>
      </c>
      <c r="K24" s="13" t="s">
        <v>527</v>
      </c>
      <c r="L24" s="13" t="s">
        <v>165</v>
      </c>
      <c r="M24" s="7" t="s">
        <v>41</v>
      </c>
      <c r="N24" s="13" t="s">
        <v>207</v>
      </c>
      <c r="O24" s="8" t="str">
        <f t="shared" si="0"/>
        <v>051-200131716.1.1.1.23Прискважинное оборудование</v>
      </c>
      <c r="P24" s="4" t="s">
        <v>649</v>
      </c>
      <c r="Q24" s="4" t="s">
        <v>619</v>
      </c>
      <c r="R24" s="4" t="s">
        <v>2807</v>
      </c>
      <c r="S24" s="4" t="s">
        <v>2874</v>
      </c>
      <c r="T24" s="4" t="s">
        <v>645</v>
      </c>
      <c r="U24" s="4" t="s">
        <v>574</v>
      </c>
      <c r="V24" s="4" t="s">
        <v>18</v>
      </c>
      <c r="W24" s="4" t="s">
        <v>678</v>
      </c>
      <c r="X24" s="4" t="s">
        <v>679</v>
      </c>
      <c r="Y24" s="4" t="str">
        <f t="shared" si="1"/>
        <v>051-10056734.6.0.1</v>
      </c>
      <c r="Z24" s="4" t="s">
        <v>973</v>
      </c>
      <c r="AA24" s="4" t="s">
        <v>1150</v>
      </c>
      <c r="AB24" s="4" t="s">
        <v>1151</v>
      </c>
      <c r="AC24" s="4" t="s">
        <v>2764</v>
      </c>
    </row>
    <row r="25" spans="1:29">
      <c r="A25" s="6" t="s">
        <v>87</v>
      </c>
      <c r="B25" s="4" t="s">
        <v>4</v>
      </c>
      <c r="C25" s="4" t="s">
        <v>118</v>
      </c>
      <c r="D25" s="6" t="s">
        <v>88</v>
      </c>
      <c r="E25" s="6" t="s">
        <v>25</v>
      </c>
      <c r="F25" s="11" t="s">
        <v>472</v>
      </c>
      <c r="I25" s="7">
        <v>2043</v>
      </c>
      <c r="K25" s="13" t="s">
        <v>528</v>
      </c>
      <c r="L25" s="13" t="s">
        <v>166</v>
      </c>
      <c r="M25" s="7" t="s">
        <v>41</v>
      </c>
      <c r="N25" s="13" t="s">
        <v>208</v>
      </c>
      <c r="O25" s="8" t="str">
        <f t="shared" si="0"/>
        <v>051-200131716.1.1.2.23Прискважинное оборудование</v>
      </c>
      <c r="P25" s="4" t="s">
        <v>649</v>
      </c>
      <c r="Q25" s="4" t="s">
        <v>620</v>
      </c>
      <c r="R25" s="4" t="s">
        <v>2807</v>
      </c>
      <c r="S25" s="4" t="s">
        <v>2875</v>
      </c>
      <c r="T25" s="4" t="s">
        <v>645</v>
      </c>
      <c r="U25" s="4" t="s">
        <v>575</v>
      </c>
      <c r="V25" s="4" t="s">
        <v>18</v>
      </c>
      <c r="W25" s="4" t="s">
        <v>680</v>
      </c>
      <c r="X25" s="4" t="s">
        <v>681</v>
      </c>
      <c r="Y25" s="4" t="str">
        <f t="shared" si="1"/>
        <v>051-10056734.6.0.2</v>
      </c>
      <c r="Z25" s="4" t="s">
        <v>973</v>
      </c>
      <c r="AA25" s="4" t="s">
        <v>1152</v>
      </c>
      <c r="AB25" s="4" t="s">
        <v>1153</v>
      </c>
      <c r="AC25" s="4" t="s">
        <v>2765</v>
      </c>
    </row>
    <row r="26" spans="1:29">
      <c r="A26" s="4" t="s">
        <v>555</v>
      </c>
      <c r="B26" s="4" t="s">
        <v>4</v>
      </c>
      <c r="C26" s="4" t="s">
        <v>121</v>
      </c>
      <c r="D26" s="6" t="s">
        <v>89</v>
      </c>
      <c r="E26" s="6" t="s">
        <v>92</v>
      </c>
      <c r="F26" s="11" t="s">
        <v>467</v>
      </c>
      <c r="I26" s="7">
        <v>2044</v>
      </c>
      <c r="K26" s="13" t="s">
        <v>529</v>
      </c>
      <c r="L26" s="13" t="s">
        <v>209</v>
      </c>
      <c r="M26" s="7" t="s">
        <v>158</v>
      </c>
      <c r="N26" s="13" t="s">
        <v>210</v>
      </c>
      <c r="O26" s="8" t="str">
        <f t="shared" si="0"/>
        <v>051-200131716.1.1.3.23Прискважинное оборудование</v>
      </c>
      <c r="P26" s="4" t="s">
        <v>649</v>
      </c>
      <c r="Q26" s="4" t="s">
        <v>621</v>
      </c>
      <c r="R26" s="4" t="s">
        <v>2807</v>
      </c>
      <c r="S26" s="4" t="s">
        <v>2876</v>
      </c>
      <c r="T26" s="4" t="s">
        <v>645</v>
      </c>
      <c r="U26" s="4" t="s">
        <v>576</v>
      </c>
      <c r="V26" s="4" t="s">
        <v>18</v>
      </c>
      <c r="W26" s="4" t="s">
        <v>682</v>
      </c>
      <c r="X26" s="4" t="s">
        <v>683</v>
      </c>
      <c r="Y26" s="4" t="str">
        <f t="shared" si="1"/>
        <v>051-200000616.1.1.3</v>
      </c>
      <c r="Z26" s="4" t="s">
        <v>152</v>
      </c>
      <c r="AA26" s="4" t="s">
        <v>633</v>
      </c>
      <c r="AB26" s="4" t="s">
        <v>1154</v>
      </c>
      <c r="AC26" s="4" t="s">
        <v>2766</v>
      </c>
    </row>
    <row r="27" spans="1:29">
      <c r="A27" s="4" t="s">
        <v>556</v>
      </c>
      <c r="B27" s="4" t="s">
        <v>4</v>
      </c>
      <c r="C27" s="4" t="s">
        <v>64</v>
      </c>
      <c r="D27" s="6" t="s">
        <v>24</v>
      </c>
      <c r="E27" s="6" t="s">
        <v>96</v>
      </c>
      <c r="F27" s="11" t="s">
        <v>473</v>
      </c>
      <c r="I27" s="7">
        <v>2045</v>
      </c>
      <c r="K27" s="13" t="s">
        <v>530</v>
      </c>
      <c r="L27" s="13" t="s">
        <v>167</v>
      </c>
      <c r="M27" s="7" t="s">
        <v>158</v>
      </c>
      <c r="N27" s="13" t="s">
        <v>211</v>
      </c>
      <c r="O27" s="8" t="str">
        <f t="shared" si="0"/>
        <v>051-200131716.1.1.1.25Прискважинное оборудование</v>
      </c>
      <c r="P27" s="4" t="s">
        <v>649</v>
      </c>
      <c r="Q27" s="4" t="s">
        <v>622</v>
      </c>
      <c r="R27" s="4" t="s">
        <v>2807</v>
      </c>
      <c r="S27" s="4" t="s">
        <v>2877</v>
      </c>
      <c r="T27" s="4" t="s">
        <v>645</v>
      </c>
      <c r="U27" s="4" t="s">
        <v>577</v>
      </c>
      <c r="V27" s="4" t="s">
        <v>18</v>
      </c>
      <c r="W27" s="4" t="s">
        <v>684</v>
      </c>
      <c r="X27" s="4" t="s">
        <v>685</v>
      </c>
      <c r="Y27" s="4" t="str">
        <f t="shared" si="1"/>
        <v>051-200000616.1.1.2</v>
      </c>
      <c r="Z27" s="4" t="s">
        <v>152</v>
      </c>
      <c r="AA27" s="4" t="s">
        <v>634</v>
      </c>
      <c r="AB27" s="4" t="s">
        <v>1155</v>
      </c>
      <c r="AC27" s="4" t="s">
        <v>2767</v>
      </c>
    </row>
    <row r="28" spans="1:29">
      <c r="A28" s="4" t="s">
        <v>557</v>
      </c>
      <c r="B28" s="4" t="s">
        <v>4</v>
      </c>
      <c r="C28" s="4" t="s">
        <v>65</v>
      </c>
      <c r="D28" s="6" t="s">
        <v>25</v>
      </c>
      <c r="E28" s="6" t="s">
        <v>97</v>
      </c>
      <c r="F28" s="11" t="s">
        <v>474</v>
      </c>
      <c r="I28" s="7">
        <v>2046</v>
      </c>
      <c r="K28" s="13" t="s">
        <v>531</v>
      </c>
      <c r="L28" s="13" t="s">
        <v>168</v>
      </c>
      <c r="M28" s="7" t="s">
        <v>158</v>
      </c>
      <c r="N28" s="13" t="s">
        <v>212</v>
      </c>
      <c r="O28" s="8" t="str">
        <f t="shared" si="0"/>
        <v>051-200131716.1.1.2.25Прискважинное оборудование</v>
      </c>
      <c r="P28" s="4" t="s">
        <v>649</v>
      </c>
      <c r="Q28" s="4" t="s">
        <v>623</v>
      </c>
      <c r="R28" s="4" t="s">
        <v>2807</v>
      </c>
      <c r="S28" s="4" t="s">
        <v>2878</v>
      </c>
      <c r="T28" s="4" t="s">
        <v>645</v>
      </c>
      <c r="U28" s="4" t="s">
        <v>578</v>
      </c>
      <c r="V28" s="4" t="s">
        <v>18</v>
      </c>
      <c r="W28" s="4" t="s">
        <v>686</v>
      </c>
      <c r="X28" s="4" t="s">
        <v>687</v>
      </c>
      <c r="Y28" s="4" t="str">
        <f t="shared" si="1"/>
        <v>051-200000616.1.2.1</v>
      </c>
      <c r="Z28" s="4" t="s">
        <v>152</v>
      </c>
      <c r="AA28" s="4" t="s">
        <v>635</v>
      </c>
      <c r="AB28" s="4" t="s">
        <v>1156</v>
      </c>
      <c r="AC28" s="4" t="s">
        <v>2768</v>
      </c>
    </row>
    <row r="29" spans="1:29">
      <c r="A29" s="4" t="s">
        <v>558</v>
      </c>
      <c r="B29" s="4" t="s">
        <v>4</v>
      </c>
      <c r="C29" s="4" t="s">
        <v>66</v>
      </c>
      <c r="D29" s="6" t="s">
        <v>90</v>
      </c>
      <c r="E29" s="6" t="s">
        <v>26</v>
      </c>
      <c r="F29" s="11" t="s">
        <v>466</v>
      </c>
      <c r="I29" s="7">
        <v>2047</v>
      </c>
      <c r="K29" s="13" t="s">
        <v>532</v>
      </c>
      <c r="L29" s="13" t="s">
        <v>169</v>
      </c>
      <c r="M29" s="7" t="s">
        <v>159</v>
      </c>
      <c r="N29" s="13" t="s">
        <v>213</v>
      </c>
      <c r="O29" s="8" t="str">
        <f t="shared" si="0"/>
        <v>051-200131716.1.1.3.25Прискважинное оборудование</v>
      </c>
      <c r="P29" s="4" t="s">
        <v>649</v>
      </c>
      <c r="Q29" s="4" t="s">
        <v>624</v>
      </c>
      <c r="R29" s="4" t="s">
        <v>2807</v>
      </c>
      <c r="S29" s="4" t="s">
        <v>2879</v>
      </c>
      <c r="T29" s="4" t="s">
        <v>645</v>
      </c>
      <c r="U29" s="4" t="s">
        <v>646</v>
      </c>
      <c r="V29" s="4" t="s">
        <v>18</v>
      </c>
      <c r="W29" s="4" t="s">
        <v>688</v>
      </c>
      <c r="X29" s="4" t="s">
        <v>689</v>
      </c>
      <c r="Y29" s="4" t="str">
        <f t="shared" si="1"/>
        <v>051-200000616.1.2.2</v>
      </c>
      <c r="Z29" s="4" t="s">
        <v>152</v>
      </c>
      <c r="AA29" s="4" t="s">
        <v>636</v>
      </c>
      <c r="AB29" s="4" t="s">
        <v>1157</v>
      </c>
      <c r="AC29" s="4" t="s">
        <v>2769</v>
      </c>
    </row>
    <row r="30" spans="1:29">
      <c r="A30" s="4" t="s">
        <v>559</v>
      </c>
      <c r="B30" s="4" t="s">
        <v>4</v>
      </c>
      <c r="C30" s="4" t="s">
        <v>70</v>
      </c>
      <c r="D30" s="6" t="s">
        <v>91</v>
      </c>
      <c r="E30" s="6" t="s">
        <v>459</v>
      </c>
      <c r="F30" s="12" t="s">
        <v>475</v>
      </c>
      <c r="I30" s="7">
        <v>2048</v>
      </c>
      <c r="K30" s="13" t="s">
        <v>533</v>
      </c>
      <c r="L30" s="13" t="s">
        <v>214</v>
      </c>
      <c r="M30" s="7" t="s">
        <v>159</v>
      </c>
      <c r="N30" s="13" t="s">
        <v>215</v>
      </c>
      <c r="O30" s="8" t="str">
        <f t="shared" si="0"/>
        <v>051-200131716.2.2.1ЗРА</v>
      </c>
      <c r="P30" s="4" t="s">
        <v>649</v>
      </c>
      <c r="Q30" s="4" t="s">
        <v>625</v>
      </c>
      <c r="R30" s="4" t="s">
        <v>2851</v>
      </c>
      <c r="S30" s="4" t="s">
        <v>2880</v>
      </c>
      <c r="T30" s="4" t="s">
        <v>645</v>
      </c>
      <c r="U30" s="4" t="s">
        <v>579</v>
      </c>
      <c r="V30" s="4" t="s">
        <v>18</v>
      </c>
      <c r="W30" s="4" t="s">
        <v>690</v>
      </c>
      <c r="X30" s="4" t="s">
        <v>691</v>
      </c>
      <c r="Y30" s="4" t="str">
        <f t="shared" si="1"/>
        <v>051-20007916.8.ВЖК.1.23</v>
      </c>
      <c r="Z30" s="4" t="s">
        <v>835</v>
      </c>
      <c r="AA30" s="4" t="s">
        <v>1158</v>
      </c>
      <c r="AB30" s="4" t="s">
        <v>1159</v>
      </c>
      <c r="AC30" s="4" t="s">
        <v>2770</v>
      </c>
    </row>
    <row r="31" spans="1:29">
      <c r="A31" s="4" t="s">
        <v>560</v>
      </c>
      <c r="B31" s="4" t="s">
        <v>4</v>
      </c>
      <c r="C31" s="4" t="s">
        <v>79</v>
      </c>
      <c r="D31" s="6" t="s">
        <v>92</v>
      </c>
      <c r="E31" s="6" t="s">
        <v>459</v>
      </c>
      <c r="F31" s="12" t="s">
        <v>476</v>
      </c>
      <c r="I31" s="7">
        <v>2049</v>
      </c>
      <c r="K31" s="13" t="s">
        <v>534</v>
      </c>
      <c r="L31" s="13" t="s">
        <v>170</v>
      </c>
      <c r="M31" s="7" t="s">
        <v>159</v>
      </c>
      <c r="N31" s="13" t="s">
        <v>216</v>
      </c>
      <c r="O31" s="8" t="str">
        <f t="shared" si="0"/>
        <v>051-200131716.3.1.1Насосная</v>
      </c>
      <c r="P31" s="4" t="s">
        <v>649</v>
      </c>
      <c r="Q31" s="4" t="s">
        <v>626</v>
      </c>
      <c r="R31" s="4" t="s">
        <v>2797</v>
      </c>
      <c r="S31" s="4" t="s">
        <v>2881</v>
      </c>
      <c r="T31" s="4" t="s">
        <v>645</v>
      </c>
      <c r="U31" s="4" t="s">
        <v>580</v>
      </c>
      <c r="V31" s="4" t="s">
        <v>18</v>
      </c>
      <c r="W31" s="4" t="s">
        <v>692</v>
      </c>
      <c r="X31" s="4" t="s">
        <v>693</v>
      </c>
      <c r="Y31" s="4" t="str">
        <f t="shared" si="1"/>
        <v>051-20007928.8.1.1</v>
      </c>
      <c r="Z31" s="4" t="s">
        <v>1103</v>
      </c>
      <c r="AA31" s="4" t="s">
        <v>1160</v>
      </c>
      <c r="AB31" s="4" t="s">
        <v>1161</v>
      </c>
      <c r="AC31" s="4" t="s">
        <v>2771</v>
      </c>
    </row>
    <row r="32" spans="1:29">
      <c r="A32" s="4" t="s">
        <v>561</v>
      </c>
      <c r="B32" s="4" t="s">
        <v>4</v>
      </c>
      <c r="C32" s="4" t="s">
        <v>142</v>
      </c>
      <c r="D32" s="6" t="s">
        <v>93</v>
      </c>
      <c r="E32" s="6" t="s">
        <v>459</v>
      </c>
      <c r="F32" s="12" t="s">
        <v>477</v>
      </c>
      <c r="I32" s="7">
        <v>2050</v>
      </c>
      <c r="K32" s="13" t="s">
        <v>535</v>
      </c>
      <c r="L32" s="13" t="s">
        <v>172</v>
      </c>
      <c r="M32" s="7" t="s">
        <v>159</v>
      </c>
      <c r="N32" s="13" t="s">
        <v>217</v>
      </c>
      <c r="O32" s="8" t="str">
        <f t="shared" si="0"/>
        <v>051-200131716.3.1.1ЗРА</v>
      </c>
      <c r="P32" s="4" t="s">
        <v>649</v>
      </c>
      <c r="Q32" s="4" t="s">
        <v>626</v>
      </c>
      <c r="R32" s="4" t="s">
        <v>2851</v>
      </c>
      <c r="S32" s="4" t="s">
        <v>2882</v>
      </c>
      <c r="T32" s="4" t="s">
        <v>645</v>
      </c>
      <c r="U32" s="4" t="s">
        <v>581</v>
      </c>
      <c r="V32" s="4" t="s">
        <v>18</v>
      </c>
      <c r="W32" s="4" t="s">
        <v>694</v>
      </c>
      <c r="X32" s="4" t="s">
        <v>695</v>
      </c>
      <c r="Y32" s="4" t="str">
        <f t="shared" si="1"/>
        <v>051-20007937.6.1.2</v>
      </c>
      <c r="Z32" s="4" t="s">
        <v>1035</v>
      </c>
      <c r="AA32" s="4" t="s">
        <v>1162</v>
      </c>
      <c r="AB32" s="4" t="s">
        <v>1163</v>
      </c>
      <c r="AC32" s="4" t="s">
        <v>2772</v>
      </c>
    </row>
    <row r="33" spans="1:29">
      <c r="A33" s="4" t="s">
        <v>562</v>
      </c>
      <c r="B33" s="4" t="s">
        <v>4</v>
      </c>
      <c r="C33" s="4" t="s">
        <v>139</v>
      </c>
      <c r="D33" s="6" t="s">
        <v>94</v>
      </c>
      <c r="E33" s="6" t="s">
        <v>27</v>
      </c>
      <c r="F33" s="12" t="s">
        <v>469</v>
      </c>
      <c r="I33" s="7">
        <v>2051</v>
      </c>
      <c r="K33" s="13" t="s">
        <v>536</v>
      </c>
      <c r="L33" s="13" t="s">
        <v>173</v>
      </c>
      <c r="M33" s="7" t="s">
        <v>159</v>
      </c>
      <c r="N33" s="13" t="s">
        <v>218</v>
      </c>
      <c r="O33" s="8" t="str">
        <f t="shared" si="0"/>
        <v>051-200131716.3.1.1ЭСН</v>
      </c>
      <c r="P33" s="4" t="s">
        <v>649</v>
      </c>
      <c r="Q33" s="4" t="s">
        <v>626</v>
      </c>
      <c r="R33" s="4" t="s">
        <v>2846</v>
      </c>
      <c r="S33" s="4" t="s">
        <v>2883</v>
      </c>
      <c r="T33" s="4" t="s">
        <v>645</v>
      </c>
      <c r="U33" s="4" t="s">
        <v>582</v>
      </c>
      <c r="V33" s="4" t="s">
        <v>18</v>
      </c>
      <c r="W33" s="4" t="s">
        <v>696</v>
      </c>
      <c r="X33" s="4" t="s">
        <v>697</v>
      </c>
      <c r="Y33" s="4" t="str">
        <f t="shared" si="1"/>
        <v>051-20007937.6.1.3</v>
      </c>
      <c r="Z33" s="4" t="s">
        <v>1035</v>
      </c>
      <c r="AA33" s="4" t="s">
        <v>1164</v>
      </c>
      <c r="AB33" s="4" t="s">
        <v>1165</v>
      </c>
      <c r="AC33" s="4" t="s">
        <v>2773</v>
      </c>
    </row>
    <row r="34" spans="1:29">
      <c r="A34" s="4" t="s">
        <v>563</v>
      </c>
      <c r="B34" s="4" t="s">
        <v>4</v>
      </c>
      <c r="C34" s="4" t="s">
        <v>135</v>
      </c>
      <c r="D34" s="6" t="s">
        <v>95</v>
      </c>
      <c r="E34" s="6" t="s">
        <v>27</v>
      </c>
      <c r="F34" s="12" t="s">
        <v>478</v>
      </c>
      <c r="I34" s="7">
        <v>2052</v>
      </c>
      <c r="K34" s="13" t="s">
        <v>537</v>
      </c>
      <c r="L34" s="13" t="s">
        <v>174</v>
      </c>
      <c r="M34" s="7" t="s">
        <v>159</v>
      </c>
      <c r="N34" s="13" t="s">
        <v>219</v>
      </c>
      <c r="O34" s="8" t="str">
        <f t="shared" si="0"/>
        <v>051-200131716.3.2.1Сети водоснабжения и канализации</v>
      </c>
      <c r="P34" s="4" t="s">
        <v>649</v>
      </c>
      <c r="Q34" s="4" t="s">
        <v>627</v>
      </c>
      <c r="R34" s="4" t="s">
        <v>2815</v>
      </c>
      <c r="S34" s="4" t="s">
        <v>2884</v>
      </c>
      <c r="V34" s="4" t="s">
        <v>18</v>
      </c>
      <c r="W34" s="4" t="s">
        <v>698</v>
      </c>
      <c r="X34" s="4" t="s">
        <v>699</v>
      </c>
      <c r="Y34" s="4" t="str">
        <f t="shared" si="1"/>
        <v>051-20007937.3.1.2</v>
      </c>
      <c r="Z34" s="4" t="s">
        <v>1035</v>
      </c>
      <c r="AA34" s="4" t="s">
        <v>1166</v>
      </c>
      <c r="AB34" s="4" t="s">
        <v>1167</v>
      </c>
      <c r="AC34" s="4" t="s">
        <v>2774</v>
      </c>
    </row>
    <row r="35" spans="1:29">
      <c r="A35" s="4" t="s">
        <v>564</v>
      </c>
      <c r="B35" s="4" t="s">
        <v>4</v>
      </c>
      <c r="C35" s="4" t="s">
        <v>134</v>
      </c>
      <c r="D35" s="6" t="s">
        <v>96</v>
      </c>
      <c r="E35" s="6" t="s">
        <v>27</v>
      </c>
      <c r="F35" s="12" t="s">
        <v>466</v>
      </c>
      <c r="I35" s="7">
        <v>2053</v>
      </c>
      <c r="K35" s="13" t="s">
        <v>538</v>
      </c>
      <c r="L35" s="13" t="s">
        <v>220</v>
      </c>
      <c r="M35" s="7" t="s">
        <v>159</v>
      </c>
      <c r="N35" s="13" t="s">
        <v>221</v>
      </c>
      <c r="O35" s="8" t="str">
        <f t="shared" si="0"/>
        <v>051-200131716.3.2.1Насосная</v>
      </c>
      <c r="P35" s="4" t="s">
        <v>649</v>
      </c>
      <c r="Q35" s="4" t="s">
        <v>627</v>
      </c>
      <c r="R35" s="4" t="s">
        <v>2797</v>
      </c>
      <c r="S35" s="4" t="s">
        <v>2885</v>
      </c>
      <c r="V35" s="4" t="s">
        <v>700</v>
      </c>
      <c r="W35" s="4" t="s">
        <v>701</v>
      </c>
      <c r="X35" s="4" t="s">
        <v>702</v>
      </c>
      <c r="Y35" s="4" t="str">
        <f t="shared" si="1"/>
        <v>051-20007937.8.ВЖК.1</v>
      </c>
      <c r="Z35" s="4" t="s">
        <v>1035</v>
      </c>
      <c r="AA35" s="4" t="s">
        <v>1168</v>
      </c>
      <c r="AB35" s="4" t="s">
        <v>1169</v>
      </c>
      <c r="AC35" s="4" t="s">
        <v>2775</v>
      </c>
    </row>
    <row r="36" spans="1:29">
      <c r="A36" s="4" t="s">
        <v>565</v>
      </c>
      <c r="B36" s="4" t="s">
        <v>4</v>
      </c>
      <c r="C36" s="4" t="s">
        <v>123</v>
      </c>
      <c r="D36" s="6" t="s">
        <v>97</v>
      </c>
      <c r="E36" s="6" t="s">
        <v>27</v>
      </c>
      <c r="F36" s="12" t="s">
        <v>479</v>
      </c>
      <c r="I36" s="7">
        <v>2054</v>
      </c>
      <c r="K36" s="13" t="s">
        <v>539</v>
      </c>
      <c r="L36" s="13" t="s">
        <v>222</v>
      </c>
      <c r="M36" s="7" t="s">
        <v>160</v>
      </c>
      <c r="N36" s="13" t="s">
        <v>223</v>
      </c>
      <c r="O36" s="8" t="str">
        <f t="shared" si="0"/>
        <v>051-200131716.3.2.1ЗРА</v>
      </c>
      <c r="P36" s="4" t="s">
        <v>649</v>
      </c>
      <c r="Q36" s="4" t="s">
        <v>627</v>
      </c>
      <c r="R36" s="4" t="s">
        <v>2851</v>
      </c>
      <c r="S36" s="4" t="s">
        <v>2886</v>
      </c>
      <c r="V36" s="4" t="s">
        <v>700</v>
      </c>
      <c r="W36" s="4" t="s">
        <v>703</v>
      </c>
      <c r="X36" s="4" t="s">
        <v>704</v>
      </c>
      <c r="Y36" s="4" t="str">
        <f t="shared" si="1"/>
        <v>051-20007937.8.1.1</v>
      </c>
      <c r="Z36" s="4" t="s">
        <v>1035</v>
      </c>
      <c r="AA36" s="4" t="s">
        <v>1170</v>
      </c>
      <c r="AB36" s="4" t="s">
        <v>1171</v>
      </c>
      <c r="AC36" s="4" t="s">
        <v>2776</v>
      </c>
    </row>
    <row r="37" spans="1:29">
      <c r="B37" s="4" t="s">
        <v>4</v>
      </c>
      <c r="C37" s="4" t="s">
        <v>93</v>
      </c>
      <c r="D37" s="6" t="s">
        <v>26</v>
      </c>
      <c r="E37" s="6" t="s">
        <v>105</v>
      </c>
      <c r="F37" s="12" t="s">
        <v>465</v>
      </c>
      <c r="I37" s="7">
        <v>2055</v>
      </c>
      <c r="K37" s="13" t="s">
        <v>540</v>
      </c>
      <c r="L37" s="13" t="s">
        <v>224</v>
      </c>
      <c r="M37" s="7" t="s">
        <v>160</v>
      </c>
      <c r="N37" s="13" t="s">
        <v>225</v>
      </c>
      <c r="O37" s="8" t="str">
        <f t="shared" si="0"/>
        <v>051-200131716.3.2.1ЭСН</v>
      </c>
      <c r="P37" s="4" t="s">
        <v>649</v>
      </c>
      <c r="Q37" s="4" t="s">
        <v>627</v>
      </c>
      <c r="R37" s="4" t="s">
        <v>2846</v>
      </c>
      <c r="S37" s="4" t="s">
        <v>2887</v>
      </c>
      <c r="V37" s="4" t="s">
        <v>70</v>
      </c>
      <c r="W37" s="4" t="s">
        <v>705</v>
      </c>
      <c r="X37" s="4" t="s">
        <v>706</v>
      </c>
      <c r="Y37" s="4" t="str">
        <f t="shared" si="1"/>
        <v>051-20008047.3.1.3</v>
      </c>
      <c r="Z37" s="4" t="s">
        <v>1039</v>
      </c>
      <c r="AA37" s="4" t="s">
        <v>1172</v>
      </c>
      <c r="AB37" s="4" t="s">
        <v>1173</v>
      </c>
      <c r="AC37" s="4" t="s">
        <v>2777</v>
      </c>
    </row>
    <row r="38" spans="1:29">
      <c r="B38" s="4" t="s">
        <v>4</v>
      </c>
      <c r="C38" s="4" t="s">
        <v>91</v>
      </c>
      <c r="D38" s="6" t="s">
        <v>98</v>
      </c>
      <c r="E38" s="6" t="s">
        <v>107</v>
      </c>
      <c r="F38" s="12" t="s">
        <v>480</v>
      </c>
      <c r="I38" s="7">
        <v>2056</v>
      </c>
      <c r="K38" s="13" t="s">
        <v>541</v>
      </c>
      <c r="L38" s="13" t="s">
        <v>226</v>
      </c>
      <c r="M38" s="7" t="s">
        <v>160</v>
      </c>
      <c r="N38" s="13" t="s">
        <v>227</v>
      </c>
      <c r="O38" s="8" t="str">
        <f t="shared" si="0"/>
        <v>051-200131716.6.1.1КТП</v>
      </c>
      <c r="P38" s="4" t="s">
        <v>649</v>
      </c>
      <c r="Q38" s="4" t="s">
        <v>628</v>
      </c>
      <c r="R38" s="4" t="s">
        <v>2790</v>
      </c>
      <c r="S38" s="4" t="s">
        <v>2888</v>
      </c>
      <c r="V38" s="4" t="s">
        <v>73</v>
      </c>
      <c r="W38" s="4" t="s">
        <v>707</v>
      </c>
      <c r="X38" s="4" t="s">
        <v>708</v>
      </c>
      <c r="Y38" s="4" t="str">
        <f t="shared" si="1"/>
        <v>051-20008047.5.1.5</v>
      </c>
      <c r="Z38" s="4" t="s">
        <v>1039</v>
      </c>
      <c r="AA38" s="4" t="s">
        <v>1174</v>
      </c>
      <c r="AB38" s="4" t="s">
        <v>1175</v>
      </c>
      <c r="AC38" s="4" t="s">
        <v>2778</v>
      </c>
    </row>
    <row r="39" spans="1:29">
      <c r="B39" s="4" t="s">
        <v>4</v>
      </c>
      <c r="C39" s="4" t="s">
        <v>86</v>
      </c>
      <c r="D39" s="6" t="s">
        <v>99</v>
      </c>
      <c r="E39" s="6" t="s">
        <v>107</v>
      </c>
      <c r="F39" s="6" t="s">
        <v>481</v>
      </c>
      <c r="I39" s="7">
        <v>2057</v>
      </c>
      <c r="K39" s="13" t="s">
        <v>542</v>
      </c>
      <c r="L39" s="13" t="s">
        <v>228</v>
      </c>
      <c r="M39" s="7" t="s">
        <v>160</v>
      </c>
      <c r="N39" s="13" t="s">
        <v>229</v>
      </c>
      <c r="O39" s="8" t="str">
        <f t="shared" si="0"/>
        <v>051-200131716.6.2.1КТП</v>
      </c>
      <c r="P39" s="4" t="s">
        <v>649</v>
      </c>
      <c r="Q39" s="4" t="s">
        <v>629</v>
      </c>
      <c r="R39" s="4" t="s">
        <v>2790</v>
      </c>
      <c r="S39" s="4" t="s">
        <v>2889</v>
      </c>
      <c r="V39" s="4" t="s">
        <v>73</v>
      </c>
      <c r="W39" s="4" t="s">
        <v>709</v>
      </c>
      <c r="X39" s="4" t="s">
        <v>710</v>
      </c>
      <c r="Y39" s="4" t="str">
        <f t="shared" si="1"/>
        <v>051-20008047.5.1.6</v>
      </c>
      <c r="Z39" s="4" t="s">
        <v>1039</v>
      </c>
      <c r="AA39" s="4" t="s">
        <v>1176</v>
      </c>
      <c r="AB39" s="4" t="s">
        <v>1177</v>
      </c>
      <c r="AC39" s="4" t="s">
        <v>2779</v>
      </c>
    </row>
    <row r="40" spans="1:29">
      <c r="B40" s="4" t="s">
        <v>4</v>
      </c>
      <c r="C40" s="4" t="s">
        <v>88</v>
      </c>
      <c r="D40" s="6" t="s">
        <v>100</v>
      </c>
      <c r="E40" s="6" t="s">
        <v>107</v>
      </c>
      <c r="F40" s="6" t="s">
        <v>482</v>
      </c>
      <c r="I40" s="7">
        <v>2058</v>
      </c>
      <c r="K40" s="13" t="s">
        <v>542</v>
      </c>
      <c r="L40" s="13" t="s">
        <v>230</v>
      </c>
      <c r="M40" s="7" t="s">
        <v>160</v>
      </c>
      <c r="N40" s="13" t="s">
        <v>231</v>
      </c>
      <c r="O40" s="8" t="str">
        <f t="shared" si="0"/>
        <v>051-200131716.6.1.3ЭХЗ</v>
      </c>
      <c r="P40" s="4" t="s">
        <v>649</v>
      </c>
      <c r="Q40" s="4" t="s">
        <v>630</v>
      </c>
      <c r="R40" s="4" t="s">
        <v>2847</v>
      </c>
      <c r="S40" s="4" t="s">
        <v>2890</v>
      </c>
      <c r="V40" s="4" t="s">
        <v>20</v>
      </c>
      <c r="W40" s="4" t="s">
        <v>711</v>
      </c>
      <c r="X40" s="4" t="s">
        <v>712</v>
      </c>
      <c r="Y40" s="4" t="str">
        <f t="shared" si="1"/>
        <v>051-20008047.1.1.26</v>
      </c>
      <c r="Z40" s="4" t="s">
        <v>1039</v>
      </c>
      <c r="AA40" s="4" t="s">
        <v>1178</v>
      </c>
      <c r="AB40" s="4" t="s">
        <v>1179</v>
      </c>
      <c r="AC40" s="4" t="s">
        <v>2780</v>
      </c>
    </row>
    <row r="41" spans="1:29">
      <c r="B41" s="4" t="s">
        <v>4</v>
      </c>
      <c r="C41" s="4" t="s">
        <v>95</v>
      </c>
      <c r="D41" s="6" t="s">
        <v>101</v>
      </c>
      <c r="E41" s="6" t="s">
        <v>107</v>
      </c>
      <c r="F41" s="6" t="s">
        <v>483</v>
      </c>
      <c r="I41" s="7">
        <v>2059</v>
      </c>
      <c r="K41" s="13" t="s">
        <v>542</v>
      </c>
      <c r="L41" s="13" t="s">
        <v>232</v>
      </c>
      <c r="M41" s="7" t="s">
        <v>160</v>
      </c>
      <c r="N41" s="13" t="s">
        <v>233</v>
      </c>
      <c r="O41" s="8" t="str">
        <f t="shared" si="0"/>
        <v>051-200131716.6.2.2ЭХЗ</v>
      </c>
      <c r="P41" s="4" t="s">
        <v>649</v>
      </c>
      <c r="Q41" s="4" t="s">
        <v>631</v>
      </c>
      <c r="R41" s="4" t="s">
        <v>2847</v>
      </c>
      <c r="S41" s="4" t="s">
        <v>2891</v>
      </c>
      <c r="V41" s="4" t="s">
        <v>20</v>
      </c>
      <c r="W41" s="4" t="s">
        <v>713</v>
      </c>
      <c r="X41" s="4" t="s">
        <v>714</v>
      </c>
      <c r="Y41" s="4" t="str">
        <f t="shared" si="1"/>
        <v>051-20008047.1.1.38</v>
      </c>
      <c r="Z41" s="4" t="s">
        <v>1039</v>
      </c>
      <c r="AA41" s="4" t="s">
        <v>1180</v>
      </c>
      <c r="AB41" s="4" t="s">
        <v>1181</v>
      </c>
      <c r="AC41" s="4" t="s">
        <v>2781</v>
      </c>
    </row>
    <row r="42" spans="1:29" ht="25.5">
      <c r="B42" s="4" t="s">
        <v>4</v>
      </c>
      <c r="C42" s="4" t="s">
        <v>98</v>
      </c>
      <c r="D42" s="6" t="s">
        <v>102</v>
      </c>
      <c r="E42" s="6" t="s">
        <v>460</v>
      </c>
      <c r="F42" s="6" t="s">
        <v>484</v>
      </c>
      <c r="I42" s="7">
        <v>2060</v>
      </c>
      <c r="K42" s="13" t="s">
        <v>542</v>
      </c>
      <c r="L42" s="13" t="s">
        <v>234</v>
      </c>
      <c r="M42" s="7" t="s">
        <v>160</v>
      </c>
      <c r="N42" s="13" t="s">
        <v>235</v>
      </c>
      <c r="O42" s="8" t="str">
        <f t="shared" si="0"/>
        <v>051-200131716.3.1.1.25Сети водоснабжения и канализации</v>
      </c>
      <c r="P42" s="4" t="s">
        <v>649</v>
      </c>
      <c r="Q42" s="4" t="s">
        <v>632</v>
      </c>
      <c r="R42" s="4" t="s">
        <v>2815</v>
      </c>
      <c r="S42" s="4" t="s">
        <v>2892</v>
      </c>
      <c r="V42" s="4" t="s">
        <v>20</v>
      </c>
      <c r="W42" s="4" t="s">
        <v>715</v>
      </c>
      <c r="X42" s="4" t="s">
        <v>716</v>
      </c>
      <c r="Y42" s="4" t="str">
        <f t="shared" si="1"/>
        <v>051-20008047.1.1.39</v>
      </c>
      <c r="Z42" s="4" t="s">
        <v>1039</v>
      </c>
      <c r="AA42" s="4" t="s">
        <v>1182</v>
      </c>
      <c r="AB42" s="4" t="s">
        <v>1183</v>
      </c>
      <c r="AC42" s="4" t="s">
        <v>2782</v>
      </c>
    </row>
    <row r="43" spans="1:29" ht="25.5">
      <c r="B43" s="4" t="s">
        <v>4</v>
      </c>
      <c r="C43" s="4" t="s">
        <v>103</v>
      </c>
      <c r="D43" s="6" t="s">
        <v>27</v>
      </c>
      <c r="E43" s="6" t="s">
        <v>112</v>
      </c>
      <c r="F43" s="6" t="s">
        <v>71</v>
      </c>
      <c r="I43" s="7">
        <v>2061</v>
      </c>
      <c r="K43" s="13" t="s">
        <v>542</v>
      </c>
      <c r="L43" s="13" t="s">
        <v>236</v>
      </c>
      <c r="M43" s="7" t="s">
        <v>161</v>
      </c>
      <c r="N43" s="13" t="s">
        <v>237</v>
      </c>
      <c r="O43" s="8" t="str">
        <f t="shared" si="0"/>
        <v>051-200000616.1.1.3Боковой ствол</v>
      </c>
      <c r="P43" s="4" t="s">
        <v>152</v>
      </c>
      <c r="Q43" s="4" t="s">
        <v>633</v>
      </c>
      <c r="R43" s="4" t="s">
        <v>2747</v>
      </c>
      <c r="S43" s="4" t="s">
        <v>638</v>
      </c>
      <c r="V43" s="4" t="s">
        <v>22</v>
      </c>
      <c r="W43" s="4" t="s">
        <v>717</v>
      </c>
      <c r="X43" s="4" t="s">
        <v>718</v>
      </c>
      <c r="Y43" s="4" t="str">
        <f t="shared" si="1"/>
        <v>051-20008047.1.1.40</v>
      </c>
      <c r="Z43" s="4" t="s">
        <v>1039</v>
      </c>
      <c r="AA43" s="4" t="s">
        <v>1184</v>
      </c>
      <c r="AB43" s="4" t="s">
        <v>1185</v>
      </c>
      <c r="AC43" s="4" t="s">
        <v>2783</v>
      </c>
    </row>
    <row r="44" spans="1:29">
      <c r="B44" s="4" t="s">
        <v>4</v>
      </c>
      <c r="C44" s="4" t="s">
        <v>106</v>
      </c>
      <c r="D44" s="6" t="s">
        <v>103</v>
      </c>
      <c r="E44" s="6" t="s">
        <v>112</v>
      </c>
      <c r="F44" s="6" t="s">
        <v>485</v>
      </c>
      <c r="I44" s="7">
        <v>2062</v>
      </c>
      <c r="K44" s="13" t="s">
        <v>543</v>
      </c>
      <c r="L44" s="13" t="s">
        <v>45</v>
      </c>
      <c r="M44" s="7" t="s">
        <v>161</v>
      </c>
      <c r="N44" s="13" t="s">
        <v>238</v>
      </c>
      <c r="O44" s="8" t="str">
        <f t="shared" si="0"/>
        <v>051-200000616.1.1.2Боковой ствол</v>
      </c>
      <c r="P44" s="4" t="s">
        <v>152</v>
      </c>
      <c r="Q44" s="4" t="s">
        <v>634</v>
      </c>
      <c r="R44" s="4" t="s">
        <v>2747</v>
      </c>
      <c r="S44" s="4" t="s">
        <v>639</v>
      </c>
      <c r="V44" s="4" t="s">
        <v>22</v>
      </c>
      <c r="W44" s="4" t="s">
        <v>719</v>
      </c>
      <c r="X44" s="4" t="s">
        <v>720</v>
      </c>
      <c r="Y44" s="4" t="str">
        <f t="shared" si="1"/>
        <v>051-20008047.1.1.41</v>
      </c>
      <c r="Z44" s="4" t="s">
        <v>1039</v>
      </c>
      <c r="AA44" s="4" t="s">
        <v>1186</v>
      </c>
      <c r="AB44" s="4" t="s">
        <v>1187</v>
      </c>
      <c r="AC44" s="4" t="s">
        <v>2784</v>
      </c>
    </row>
    <row r="45" spans="1:29">
      <c r="B45" s="4" t="s">
        <v>4</v>
      </c>
      <c r="C45" s="4" t="s">
        <v>124</v>
      </c>
      <c r="D45" s="6" t="s">
        <v>104</v>
      </c>
      <c r="E45" s="6" t="s">
        <v>112</v>
      </c>
      <c r="F45" s="6" t="s">
        <v>486</v>
      </c>
      <c r="I45" s="7">
        <v>2063</v>
      </c>
      <c r="K45" s="13" t="s">
        <v>544</v>
      </c>
      <c r="L45" s="13" t="s">
        <v>239</v>
      </c>
      <c r="M45" s="7" t="s">
        <v>161</v>
      </c>
      <c r="N45" s="13" t="s">
        <v>240</v>
      </c>
      <c r="O45" s="8" t="str">
        <f t="shared" si="0"/>
        <v>051-200000616.1.2.1Боковой ствол</v>
      </c>
      <c r="P45" s="4" t="s">
        <v>152</v>
      </c>
      <c r="Q45" s="4" t="s">
        <v>635</v>
      </c>
      <c r="R45" s="4" t="s">
        <v>2747</v>
      </c>
      <c r="S45" s="4" t="s">
        <v>640</v>
      </c>
      <c r="V45" s="4" t="s">
        <v>22</v>
      </c>
      <c r="W45" s="4" t="s">
        <v>721</v>
      </c>
      <c r="X45" s="4" t="s">
        <v>722</v>
      </c>
      <c r="Y45" s="4" t="str">
        <f t="shared" si="1"/>
        <v>051-20008047.1.1.42</v>
      </c>
      <c r="Z45" s="4" t="s">
        <v>1039</v>
      </c>
      <c r="AA45" s="4" t="s">
        <v>1188</v>
      </c>
      <c r="AB45" s="4" t="s">
        <v>1189</v>
      </c>
      <c r="AC45" s="4" t="s">
        <v>2785</v>
      </c>
    </row>
    <row r="46" spans="1:29">
      <c r="B46" s="4" t="s">
        <v>4</v>
      </c>
      <c r="C46" s="4" t="s">
        <v>127</v>
      </c>
      <c r="D46" s="6" t="s">
        <v>105</v>
      </c>
      <c r="E46" s="6" t="s">
        <v>112</v>
      </c>
      <c r="F46" s="6" t="s">
        <v>487</v>
      </c>
      <c r="I46" s="7">
        <v>2064</v>
      </c>
      <c r="K46" s="13" t="s">
        <v>544</v>
      </c>
      <c r="L46" s="13" t="s">
        <v>241</v>
      </c>
      <c r="M46" s="7" t="s">
        <v>161</v>
      </c>
      <c r="N46" s="13" t="s">
        <v>242</v>
      </c>
      <c r="O46" s="8" t="str">
        <f t="shared" si="0"/>
        <v>051-200000616.1.2.2Боковой ствол</v>
      </c>
      <c r="P46" s="4" t="s">
        <v>152</v>
      </c>
      <c r="Q46" s="4" t="s">
        <v>636</v>
      </c>
      <c r="R46" s="4" t="s">
        <v>2747</v>
      </c>
      <c r="S46" s="4" t="s">
        <v>641</v>
      </c>
      <c r="V46" s="4" t="s">
        <v>23</v>
      </c>
      <c r="W46" s="4" t="s">
        <v>723</v>
      </c>
      <c r="X46" s="4" t="s">
        <v>724</v>
      </c>
      <c r="Y46" s="4" t="str">
        <f t="shared" si="1"/>
        <v>051-20008047.1.1.43</v>
      </c>
      <c r="Z46" s="4" t="s">
        <v>1039</v>
      </c>
      <c r="AA46" s="4" t="s">
        <v>1190</v>
      </c>
      <c r="AB46" s="4" t="s">
        <v>1191</v>
      </c>
      <c r="AC46" s="4" t="s">
        <v>2786</v>
      </c>
    </row>
    <row r="47" spans="1:29">
      <c r="B47" s="4" t="s">
        <v>4</v>
      </c>
      <c r="C47" s="4" t="s">
        <v>131</v>
      </c>
      <c r="D47" s="6" t="s">
        <v>106</v>
      </c>
      <c r="E47" s="6" t="s">
        <v>112</v>
      </c>
      <c r="F47" s="6" t="s">
        <v>488</v>
      </c>
      <c r="I47" s="7">
        <v>2065</v>
      </c>
      <c r="K47" s="13" t="s">
        <v>544</v>
      </c>
      <c r="L47" s="13" t="s">
        <v>243</v>
      </c>
      <c r="M47" s="7" t="s">
        <v>161</v>
      </c>
      <c r="N47" s="13" t="s">
        <v>244</v>
      </c>
      <c r="O47" s="8" t="str">
        <f t="shared" si="0"/>
        <v>051-200439516.1.2.21НКТ</v>
      </c>
      <c r="P47" s="4" t="s">
        <v>597</v>
      </c>
      <c r="Q47" s="4" t="s">
        <v>637</v>
      </c>
      <c r="R47" s="4" t="s">
        <v>2798</v>
      </c>
      <c r="S47" s="4" t="s">
        <v>642</v>
      </c>
      <c r="V47" s="4" t="s">
        <v>23</v>
      </c>
      <c r="W47" s="4" t="s">
        <v>725</v>
      </c>
      <c r="X47" s="4" t="s">
        <v>726</v>
      </c>
      <c r="Y47" s="4" t="str">
        <f t="shared" si="1"/>
        <v>051-20008047.1.1.44</v>
      </c>
      <c r="Z47" s="4" t="s">
        <v>1039</v>
      </c>
      <c r="AA47" s="4" t="s">
        <v>1192</v>
      </c>
      <c r="AB47" s="4" t="s">
        <v>1193</v>
      </c>
      <c r="AC47" s="4" t="s">
        <v>2787</v>
      </c>
    </row>
    <row r="48" spans="1:29">
      <c r="B48" s="4" t="s">
        <v>4</v>
      </c>
      <c r="C48" s="4" t="s">
        <v>133</v>
      </c>
      <c r="D48" s="6" t="s">
        <v>107</v>
      </c>
      <c r="E48" s="6" t="s">
        <v>112</v>
      </c>
      <c r="F48" s="6" t="s">
        <v>489</v>
      </c>
      <c r="I48" s="7">
        <v>2066</v>
      </c>
      <c r="K48" s="13" t="s">
        <v>544</v>
      </c>
      <c r="L48" s="13" t="s">
        <v>245</v>
      </c>
      <c r="M48" s="7" t="s">
        <v>162</v>
      </c>
      <c r="N48" s="13" t="s">
        <v>246</v>
      </c>
      <c r="O48" s="8" t="str">
        <f t="shared" si="0"/>
        <v>051-200439516.1.2.21ПО</v>
      </c>
      <c r="P48" s="4" t="s">
        <v>597</v>
      </c>
      <c r="Q48" s="4" t="s">
        <v>637</v>
      </c>
      <c r="R48" s="4" t="s">
        <v>2802</v>
      </c>
      <c r="S48" s="4" t="s">
        <v>643</v>
      </c>
      <c r="V48" s="4" t="s">
        <v>23</v>
      </c>
      <c r="W48" s="4" t="s">
        <v>727</v>
      </c>
      <c r="X48" s="4" t="s">
        <v>728</v>
      </c>
      <c r="Y48" s="4" t="str">
        <f t="shared" si="1"/>
        <v>051-20008047.1.1.45</v>
      </c>
      <c r="Z48" s="4" t="s">
        <v>1039</v>
      </c>
      <c r="AA48" s="4" t="s">
        <v>1194</v>
      </c>
      <c r="AB48" s="4" t="s">
        <v>1195</v>
      </c>
      <c r="AC48" s="4" t="s">
        <v>2788</v>
      </c>
    </row>
    <row r="49" spans="2:29">
      <c r="B49" s="4" t="s">
        <v>4</v>
      </c>
      <c r="C49" s="4" t="s">
        <v>143</v>
      </c>
      <c r="D49" s="6" t="s">
        <v>108</v>
      </c>
      <c r="E49" s="6" t="s">
        <v>112</v>
      </c>
      <c r="F49" s="6" t="s">
        <v>490</v>
      </c>
      <c r="I49" s="7">
        <v>2067</v>
      </c>
      <c r="K49" s="13" t="s">
        <v>545</v>
      </c>
      <c r="L49" s="13" t="s">
        <v>176</v>
      </c>
      <c r="M49" s="7" t="s">
        <v>162</v>
      </c>
      <c r="N49" s="13" t="s">
        <v>247</v>
      </c>
      <c r="O49" s="8" t="str">
        <f t="shared" si="0"/>
        <v>051-200439516.1.2.21ФА</v>
      </c>
      <c r="P49" s="4" t="s">
        <v>597</v>
      </c>
      <c r="Q49" s="4" t="s">
        <v>637</v>
      </c>
      <c r="R49" s="4" t="s">
        <v>2842</v>
      </c>
      <c r="S49" s="4" t="s">
        <v>644</v>
      </c>
      <c r="V49" s="4" t="s">
        <v>24</v>
      </c>
      <c r="W49" s="4" t="s">
        <v>729</v>
      </c>
      <c r="X49" s="4" t="s">
        <v>730</v>
      </c>
      <c r="Y49" s="4" t="str">
        <f t="shared" si="1"/>
        <v>051-20008047.1.1.46</v>
      </c>
      <c r="Z49" s="4" t="s">
        <v>1039</v>
      </c>
      <c r="AA49" s="4" t="s">
        <v>1196</v>
      </c>
      <c r="AB49" s="4" t="s">
        <v>1197</v>
      </c>
      <c r="AC49" s="4" t="s">
        <v>2789</v>
      </c>
    </row>
    <row r="50" spans="2:29">
      <c r="B50" s="4" t="s">
        <v>4</v>
      </c>
      <c r="C50" s="4" t="s">
        <v>146</v>
      </c>
      <c r="D50" s="6" t="s">
        <v>109</v>
      </c>
      <c r="E50" s="6" t="s">
        <v>112</v>
      </c>
      <c r="F50" s="6" t="s">
        <v>491</v>
      </c>
      <c r="I50" s="7">
        <v>2068</v>
      </c>
      <c r="K50" s="13" t="s">
        <v>546</v>
      </c>
      <c r="L50" s="13" t="s">
        <v>248</v>
      </c>
      <c r="M50" s="7" t="s">
        <v>162</v>
      </c>
      <c r="N50" s="13" t="s">
        <v>249</v>
      </c>
      <c r="O50" s="8" t="str">
        <f t="shared" si="0"/>
        <v>051-200439516.1.6.2НКТ</v>
      </c>
      <c r="P50" s="4" t="s">
        <v>597</v>
      </c>
      <c r="Q50" s="4" t="s">
        <v>1663</v>
      </c>
      <c r="R50" s="4" t="s">
        <v>2798</v>
      </c>
      <c r="S50" s="4" t="s">
        <v>2893</v>
      </c>
      <c r="V50" s="4" t="s">
        <v>24</v>
      </c>
      <c r="W50" s="4" t="s">
        <v>731</v>
      </c>
      <c r="X50" s="4" t="s">
        <v>732</v>
      </c>
      <c r="Y50" s="4" t="str">
        <f t="shared" si="1"/>
        <v>051-20008047.1.1.47</v>
      </c>
      <c r="Z50" s="4" t="s">
        <v>1039</v>
      </c>
      <c r="AA50" s="4" t="s">
        <v>1198</v>
      </c>
      <c r="AB50" s="4" t="s">
        <v>1199</v>
      </c>
      <c r="AC50" s="4" t="s">
        <v>2790</v>
      </c>
    </row>
    <row r="51" spans="2:29">
      <c r="B51" s="4" t="s">
        <v>4</v>
      </c>
      <c r="C51" s="4" t="s">
        <v>117</v>
      </c>
      <c r="D51" s="6" t="s">
        <v>110</v>
      </c>
      <c r="E51" s="6" t="s">
        <v>113</v>
      </c>
      <c r="F51" s="6" t="s">
        <v>465</v>
      </c>
      <c r="I51" s="7">
        <v>2069</v>
      </c>
      <c r="K51" s="13" t="s">
        <v>547</v>
      </c>
      <c r="L51" s="13" t="s">
        <v>177</v>
      </c>
      <c r="M51" s="7" t="s">
        <v>162</v>
      </c>
      <c r="N51" s="13" t="s">
        <v>250</v>
      </c>
      <c r="O51" s="8" t="str">
        <f t="shared" si="0"/>
        <v>051-200439516.1.6.2ПО</v>
      </c>
      <c r="P51" s="4" t="s">
        <v>597</v>
      </c>
      <c r="Q51" s="4" t="s">
        <v>1663</v>
      </c>
      <c r="R51" s="4" t="s">
        <v>2802</v>
      </c>
      <c r="S51" s="4" t="s">
        <v>2894</v>
      </c>
      <c r="V51" s="4" t="s">
        <v>24</v>
      </c>
      <c r="W51" s="4" t="s">
        <v>733</v>
      </c>
      <c r="X51" s="4" t="s">
        <v>734</v>
      </c>
      <c r="Y51" s="4" t="str">
        <f t="shared" si="1"/>
        <v>051-20008047.1.1.48</v>
      </c>
      <c r="Z51" s="4" t="s">
        <v>1039</v>
      </c>
      <c r="AA51" s="4" t="s">
        <v>1200</v>
      </c>
      <c r="AB51" s="4" t="s">
        <v>1201</v>
      </c>
      <c r="AC51" s="4" t="s">
        <v>2791</v>
      </c>
    </row>
    <row r="52" spans="2:29">
      <c r="B52" s="4" t="s">
        <v>4</v>
      </c>
      <c r="C52" s="4" t="s">
        <v>99</v>
      </c>
      <c r="D52" s="6" t="s">
        <v>111</v>
      </c>
      <c r="E52" s="6" t="s">
        <v>113</v>
      </c>
      <c r="F52" s="6" t="s">
        <v>492</v>
      </c>
      <c r="I52" s="7">
        <v>2070</v>
      </c>
      <c r="K52" s="13" t="s">
        <v>548</v>
      </c>
      <c r="L52" s="13" t="s">
        <v>178</v>
      </c>
      <c r="M52" s="7" t="s">
        <v>163</v>
      </c>
      <c r="N52" s="13" t="s">
        <v>251</v>
      </c>
      <c r="O52" s="8" t="str">
        <f t="shared" si="0"/>
        <v>051-200439516.1.6.2ФА</v>
      </c>
      <c r="P52" s="4" t="s">
        <v>597</v>
      </c>
      <c r="Q52" s="4" t="s">
        <v>1663</v>
      </c>
      <c r="R52" s="4" t="s">
        <v>2842</v>
      </c>
      <c r="S52" s="4" t="s">
        <v>2895</v>
      </c>
      <c r="V52" s="4" t="s">
        <v>24</v>
      </c>
      <c r="W52" s="4" t="s">
        <v>735</v>
      </c>
      <c r="X52" s="4" t="s">
        <v>736</v>
      </c>
      <c r="Y52" s="4" t="str">
        <f t="shared" si="1"/>
        <v>051-20008047.1.1.49</v>
      </c>
      <c r="Z52" s="4" t="s">
        <v>1039</v>
      </c>
      <c r="AA52" s="4" t="s">
        <v>1202</v>
      </c>
      <c r="AB52" s="4" t="s">
        <v>1203</v>
      </c>
      <c r="AC52" s="4" t="s">
        <v>2792</v>
      </c>
    </row>
    <row r="53" spans="2:29">
      <c r="B53" s="4" t="s">
        <v>4</v>
      </c>
      <c r="C53" s="4" t="s">
        <v>114</v>
      </c>
      <c r="D53" s="6" t="s">
        <v>112</v>
      </c>
      <c r="E53" s="6" t="s">
        <v>113</v>
      </c>
      <c r="F53" s="6" t="s">
        <v>493</v>
      </c>
      <c r="I53" s="7">
        <v>2071</v>
      </c>
      <c r="K53" s="13" t="s">
        <v>549</v>
      </c>
      <c r="L53" s="13" t="s">
        <v>179</v>
      </c>
      <c r="M53" s="7" t="s">
        <v>163</v>
      </c>
      <c r="N53" s="13" t="s">
        <v>252</v>
      </c>
      <c r="O53" s="8" t="str">
        <f t="shared" si="0"/>
        <v>051-2000005Прискважинное оборудование</v>
      </c>
      <c r="P53" s="4" t="s">
        <v>151</v>
      </c>
      <c r="R53" s="4" t="s">
        <v>2807</v>
      </c>
      <c r="S53" s="4" t="s">
        <v>2896</v>
      </c>
      <c r="V53" s="4" t="s">
        <v>25</v>
      </c>
      <c r="W53" s="4" t="s">
        <v>737</v>
      </c>
      <c r="X53" s="4" t="s">
        <v>738</v>
      </c>
      <c r="Y53" s="4" t="str">
        <f t="shared" si="1"/>
        <v>051-20008047.1.1.50</v>
      </c>
      <c r="Z53" s="4" t="s">
        <v>1039</v>
      </c>
      <c r="AA53" s="4" t="s">
        <v>1204</v>
      </c>
      <c r="AB53" s="4" t="s">
        <v>1205</v>
      </c>
      <c r="AC53" s="4" t="s">
        <v>2793</v>
      </c>
    </row>
    <row r="54" spans="2:29">
      <c r="B54" s="4" t="s">
        <v>4</v>
      </c>
      <c r="C54" s="4" t="s">
        <v>111</v>
      </c>
      <c r="D54" s="6" t="s">
        <v>113</v>
      </c>
      <c r="E54" s="6" t="s">
        <v>113</v>
      </c>
      <c r="F54" s="6" t="s">
        <v>494</v>
      </c>
      <c r="I54" s="7">
        <v>2072</v>
      </c>
      <c r="K54" s="13" t="s">
        <v>550</v>
      </c>
      <c r="L54" s="13" t="s">
        <v>253</v>
      </c>
      <c r="M54" s="7" t="s">
        <v>163</v>
      </c>
      <c r="N54" s="13" t="s">
        <v>254</v>
      </c>
      <c r="O54" s="8" t="str">
        <f t="shared" si="0"/>
        <v>051-2002202Новые скважины</v>
      </c>
      <c r="P54" s="4" t="s">
        <v>656</v>
      </c>
      <c r="R54" s="4" t="s">
        <v>2746</v>
      </c>
      <c r="S54" s="4" t="s">
        <v>2897</v>
      </c>
      <c r="V54" s="4" t="s">
        <v>25</v>
      </c>
      <c r="W54" s="4" t="s">
        <v>739</v>
      </c>
      <c r="X54" s="4" t="s">
        <v>740</v>
      </c>
      <c r="Y54" s="4" t="str">
        <f t="shared" si="1"/>
        <v>051-20008047.1.1.51</v>
      </c>
      <c r="Z54" s="4" t="s">
        <v>1039</v>
      </c>
      <c r="AA54" s="4" t="s">
        <v>1206</v>
      </c>
      <c r="AB54" s="4" t="s">
        <v>1207</v>
      </c>
      <c r="AC54" s="4" t="s">
        <v>2794</v>
      </c>
    </row>
    <row r="55" spans="2:29">
      <c r="B55" s="4" t="s">
        <v>4</v>
      </c>
      <c r="C55" s="4" t="s">
        <v>116</v>
      </c>
      <c r="D55" s="6" t="s">
        <v>114</v>
      </c>
      <c r="E55" s="6" t="s">
        <v>115</v>
      </c>
      <c r="F55" s="6" t="s">
        <v>495</v>
      </c>
      <c r="I55" s="7">
        <v>2073</v>
      </c>
      <c r="K55" s="13" t="s">
        <v>550</v>
      </c>
      <c r="L55" s="13" t="s">
        <v>255</v>
      </c>
      <c r="M55" s="7" t="s">
        <v>163</v>
      </c>
      <c r="N55" s="13" t="s">
        <v>256</v>
      </c>
      <c r="O55" s="8" t="str">
        <f t="shared" si="0"/>
        <v>051-2000010Новые скважины</v>
      </c>
      <c r="P55" s="4" t="s">
        <v>599</v>
      </c>
      <c r="R55" s="4" t="s">
        <v>2746</v>
      </c>
      <c r="S55" s="4" t="s">
        <v>2898</v>
      </c>
      <c r="V55" s="4" t="s">
        <v>25</v>
      </c>
      <c r="W55" s="4" t="s">
        <v>741</v>
      </c>
      <c r="X55" s="4" t="s">
        <v>742</v>
      </c>
      <c r="Y55" s="4" t="str">
        <f t="shared" si="1"/>
        <v>051-20008047.1.1.52</v>
      </c>
      <c r="Z55" s="4" t="s">
        <v>1039</v>
      </c>
      <c r="AA55" s="4" t="s">
        <v>1208</v>
      </c>
      <c r="AB55" s="4" t="s">
        <v>1209</v>
      </c>
      <c r="AC55" s="4" t="s">
        <v>2795</v>
      </c>
    </row>
    <row r="56" spans="2:29">
      <c r="B56" s="4" t="s">
        <v>4</v>
      </c>
      <c r="C56" s="4" t="s">
        <v>77</v>
      </c>
      <c r="D56" s="6" t="s">
        <v>115</v>
      </c>
      <c r="E56" s="6" t="s">
        <v>115</v>
      </c>
      <c r="F56" s="6" t="s">
        <v>496</v>
      </c>
      <c r="I56" s="7">
        <v>2074</v>
      </c>
      <c r="K56" s="13" t="s">
        <v>551</v>
      </c>
      <c r="L56" s="13" t="s">
        <v>257</v>
      </c>
      <c r="M56" s="7" t="s">
        <v>163</v>
      </c>
      <c r="N56" s="13" t="s">
        <v>258</v>
      </c>
      <c r="O56" s="8" t="str">
        <f t="shared" si="0"/>
        <v>б/н1Здания и сооружения</v>
      </c>
      <c r="P56" s="4" t="s">
        <v>600</v>
      </c>
      <c r="Q56" s="4">
        <v>1</v>
      </c>
      <c r="R56" s="4" t="s">
        <v>2776</v>
      </c>
      <c r="S56" s="4" t="s">
        <v>2899</v>
      </c>
      <c r="V56" s="4" t="s">
        <v>25</v>
      </c>
      <c r="W56" s="4" t="s">
        <v>743</v>
      </c>
      <c r="X56" s="4" t="s">
        <v>744</v>
      </c>
      <c r="Y56" s="4" t="str">
        <f t="shared" si="1"/>
        <v>051-20008047.1.1.53</v>
      </c>
      <c r="Z56" s="4" t="s">
        <v>1039</v>
      </c>
      <c r="AA56" s="4" t="s">
        <v>1210</v>
      </c>
      <c r="AB56" s="4" t="s">
        <v>1211</v>
      </c>
      <c r="AC56" s="4" t="s">
        <v>2796</v>
      </c>
    </row>
    <row r="57" spans="2:29">
      <c r="B57" s="4" t="s">
        <v>4</v>
      </c>
      <c r="C57" s="4" t="s">
        <v>122</v>
      </c>
      <c r="D57" s="6" t="s">
        <v>116</v>
      </c>
      <c r="E57" s="6" t="s">
        <v>115</v>
      </c>
      <c r="F57" s="6" t="s">
        <v>497</v>
      </c>
      <c r="I57" s="7">
        <v>2075</v>
      </c>
      <c r="K57" s="13" t="s">
        <v>551</v>
      </c>
      <c r="L57" s="13" t="s">
        <v>259</v>
      </c>
      <c r="M57" s="7" t="s">
        <v>163</v>
      </c>
      <c r="N57" s="13" t="s">
        <v>260</v>
      </c>
      <c r="O57" s="8" t="str">
        <f t="shared" si="0"/>
        <v>б/н2Здания и сооружения</v>
      </c>
      <c r="P57" s="4" t="s">
        <v>600</v>
      </c>
      <c r="Q57" s="4">
        <v>2</v>
      </c>
      <c r="R57" s="4" t="s">
        <v>2776</v>
      </c>
      <c r="S57" s="4" t="s">
        <v>2900</v>
      </c>
      <c r="V57" s="4" t="s">
        <v>25</v>
      </c>
      <c r="W57" s="4" t="s">
        <v>745</v>
      </c>
      <c r="X57" s="4" t="s">
        <v>746</v>
      </c>
      <c r="Y57" s="4" t="str">
        <f t="shared" si="1"/>
        <v>051-20008047.1.1.54</v>
      </c>
      <c r="Z57" s="4" t="s">
        <v>1039</v>
      </c>
      <c r="AA57" s="4" t="s">
        <v>1212</v>
      </c>
      <c r="AB57" s="4" t="s">
        <v>1213</v>
      </c>
      <c r="AC57" s="4" t="s">
        <v>2797</v>
      </c>
    </row>
    <row r="58" spans="2:29">
      <c r="B58" s="4" t="s">
        <v>83</v>
      </c>
      <c r="C58" s="4" t="s">
        <v>460</v>
      </c>
      <c r="D58" s="6" t="s">
        <v>117</v>
      </c>
      <c r="E58" s="6" t="s">
        <v>118</v>
      </c>
      <c r="F58" s="6" t="s">
        <v>498</v>
      </c>
      <c r="I58" s="7">
        <v>2076</v>
      </c>
      <c r="K58" s="13" t="s">
        <v>551</v>
      </c>
      <c r="L58" s="13" t="s">
        <v>261</v>
      </c>
      <c r="M58" s="7" t="s">
        <v>42</v>
      </c>
      <c r="N58" s="13" t="s">
        <v>262</v>
      </c>
      <c r="O58" s="8"/>
      <c r="V58" s="4" t="s">
        <v>25</v>
      </c>
      <c r="W58" s="4" t="s">
        <v>747</v>
      </c>
      <c r="X58" s="4" t="s">
        <v>748</v>
      </c>
      <c r="Y58" s="4" t="str">
        <f t="shared" si="1"/>
        <v>051-20008047.1.1.55</v>
      </c>
      <c r="Z58" s="4" t="s">
        <v>1039</v>
      </c>
      <c r="AA58" s="4" t="s">
        <v>1214</v>
      </c>
      <c r="AB58" s="4" t="s">
        <v>1215</v>
      </c>
      <c r="AC58" s="4" t="s">
        <v>2798</v>
      </c>
    </row>
    <row r="59" spans="2:29">
      <c r="B59" s="4" t="s">
        <v>83</v>
      </c>
      <c r="C59" s="4" t="s">
        <v>137</v>
      </c>
      <c r="D59" s="6" t="s">
        <v>118</v>
      </c>
      <c r="E59" s="6" t="s">
        <v>118</v>
      </c>
      <c r="F59" s="6" t="s">
        <v>499</v>
      </c>
      <c r="I59" s="7">
        <v>2077</v>
      </c>
      <c r="K59" s="13" t="s">
        <v>551</v>
      </c>
      <c r="L59" s="13" t="s">
        <v>263</v>
      </c>
      <c r="M59" s="7" t="s">
        <v>42</v>
      </c>
      <c r="N59" s="13" t="s">
        <v>264</v>
      </c>
      <c r="O59" s="8" t="str">
        <f t="shared" ref="O59:O70" si="2">CONCATENATE(P59,Q59)</f>
        <v/>
      </c>
      <c r="V59" s="4" t="s">
        <v>25</v>
      </c>
      <c r="W59" s="4" t="s">
        <v>749</v>
      </c>
      <c r="X59" s="4" t="s">
        <v>750</v>
      </c>
      <c r="Y59" s="4" t="str">
        <f t="shared" si="1"/>
        <v>051-20008047.4.1.1</v>
      </c>
      <c r="Z59" s="4" t="s">
        <v>1039</v>
      </c>
      <c r="AA59" s="4" t="s">
        <v>1216</v>
      </c>
      <c r="AB59" s="4" t="s">
        <v>1217</v>
      </c>
      <c r="AC59" s="4" t="s">
        <v>2799</v>
      </c>
    </row>
    <row r="60" spans="2:29">
      <c r="B60" s="6" t="s">
        <v>1</v>
      </c>
      <c r="C60" s="6" t="s">
        <v>27</v>
      </c>
      <c r="D60" s="6" t="s">
        <v>119</v>
      </c>
      <c r="E60" s="6" t="s">
        <v>118</v>
      </c>
      <c r="F60" s="6" t="s">
        <v>484</v>
      </c>
      <c r="I60" s="7">
        <v>2078</v>
      </c>
      <c r="K60" s="13" t="s">
        <v>552</v>
      </c>
      <c r="L60" s="13" t="s">
        <v>265</v>
      </c>
      <c r="M60" s="7" t="s">
        <v>42</v>
      </c>
      <c r="N60" s="13" t="s">
        <v>266</v>
      </c>
      <c r="O60" s="8" t="str">
        <f t="shared" si="2"/>
        <v/>
      </c>
      <c r="V60" s="4" t="s">
        <v>25</v>
      </c>
      <c r="W60" s="4" t="s">
        <v>751</v>
      </c>
      <c r="X60" s="4" t="s">
        <v>752</v>
      </c>
      <c r="Y60" s="4" t="str">
        <f t="shared" si="1"/>
        <v>051-20008047.8.1.1(2)</v>
      </c>
      <c r="Z60" s="4" t="s">
        <v>1039</v>
      </c>
      <c r="AA60" s="4" t="s">
        <v>1218</v>
      </c>
      <c r="AB60" s="4" t="s">
        <v>1219</v>
      </c>
      <c r="AC60" s="4" t="s">
        <v>2800</v>
      </c>
    </row>
    <row r="61" spans="2:29">
      <c r="B61" s="6" t="s">
        <v>1</v>
      </c>
      <c r="C61" s="6" t="s">
        <v>30</v>
      </c>
      <c r="D61" s="6" t="s">
        <v>120</v>
      </c>
      <c r="E61" s="6" t="s">
        <v>120</v>
      </c>
      <c r="F61" s="6" t="s">
        <v>465</v>
      </c>
      <c r="I61" s="7">
        <v>2079</v>
      </c>
      <c r="K61" s="13" t="s">
        <v>553</v>
      </c>
      <c r="L61" s="13" t="s">
        <v>182</v>
      </c>
      <c r="M61" s="7" t="s">
        <v>42</v>
      </c>
      <c r="N61" s="13" t="s">
        <v>267</v>
      </c>
      <c r="O61" s="8" t="str">
        <f t="shared" si="2"/>
        <v/>
      </c>
      <c r="V61" s="4" t="s">
        <v>25</v>
      </c>
      <c r="W61" s="4" t="s">
        <v>753</v>
      </c>
      <c r="X61" s="4" t="s">
        <v>754</v>
      </c>
      <c r="Y61" s="4" t="str">
        <f t="shared" si="1"/>
        <v>051-200082612.3.1.1</v>
      </c>
      <c r="Z61" s="4" t="s">
        <v>731</v>
      </c>
      <c r="AA61" s="4" t="s">
        <v>1220</v>
      </c>
      <c r="AB61" s="4" t="s">
        <v>1221</v>
      </c>
      <c r="AC61" s="4" t="s">
        <v>2801</v>
      </c>
    </row>
    <row r="62" spans="2:29">
      <c r="B62" s="6" t="s">
        <v>1</v>
      </c>
      <c r="C62" s="6" t="s">
        <v>32</v>
      </c>
      <c r="D62" s="6" t="s">
        <v>121</v>
      </c>
      <c r="E62" s="6" t="s">
        <v>125</v>
      </c>
      <c r="F62" s="6" t="s">
        <v>465</v>
      </c>
      <c r="I62" s="7">
        <v>2080</v>
      </c>
      <c r="M62" s="7" t="s">
        <v>42</v>
      </c>
      <c r="N62" s="13" t="s">
        <v>268</v>
      </c>
      <c r="O62" s="8" t="str">
        <f t="shared" si="2"/>
        <v/>
      </c>
      <c r="V62" s="4" t="s">
        <v>25</v>
      </c>
      <c r="W62" s="4" t="s">
        <v>755</v>
      </c>
      <c r="X62" s="4" t="s">
        <v>756</v>
      </c>
      <c r="Y62" s="4" t="str">
        <f t="shared" si="1"/>
        <v>051-200084211.1.1.1.25</v>
      </c>
      <c r="Z62" s="4" t="s">
        <v>815</v>
      </c>
      <c r="AA62" s="4" t="s">
        <v>1222</v>
      </c>
      <c r="AB62" s="4" t="s">
        <v>1223</v>
      </c>
      <c r="AC62" s="4" t="s">
        <v>2802</v>
      </c>
    </row>
    <row r="63" spans="2:29">
      <c r="B63" s="6" t="s">
        <v>1</v>
      </c>
      <c r="C63" s="6" t="s">
        <v>18</v>
      </c>
      <c r="D63" s="6" t="s">
        <v>122</v>
      </c>
      <c r="E63" s="6" t="s">
        <v>125</v>
      </c>
      <c r="F63" s="6" t="s">
        <v>492</v>
      </c>
      <c r="I63" s="7">
        <v>2081</v>
      </c>
      <c r="M63" s="7" t="s">
        <v>42</v>
      </c>
      <c r="N63" s="13" t="s">
        <v>269</v>
      </c>
      <c r="O63" s="8" t="str">
        <f t="shared" si="2"/>
        <v/>
      </c>
      <c r="V63" s="4" t="s">
        <v>25</v>
      </c>
      <c r="W63" s="4" t="s">
        <v>757</v>
      </c>
      <c r="X63" s="4" t="s">
        <v>758</v>
      </c>
      <c r="Y63" s="4" t="str">
        <f t="shared" si="1"/>
        <v>051-200084211.2.1.1.25</v>
      </c>
      <c r="Z63" s="4" t="s">
        <v>815</v>
      </c>
      <c r="AA63" s="4" t="s">
        <v>1224</v>
      </c>
      <c r="AB63" s="4" t="s">
        <v>1225</v>
      </c>
      <c r="AC63" s="4" t="s">
        <v>2803</v>
      </c>
    </row>
    <row r="64" spans="2:29">
      <c r="B64" s="6" t="s">
        <v>1</v>
      </c>
      <c r="C64" s="6" t="s">
        <v>140</v>
      </c>
      <c r="D64" s="6" t="s">
        <v>123</v>
      </c>
      <c r="E64" s="6" t="s">
        <v>129</v>
      </c>
      <c r="F64" s="6" t="s">
        <v>500</v>
      </c>
      <c r="I64" s="7">
        <v>2082</v>
      </c>
      <c r="M64" s="7" t="s">
        <v>42</v>
      </c>
      <c r="N64" s="13" t="s">
        <v>270</v>
      </c>
      <c r="O64" s="8" t="str">
        <f t="shared" si="2"/>
        <v/>
      </c>
      <c r="V64" s="4" t="s">
        <v>25</v>
      </c>
      <c r="W64" s="4" t="s">
        <v>759</v>
      </c>
      <c r="X64" s="4" t="s">
        <v>760</v>
      </c>
      <c r="Y64" s="4" t="str">
        <f t="shared" si="1"/>
        <v>051-200084211.2.1.2.25</v>
      </c>
      <c r="Z64" s="4" t="s">
        <v>815</v>
      </c>
      <c r="AA64" s="4" t="s">
        <v>1226</v>
      </c>
      <c r="AB64" s="4" t="s">
        <v>1227</v>
      </c>
      <c r="AC64" s="4" t="s">
        <v>2804</v>
      </c>
    </row>
    <row r="65" spans="2:29">
      <c r="B65" s="6" t="s">
        <v>2</v>
      </c>
      <c r="C65" s="6" t="s">
        <v>19</v>
      </c>
      <c r="D65" s="6" t="s">
        <v>124</v>
      </c>
      <c r="E65" s="6" t="s">
        <v>130</v>
      </c>
      <c r="F65" s="6" t="s">
        <v>501</v>
      </c>
      <c r="I65" s="7">
        <v>2083</v>
      </c>
      <c r="M65" s="7" t="s">
        <v>42</v>
      </c>
      <c r="N65" s="13" t="s">
        <v>271</v>
      </c>
      <c r="O65" s="8" t="str">
        <f t="shared" si="2"/>
        <v/>
      </c>
      <c r="V65" s="4" t="s">
        <v>25</v>
      </c>
      <c r="W65" s="4" t="s">
        <v>761</v>
      </c>
      <c r="X65" s="4" t="s">
        <v>762</v>
      </c>
      <c r="Y65" s="4" t="str">
        <f t="shared" si="1"/>
        <v>051-200084211.3.1.1.25</v>
      </c>
      <c r="Z65" s="4" t="s">
        <v>815</v>
      </c>
      <c r="AA65" s="4" t="s">
        <v>1228</v>
      </c>
      <c r="AB65" s="4" t="s">
        <v>1229</v>
      </c>
      <c r="AC65" s="4" t="s">
        <v>2805</v>
      </c>
    </row>
    <row r="66" spans="2:29">
      <c r="B66" s="6" t="s">
        <v>2</v>
      </c>
      <c r="C66" s="6" t="s">
        <v>26</v>
      </c>
      <c r="D66" s="6" t="s">
        <v>125</v>
      </c>
      <c r="E66" s="6" t="s">
        <v>130</v>
      </c>
      <c r="F66" s="6" t="s">
        <v>502</v>
      </c>
      <c r="I66" s="7">
        <v>2084</v>
      </c>
      <c r="M66" s="7" t="s">
        <v>42</v>
      </c>
      <c r="N66" s="13" t="s">
        <v>272</v>
      </c>
      <c r="O66" s="8" t="str">
        <f t="shared" si="2"/>
        <v/>
      </c>
      <c r="V66" s="4" t="s">
        <v>25</v>
      </c>
      <c r="W66" s="4" t="s">
        <v>763</v>
      </c>
      <c r="X66" s="4" t="s">
        <v>764</v>
      </c>
      <c r="Y66" s="4" t="str">
        <f t="shared" si="1"/>
        <v>051-200087215.2.0.12</v>
      </c>
      <c r="Z66" s="4" t="s">
        <v>906</v>
      </c>
      <c r="AA66" s="4" t="s">
        <v>1230</v>
      </c>
      <c r="AB66" s="4" t="s">
        <v>1231</v>
      </c>
      <c r="AC66" s="4" t="s">
        <v>2806</v>
      </c>
    </row>
    <row r="67" spans="2:29">
      <c r="B67" s="4" t="s">
        <v>2</v>
      </c>
      <c r="C67" s="4" t="s">
        <v>20</v>
      </c>
      <c r="D67" s="6" t="s">
        <v>126</v>
      </c>
      <c r="E67" s="6" t="s">
        <v>28</v>
      </c>
      <c r="F67" s="6" t="s">
        <v>466</v>
      </c>
      <c r="I67" s="7">
        <v>2085</v>
      </c>
      <c r="M67" s="7" t="s">
        <v>42</v>
      </c>
      <c r="N67" s="13" t="s">
        <v>273</v>
      </c>
      <c r="O67" s="8" t="str">
        <f t="shared" si="2"/>
        <v/>
      </c>
      <c r="V67" s="4" t="s">
        <v>25</v>
      </c>
      <c r="W67" s="4" t="s">
        <v>765</v>
      </c>
      <c r="X67" s="4" t="s">
        <v>766</v>
      </c>
      <c r="Y67" s="4" t="str">
        <f t="shared" si="1"/>
        <v>051-200087715.2.0.1.24</v>
      </c>
      <c r="Z67" s="4" t="s">
        <v>896</v>
      </c>
      <c r="AA67" s="4" t="s">
        <v>1232</v>
      </c>
      <c r="AB67" s="4" t="s">
        <v>1233</v>
      </c>
      <c r="AC67" s="4" t="s">
        <v>2807</v>
      </c>
    </row>
    <row r="68" spans="2:29">
      <c r="B68" s="4" t="s">
        <v>2</v>
      </c>
      <c r="C68" s="4" t="s">
        <v>23</v>
      </c>
      <c r="D68" s="6" t="s">
        <v>127</v>
      </c>
      <c r="E68" s="6" t="s">
        <v>29</v>
      </c>
      <c r="F68" s="6" t="s">
        <v>503</v>
      </c>
      <c r="I68" s="7">
        <v>2086</v>
      </c>
      <c r="M68" s="7" t="s">
        <v>42</v>
      </c>
      <c r="N68" s="13" t="s">
        <v>274</v>
      </c>
      <c r="O68" s="8" t="str">
        <f t="shared" si="2"/>
        <v/>
      </c>
      <c r="V68" s="4" t="s">
        <v>25</v>
      </c>
      <c r="W68" s="4" t="s">
        <v>767</v>
      </c>
      <c r="X68" s="4" t="s">
        <v>768</v>
      </c>
      <c r="Y68" s="4" t="str">
        <f t="shared" si="1"/>
        <v>051-200087715.2.0.2.24</v>
      </c>
      <c r="Z68" s="4" t="s">
        <v>896</v>
      </c>
      <c r="AA68" s="4" t="s">
        <v>1234</v>
      </c>
      <c r="AB68" s="4" t="s">
        <v>1235</v>
      </c>
      <c r="AC68" s="4" t="s">
        <v>2808</v>
      </c>
    </row>
    <row r="69" spans="2:29">
      <c r="B69" s="4" t="s">
        <v>2</v>
      </c>
      <c r="C69" s="4" t="s">
        <v>24</v>
      </c>
      <c r="D69" s="6" t="s">
        <v>128</v>
      </c>
      <c r="E69" s="6" t="s">
        <v>29</v>
      </c>
      <c r="F69" s="6" t="s">
        <v>466</v>
      </c>
      <c r="I69" s="7">
        <v>2087</v>
      </c>
      <c r="M69" s="7" t="s">
        <v>42</v>
      </c>
      <c r="N69" s="13" t="s">
        <v>275</v>
      </c>
      <c r="O69" s="8" t="str">
        <f t="shared" si="2"/>
        <v/>
      </c>
      <c r="V69" s="4" t="s">
        <v>25</v>
      </c>
      <c r="W69" s="4" t="s">
        <v>769</v>
      </c>
      <c r="X69" s="4" t="s">
        <v>770</v>
      </c>
      <c r="Y69" s="4" t="str">
        <f t="shared" si="1"/>
        <v>051-200087715.2.0.3.24</v>
      </c>
      <c r="Z69" s="4" t="s">
        <v>896</v>
      </c>
      <c r="AA69" s="4" t="s">
        <v>1236</v>
      </c>
      <c r="AB69" s="4" t="s">
        <v>1237</v>
      </c>
      <c r="AC69" s="4" t="s">
        <v>2809</v>
      </c>
    </row>
    <row r="70" spans="2:29">
      <c r="B70" s="4" t="s">
        <v>2</v>
      </c>
      <c r="C70" s="4" t="s">
        <v>141</v>
      </c>
      <c r="D70" s="6" t="s">
        <v>129</v>
      </c>
      <c r="E70" s="6" t="s">
        <v>29</v>
      </c>
      <c r="F70" s="6" t="s">
        <v>469</v>
      </c>
      <c r="I70" s="7">
        <v>2088</v>
      </c>
      <c r="M70" s="7" t="s">
        <v>42</v>
      </c>
      <c r="N70" s="13" t="s">
        <v>276</v>
      </c>
      <c r="O70" s="8" t="str">
        <f t="shared" si="2"/>
        <v/>
      </c>
      <c r="V70" s="4" t="s">
        <v>25</v>
      </c>
      <c r="W70" s="4" t="s">
        <v>771</v>
      </c>
      <c r="X70" s="4" t="s">
        <v>772</v>
      </c>
      <c r="Y70" s="4" t="str">
        <f t="shared" si="1"/>
        <v>051-200087815.2.0.16.24</v>
      </c>
      <c r="Z70" s="4" t="s">
        <v>900</v>
      </c>
      <c r="AA70" s="4" t="s">
        <v>1238</v>
      </c>
      <c r="AB70" s="4" t="s">
        <v>1239</v>
      </c>
      <c r="AC70" s="4" t="s">
        <v>2810</v>
      </c>
    </row>
    <row r="71" spans="2:29">
      <c r="B71" s="4" t="s">
        <v>2</v>
      </c>
      <c r="C71" s="4" t="s">
        <v>110</v>
      </c>
      <c r="D71" s="6" t="s">
        <v>130</v>
      </c>
      <c r="E71" s="6" t="s">
        <v>140</v>
      </c>
      <c r="F71" s="6" t="s">
        <v>463</v>
      </c>
      <c r="I71" s="7">
        <v>2089</v>
      </c>
      <c r="M71" s="7" t="s">
        <v>42</v>
      </c>
      <c r="N71" s="13" t="s">
        <v>277</v>
      </c>
      <c r="O71" s="8" t="str">
        <f t="shared" ref="O71:O134" si="3">CONCATENATE(P71,Q71)</f>
        <v/>
      </c>
      <c r="V71" s="4" t="s">
        <v>25</v>
      </c>
      <c r="W71" s="4" t="s">
        <v>773</v>
      </c>
      <c r="X71" s="4" t="s">
        <v>774</v>
      </c>
      <c r="Y71" s="4" t="str">
        <f t="shared" ref="Y71:Y134" si="4">CONCATENATE(Z71,AA71)</f>
        <v>051-200087815.2.0.17.24</v>
      </c>
      <c r="Z71" s="4" t="s">
        <v>900</v>
      </c>
      <c r="AA71" s="4" t="s">
        <v>1240</v>
      </c>
      <c r="AB71" s="4" t="s">
        <v>1241</v>
      </c>
      <c r="AC71" s="4" t="s">
        <v>2811</v>
      </c>
    </row>
    <row r="72" spans="2:29">
      <c r="B72" s="4" t="s">
        <v>2</v>
      </c>
      <c r="C72" s="4" t="s">
        <v>100</v>
      </c>
      <c r="D72" s="6" t="s">
        <v>131</v>
      </c>
      <c r="E72" s="6" t="s">
        <v>141</v>
      </c>
      <c r="F72" s="6" t="s">
        <v>504</v>
      </c>
      <c r="I72" s="7">
        <v>2090</v>
      </c>
      <c r="M72" s="7" t="s">
        <v>42</v>
      </c>
      <c r="N72" s="13" t="s">
        <v>278</v>
      </c>
      <c r="O72" s="8" t="str">
        <f t="shared" si="3"/>
        <v/>
      </c>
      <c r="V72" s="4" t="s">
        <v>25</v>
      </c>
      <c r="W72" s="4" t="s">
        <v>775</v>
      </c>
      <c r="X72" s="4" t="s">
        <v>776</v>
      </c>
      <c r="Y72" s="4" t="str">
        <f t="shared" si="4"/>
        <v>051-200087815.2.0.18.24</v>
      </c>
      <c r="Z72" s="4" t="s">
        <v>900</v>
      </c>
      <c r="AA72" s="4" t="s">
        <v>1242</v>
      </c>
      <c r="AB72" s="4" t="s">
        <v>1243</v>
      </c>
      <c r="AC72" s="4" t="s">
        <v>2812</v>
      </c>
    </row>
    <row r="73" spans="2:29">
      <c r="B73" s="4" t="s">
        <v>2</v>
      </c>
      <c r="C73" s="4" t="s">
        <v>129</v>
      </c>
      <c r="D73" s="6" t="s">
        <v>132</v>
      </c>
      <c r="E73" s="6" t="s">
        <v>141</v>
      </c>
      <c r="F73" s="6" t="s">
        <v>505</v>
      </c>
      <c r="I73" s="7">
        <v>2091</v>
      </c>
      <c r="M73" s="7" t="s">
        <v>43</v>
      </c>
      <c r="N73" s="13" t="s">
        <v>279</v>
      </c>
      <c r="O73" s="8" t="str">
        <f t="shared" si="3"/>
        <v/>
      </c>
      <c r="V73" s="4" t="s">
        <v>25</v>
      </c>
      <c r="W73" s="4" t="s">
        <v>777</v>
      </c>
      <c r="X73" s="4" t="s">
        <v>778</v>
      </c>
      <c r="Y73" s="4" t="str">
        <f t="shared" si="4"/>
        <v>051-200087815.2.0.19.24</v>
      </c>
      <c r="Z73" s="4" t="s">
        <v>900</v>
      </c>
      <c r="AA73" s="4" t="s">
        <v>1244</v>
      </c>
      <c r="AB73" s="4" t="s">
        <v>1245</v>
      </c>
      <c r="AC73" s="4" t="s">
        <v>2813</v>
      </c>
    </row>
    <row r="74" spans="2:29">
      <c r="B74" s="4" t="s">
        <v>2</v>
      </c>
      <c r="C74" s="4" t="s">
        <v>69</v>
      </c>
      <c r="D74" s="6" t="s">
        <v>28</v>
      </c>
      <c r="E74" s="6" t="s">
        <v>141</v>
      </c>
      <c r="F74" s="6" t="s">
        <v>506</v>
      </c>
      <c r="I74" s="7">
        <v>2092</v>
      </c>
      <c r="M74" s="7" t="s">
        <v>43</v>
      </c>
      <c r="N74" s="13" t="s">
        <v>280</v>
      </c>
      <c r="O74" s="8" t="str">
        <f t="shared" si="3"/>
        <v/>
      </c>
      <c r="V74" s="4" t="s">
        <v>94</v>
      </c>
      <c r="W74" s="4" t="s">
        <v>779</v>
      </c>
      <c r="X74" s="4" t="s">
        <v>780</v>
      </c>
      <c r="Y74" s="4" t="str">
        <f t="shared" si="4"/>
        <v>051-200087815.2.0.20.24</v>
      </c>
      <c r="Z74" s="4" t="s">
        <v>900</v>
      </c>
      <c r="AA74" s="4" t="s">
        <v>1246</v>
      </c>
      <c r="AB74" s="4" t="s">
        <v>1247</v>
      </c>
      <c r="AC74" s="4" t="s">
        <v>2814</v>
      </c>
    </row>
    <row r="75" spans="2:29">
      <c r="B75" s="4" t="s">
        <v>3</v>
      </c>
      <c r="C75" s="4" t="s">
        <v>112</v>
      </c>
      <c r="D75" s="6" t="s">
        <v>133</v>
      </c>
      <c r="E75" s="6" t="s">
        <v>30</v>
      </c>
      <c r="F75" s="6" t="s">
        <v>466</v>
      </c>
      <c r="I75" s="7">
        <v>2093</v>
      </c>
      <c r="M75" s="7" t="s">
        <v>43</v>
      </c>
      <c r="N75" s="13" t="s">
        <v>281</v>
      </c>
      <c r="O75" s="8" t="str">
        <f t="shared" si="3"/>
        <v/>
      </c>
      <c r="V75" s="4" t="s">
        <v>94</v>
      </c>
      <c r="W75" s="4" t="s">
        <v>781</v>
      </c>
      <c r="X75" s="4" t="s">
        <v>782</v>
      </c>
      <c r="Y75" s="4" t="str">
        <f t="shared" si="4"/>
        <v>051-200087815.2.0.21.24</v>
      </c>
      <c r="Z75" s="4" t="s">
        <v>900</v>
      </c>
      <c r="AA75" s="4" t="s">
        <v>1248</v>
      </c>
      <c r="AB75" s="4" t="s">
        <v>1249</v>
      </c>
      <c r="AC75" s="4" t="s">
        <v>2815</v>
      </c>
    </row>
    <row r="76" spans="2:29">
      <c r="B76" s="4" t="s">
        <v>74</v>
      </c>
      <c r="C76" s="4" t="s">
        <v>138</v>
      </c>
      <c r="D76" s="6" t="s">
        <v>134</v>
      </c>
      <c r="E76" s="6" t="s">
        <v>30</v>
      </c>
      <c r="F76" s="6" t="s">
        <v>469</v>
      </c>
      <c r="I76" s="7">
        <v>2094</v>
      </c>
      <c r="M76" s="7" t="s">
        <v>43</v>
      </c>
      <c r="N76" s="13" t="s">
        <v>282</v>
      </c>
      <c r="O76" s="8" t="str">
        <f t="shared" si="3"/>
        <v/>
      </c>
      <c r="V76" s="4" t="s">
        <v>96</v>
      </c>
      <c r="W76" s="4" t="s">
        <v>783</v>
      </c>
      <c r="X76" s="4" t="s">
        <v>784</v>
      </c>
      <c r="Y76" s="4" t="str">
        <f t="shared" si="4"/>
        <v>051-200087815.2.0.22.24</v>
      </c>
      <c r="Z76" s="4" t="s">
        <v>900</v>
      </c>
      <c r="AA76" s="4" t="s">
        <v>1250</v>
      </c>
      <c r="AB76" s="4" t="s">
        <v>1251</v>
      </c>
      <c r="AC76" s="4" t="s">
        <v>2816</v>
      </c>
    </row>
    <row r="77" spans="2:29">
      <c r="B77" s="6" t="s">
        <v>63</v>
      </c>
      <c r="C77" s="6" t="s">
        <v>29</v>
      </c>
      <c r="D77" s="6" t="s">
        <v>135</v>
      </c>
      <c r="E77" s="6" t="s">
        <v>144</v>
      </c>
      <c r="F77" s="6" t="s">
        <v>470</v>
      </c>
      <c r="I77" s="7">
        <v>2095</v>
      </c>
      <c r="M77" s="7" t="s">
        <v>43</v>
      </c>
      <c r="N77" s="13" t="s">
        <v>283</v>
      </c>
      <c r="O77" s="8" t="str">
        <f t="shared" si="3"/>
        <v/>
      </c>
      <c r="V77" s="4" t="s">
        <v>96</v>
      </c>
      <c r="W77" s="4" t="s">
        <v>785</v>
      </c>
      <c r="X77" s="4" t="s">
        <v>786</v>
      </c>
      <c r="Y77" s="4" t="str">
        <f t="shared" si="4"/>
        <v>051-200087815.2.0.2.25</v>
      </c>
      <c r="Z77" s="4" t="s">
        <v>900</v>
      </c>
      <c r="AA77" s="4" t="s">
        <v>1252</v>
      </c>
      <c r="AB77" s="4" t="s">
        <v>1253</v>
      </c>
      <c r="AC77" s="4" t="s">
        <v>2817</v>
      </c>
    </row>
    <row r="78" spans="2:29">
      <c r="B78" s="6" t="s">
        <v>63</v>
      </c>
      <c r="C78" s="6" t="s">
        <v>28</v>
      </c>
      <c r="D78" s="6" t="s">
        <v>136</v>
      </c>
      <c r="E78" s="6" t="s">
        <v>147</v>
      </c>
      <c r="F78" s="6" t="s">
        <v>507</v>
      </c>
      <c r="I78" s="7">
        <v>2096</v>
      </c>
      <c r="M78" s="7" t="s">
        <v>43</v>
      </c>
      <c r="N78" s="13" t="s">
        <v>284</v>
      </c>
      <c r="O78" s="8" t="str">
        <f t="shared" si="3"/>
        <v/>
      </c>
      <c r="V78" s="4" t="s">
        <v>96</v>
      </c>
      <c r="W78" s="4" t="s">
        <v>787</v>
      </c>
      <c r="X78" s="4" t="s">
        <v>788</v>
      </c>
      <c r="Y78" s="4" t="str">
        <f t="shared" si="4"/>
        <v>051-200088015.1.0.7</v>
      </c>
      <c r="Z78" s="4" t="s">
        <v>882</v>
      </c>
      <c r="AA78" s="4" t="s">
        <v>1254</v>
      </c>
      <c r="AB78" s="4" t="s">
        <v>1255</v>
      </c>
      <c r="AC78" s="4" t="s">
        <v>2818</v>
      </c>
    </row>
    <row r="79" spans="2:29">
      <c r="B79" s="6" t="s">
        <v>63</v>
      </c>
      <c r="C79" s="6" t="s">
        <v>22</v>
      </c>
      <c r="D79" s="6" t="s">
        <v>137</v>
      </c>
      <c r="E79" s="6" t="s">
        <v>147</v>
      </c>
      <c r="F79" s="6" t="s">
        <v>508</v>
      </c>
      <c r="I79" s="7">
        <v>2097</v>
      </c>
      <c r="M79" s="7" t="s">
        <v>43</v>
      </c>
      <c r="N79" s="13" t="s">
        <v>285</v>
      </c>
      <c r="O79" s="8" t="str">
        <f t="shared" si="3"/>
        <v/>
      </c>
      <c r="V79" s="4" t="s">
        <v>96</v>
      </c>
      <c r="W79" s="4" t="s">
        <v>789</v>
      </c>
      <c r="X79" s="4" t="s">
        <v>790</v>
      </c>
      <c r="Y79" s="4" t="str">
        <f t="shared" si="4"/>
        <v>051-200088015.1.0.5.25</v>
      </c>
      <c r="Z79" s="4" t="s">
        <v>882</v>
      </c>
      <c r="AA79" s="4" t="s">
        <v>1256</v>
      </c>
      <c r="AB79" s="4" t="s">
        <v>1255</v>
      </c>
      <c r="AC79" s="4" t="s">
        <v>2819</v>
      </c>
    </row>
    <row r="80" spans="2:29">
      <c r="B80" s="6" t="s">
        <v>63</v>
      </c>
      <c r="C80" s="6" t="s">
        <v>115</v>
      </c>
      <c r="D80" s="6" t="s">
        <v>138</v>
      </c>
      <c r="E80" s="6" t="s">
        <v>31</v>
      </c>
      <c r="F80" s="6" t="s">
        <v>466</v>
      </c>
      <c r="I80" s="7">
        <v>2098</v>
      </c>
      <c r="M80" s="7" t="s">
        <v>43</v>
      </c>
      <c r="N80" s="13" t="s">
        <v>286</v>
      </c>
      <c r="O80" s="8" t="str">
        <f t="shared" si="3"/>
        <v/>
      </c>
      <c r="V80" s="4" t="s">
        <v>96</v>
      </c>
      <c r="W80" s="4" t="s">
        <v>791</v>
      </c>
      <c r="X80" s="4" t="s">
        <v>792</v>
      </c>
      <c r="Y80" s="4" t="str">
        <f t="shared" si="4"/>
        <v>051-20012042.1.1В.8</v>
      </c>
      <c r="Z80" s="4" t="s">
        <v>1065</v>
      </c>
      <c r="AA80" s="4" t="s">
        <v>1257</v>
      </c>
      <c r="AB80" s="4" t="s">
        <v>1258</v>
      </c>
      <c r="AC80" s="4" t="s">
        <v>2820</v>
      </c>
    </row>
    <row r="81" spans="2:29">
      <c r="B81" s="4" t="s">
        <v>81</v>
      </c>
      <c r="C81" s="4" t="s">
        <v>96</v>
      </c>
      <c r="D81" s="6" t="s">
        <v>139</v>
      </c>
      <c r="E81" s="6" t="s">
        <v>31</v>
      </c>
      <c r="F81" s="6" t="s">
        <v>469</v>
      </c>
      <c r="I81" s="7">
        <v>2099</v>
      </c>
      <c r="M81" s="7" t="s">
        <v>43</v>
      </c>
      <c r="N81" s="13" t="s">
        <v>287</v>
      </c>
      <c r="O81" s="8" t="str">
        <f t="shared" si="3"/>
        <v/>
      </c>
      <c r="V81" s="4" t="s">
        <v>97</v>
      </c>
      <c r="W81" s="4" t="s">
        <v>793</v>
      </c>
      <c r="X81" s="4" t="s">
        <v>794</v>
      </c>
      <c r="Y81" s="4" t="str">
        <f t="shared" si="4"/>
        <v>051-20012042.1.2В.1</v>
      </c>
      <c r="Z81" s="4" t="s">
        <v>1065</v>
      </c>
      <c r="AA81" s="4" t="s">
        <v>1259</v>
      </c>
      <c r="AB81" s="4" t="s">
        <v>1260</v>
      </c>
      <c r="AC81" s="4" t="s">
        <v>2821</v>
      </c>
    </row>
    <row r="82" spans="2:29">
      <c r="B82" s="4" t="s">
        <v>81</v>
      </c>
      <c r="C82" s="4" t="s">
        <v>145</v>
      </c>
      <c r="D82" s="6" t="s">
        <v>29</v>
      </c>
      <c r="E82" s="6" t="s">
        <v>32</v>
      </c>
      <c r="F82" s="6" t="s">
        <v>466</v>
      </c>
      <c r="I82" s="7">
        <v>2100</v>
      </c>
      <c r="M82" s="7" t="s">
        <v>43</v>
      </c>
      <c r="N82" s="13" t="s">
        <v>288</v>
      </c>
      <c r="O82" s="8" t="str">
        <f t="shared" si="3"/>
        <v/>
      </c>
      <c r="V82" s="4" t="s">
        <v>97</v>
      </c>
      <c r="W82" s="4" t="s">
        <v>795</v>
      </c>
      <c r="X82" s="4" t="s">
        <v>796</v>
      </c>
      <c r="Y82" s="4" t="str">
        <f t="shared" si="4"/>
        <v>051-20012042.1.3В.1</v>
      </c>
      <c r="Z82" s="4" t="s">
        <v>1065</v>
      </c>
      <c r="AA82" s="4" t="s">
        <v>1261</v>
      </c>
      <c r="AB82" s="4" t="s">
        <v>1262</v>
      </c>
      <c r="AC82" s="4" t="s">
        <v>2822</v>
      </c>
    </row>
    <row r="83" spans="2:29">
      <c r="B83" s="6" t="s">
        <v>0</v>
      </c>
      <c r="C83" s="6" t="s">
        <v>31</v>
      </c>
      <c r="D83" s="6" t="s">
        <v>140</v>
      </c>
      <c r="E83" s="6" t="s">
        <v>32</v>
      </c>
      <c r="F83" s="6" t="s">
        <v>503</v>
      </c>
      <c r="M83" s="7" t="s">
        <v>43</v>
      </c>
      <c r="N83" s="13" t="s">
        <v>289</v>
      </c>
      <c r="O83" s="8" t="str">
        <f t="shared" si="3"/>
        <v/>
      </c>
      <c r="V83" s="4" t="s">
        <v>97</v>
      </c>
      <c r="W83" s="4" t="s">
        <v>797</v>
      </c>
      <c r="X83" s="4" t="s">
        <v>798</v>
      </c>
      <c r="Y83" s="4" t="str">
        <f t="shared" si="4"/>
        <v>051-20012042.3.1В.1</v>
      </c>
      <c r="Z83" s="4" t="s">
        <v>1065</v>
      </c>
      <c r="AA83" s="4" t="s">
        <v>1263</v>
      </c>
      <c r="AB83" s="4" t="s">
        <v>1264</v>
      </c>
      <c r="AC83" s="4" t="s">
        <v>2823</v>
      </c>
    </row>
    <row r="84" spans="2:29">
      <c r="B84" s="6" t="s">
        <v>0</v>
      </c>
      <c r="C84" s="6" t="s">
        <v>25</v>
      </c>
      <c r="D84" s="6" t="s">
        <v>141</v>
      </c>
      <c r="E84" s="6"/>
      <c r="F84" s="6"/>
      <c r="M84" s="7" t="s">
        <v>43</v>
      </c>
      <c r="N84" s="13" t="s">
        <v>290</v>
      </c>
      <c r="O84" s="8" t="str">
        <f t="shared" si="3"/>
        <v/>
      </c>
      <c r="V84" s="4" t="s">
        <v>97</v>
      </c>
      <c r="W84" s="4" t="s">
        <v>799</v>
      </c>
      <c r="X84" s="4" t="s">
        <v>800</v>
      </c>
      <c r="Y84" s="4" t="str">
        <f t="shared" si="4"/>
        <v>051-20012042.3.1В.2</v>
      </c>
      <c r="Z84" s="4" t="s">
        <v>1065</v>
      </c>
      <c r="AA84" s="4" t="s">
        <v>1265</v>
      </c>
      <c r="AB84" s="4" t="s">
        <v>1266</v>
      </c>
      <c r="AC84" s="4" t="s">
        <v>2824</v>
      </c>
    </row>
    <row r="85" spans="2:29">
      <c r="B85" s="6" t="s">
        <v>0</v>
      </c>
      <c r="C85" s="6" t="s">
        <v>94</v>
      </c>
      <c r="D85" s="6" t="s">
        <v>142</v>
      </c>
      <c r="E85" s="6"/>
      <c r="F85" s="6"/>
      <c r="M85" s="7" t="s">
        <v>43</v>
      </c>
      <c r="N85" s="13" t="s">
        <v>291</v>
      </c>
      <c r="O85" s="8" t="str">
        <f t="shared" si="3"/>
        <v/>
      </c>
      <c r="V85" s="4" t="s">
        <v>97</v>
      </c>
      <c r="W85" s="4" t="s">
        <v>801</v>
      </c>
      <c r="X85" s="4" t="s">
        <v>802</v>
      </c>
      <c r="Y85" s="4" t="str">
        <f t="shared" si="4"/>
        <v>051-20012042.3.1В.3</v>
      </c>
      <c r="Z85" s="4" t="s">
        <v>1065</v>
      </c>
      <c r="AA85" s="4" t="s">
        <v>1267</v>
      </c>
      <c r="AB85" s="4" t="s">
        <v>1268</v>
      </c>
      <c r="AC85" s="4" t="s">
        <v>2825</v>
      </c>
    </row>
    <row r="86" spans="2:29">
      <c r="B86" s="6" t="s">
        <v>0</v>
      </c>
      <c r="C86" s="6" t="s">
        <v>128</v>
      </c>
      <c r="D86" s="6" t="s">
        <v>143</v>
      </c>
      <c r="E86" s="6"/>
      <c r="F86" s="6"/>
      <c r="M86" s="7" t="s">
        <v>43</v>
      </c>
      <c r="N86" s="13" t="s">
        <v>292</v>
      </c>
      <c r="O86" s="8" t="str">
        <f t="shared" si="3"/>
        <v/>
      </c>
      <c r="V86" s="4" t="s">
        <v>97</v>
      </c>
      <c r="W86" s="4" t="s">
        <v>803</v>
      </c>
      <c r="X86" s="4" t="s">
        <v>804</v>
      </c>
      <c r="Y86" s="4" t="str">
        <f t="shared" si="4"/>
        <v>051-20012042.3.1В.6</v>
      </c>
      <c r="Z86" s="4" t="s">
        <v>1065</v>
      </c>
      <c r="AA86" s="4" t="s">
        <v>1269</v>
      </c>
      <c r="AB86" s="4" t="s">
        <v>1270</v>
      </c>
      <c r="AC86" s="4" t="s">
        <v>2826</v>
      </c>
    </row>
    <row r="87" spans="2:29">
      <c r="B87" s="4" t="s">
        <v>80</v>
      </c>
      <c r="C87" s="4" t="s">
        <v>67</v>
      </c>
      <c r="D87" s="6" t="s">
        <v>30</v>
      </c>
      <c r="E87" s="6"/>
      <c r="F87" s="6"/>
      <c r="M87" s="7" t="s">
        <v>44</v>
      </c>
      <c r="N87" s="13" t="s">
        <v>293</v>
      </c>
      <c r="O87" s="8" t="str">
        <f t="shared" si="3"/>
        <v/>
      </c>
      <c r="V87" s="4" t="s">
        <v>97</v>
      </c>
      <c r="W87" s="4" t="s">
        <v>805</v>
      </c>
      <c r="X87" s="4" t="s">
        <v>806</v>
      </c>
      <c r="Y87" s="4" t="str">
        <f t="shared" si="4"/>
        <v>051-20012042.3.1В.9</v>
      </c>
      <c r="Z87" s="4" t="s">
        <v>1065</v>
      </c>
      <c r="AA87" s="4" t="s">
        <v>1271</v>
      </c>
      <c r="AB87" s="4" t="s">
        <v>1272</v>
      </c>
      <c r="AC87" s="4" t="s">
        <v>2827</v>
      </c>
    </row>
    <row r="88" spans="2:29">
      <c r="B88" s="4" t="s">
        <v>80</v>
      </c>
      <c r="C88" s="4" t="s">
        <v>82</v>
      </c>
      <c r="D88" s="6" t="s">
        <v>144</v>
      </c>
      <c r="E88" s="6"/>
      <c r="F88" s="6"/>
      <c r="M88" s="7" t="s">
        <v>44</v>
      </c>
      <c r="N88" s="13" t="s">
        <v>294</v>
      </c>
      <c r="O88" s="8" t="str">
        <f t="shared" si="3"/>
        <v/>
      </c>
      <c r="V88" s="4" t="s">
        <v>97</v>
      </c>
      <c r="W88" s="4" t="s">
        <v>807</v>
      </c>
      <c r="X88" s="4" t="s">
        <v>808</v>
      </c>
      <c r="Y88" s="4" t="str">
        <f t="shared" si="4"/>
        <v>051-20012042.3.1В.13</v>
      </c>
      <c r="Z88" s="4" t="s">
        <v>1065</v>
      </c>
      <c r="AA88" s="4" t="s">
        <v>1273</v>
      </c>
      <c r="AB88" s="4" t="s">
        <v>1274</v>
      </c>
      <c r="AC88" s="4" t="s">
        <v>2828</v>
      </c>
    </row>
    <row r="89" spans="2:29">
      <c r="B89" s="4" t="s">
        <v>87</v>
      </c>
      <c r="C89" s="4" t="s">
        <v>108</v>
      </c>
      <c r="D89" s="6" t="s">
        <v>145</v>
      </c>
      <c r="E89" s="6"/>
      <c r="F89" s="6"/>
      <c r="M89" s="7" t="s">
        <v>44</v>
      </c>
      <c r="N89" s="13" t="s">
        <v>295</v>
      </c>
      <c r="O89" s="8" t="str">
        <f t="shared" si="3"/>
        <v/>
      </c>
      <c r="V89" s="4" t="s">
        <v>97</v>
      </c>
      <c r="W89" s="4" t="s">
        <v>809</v>
      </c>
      <c r="X89" s="4" t="s">
        <v>810</v>
      </c>
      <c r="Y89" s="4" t="str">
        <f t="shared" si="4"/>
        <v>051-20012041.3.1.2</v>
      </c>
      <c r="Z89" s="4" t="s">
        <v>1065</v>
      </c>
      <c r="AA89" s="4" t="s">
        <v>1275</v>
      </c>
      <c r="AB89" s="4" t="s">
        <v>1276</v>
      </c>
      <c r="AC89" s="4" t="s">
        <v>2829</v>
      </c>
    </row>
    <row r="90" spans="2:29">
      <c r="B90" s="4" t="s">
        <v>87</v>
      </c>
      <c r="C90" s="4" t="s">
        <v>132</v>
      </c>
      <c r="D90" s="6" t="s">
        <v>146</v>
      </c>
      <c r="E90" s="6"/>
      <c r="F90" s="6"/>
      <c r="M90" s="7" t="s">
        <v>51</v>
      </c>
      <c r="N90" s="13" t="s">
        <v>296</v>
      </c>
      <c r="O90" s="8" t="str">
        <f t="shared" si="3"/>
        <v/>
      </c>
      <c r="V90" s="4" t="s">
        <v>97</v>
      </c>
      <c r="W90" s="4" t="s">
        <v>811</v>
      </c>
      <c r="X90" s="4" t="s">
        <v>812</v>
      </c>
      <c r="Y90" s="4" t="str">
        <f t="shared" si="4"/>
        <v>051-20012041.3.1.3</v>
      </c>
      <c r="Z90" s="4" t="s">
        <v>1065</v>
      </c>
      <c r="AA90" s="4" t="s">
        <v>1277</v>
      </c>
      <c r="AB90" s="4" t="s">
        <v>1278</v>
      </c>
      <c r="AC90" s="4" t="s">
        <v>2830</v>
      </c>
    </row>
    <row r="91" spans="2:29">
      <c r="B91" s="6" t="s">
        <v>76</v>
      </c>
      <c r="C91" s="6" t="s">
        <v>29</v>
      </c>
      <c r="D91" s="6" t="s">
        <v>147</v>
      </c>
      <c r="E91" s="6"/>
      <c r="F91" s="6"/>
      <c r="M91" s="7" t="s">
        <v>164</v>
      </c>
      <c r="N91" s="13" t="s">
        <v>297</v>
      </c>
      <c r="O91" s="8" t="str">
        <f t="shared" si="3"/>
        <v/>
      </c>
      <c r="V91" s="4" t="s">
        <v>97</v>
      </c>
      <c r="W91" s="4" t="s">
        <v>813</v>
      </c>
      <c r="X91" s="4" t="s">
        <v>814</v>
      </c>
      <c r="Y91" s="4" t="str">
        <f t="shared" si="4"/>
        <v>051-20012041.3.1.4</v>
      </c>
      <c r="Z91" s="4" t="s">
        <v>1065</v>
      </c>
      <c r="AA91" s="4" t="s">
        <v>1279</v>
      </c>
      <c r="AB91" s="4" t="s">
        <v>1280</v>
      </c>
      <c r="AC91" s="4" t="s">
        <v>2831</v>
      </c>
    </row>
    <row r="92" spans="2:29">
      <c r="B92" s="6" t="s">
        <v>76</v>
      </c>
      <c r="C92" s="6" t="s">
        <v>22</v>
      </c>
      <c r="D92" s="6" t="s">
        <v>31</v>
      </c>
      <c r="E92" s="6"/>
      <c r="F92" s="6"/>
      <c r="M92" s="7" t="s">
        <v>164</v>
      </c>
      <c r="N92" s="13" t="s">
        <v>298</v>
      </c>
      <c r="O92" s="8" t="str">
        <f t="shared" si="3"/>
        <v/>
      </c>
      <c r="V92" s="4" t="s">
        <v>26</v>
      </c>
      <c r="W92" s="4" t="s">
        <v>815</v>
      </c>
      <c r="X92" s="4" t="s">
        <v>816</v>
      </c>
      <c r="Y92" s="4" t="str">
        <f t="shared" si="4"/>
        <v>051-20012041.3.1.5</v>
      </c>
      <c r="Z92" s="4" t="s">
        <v>1065</v>
      </c>
      <c r="AA92" s="4" t="s">
        <v>1281</v>
      </c>
      <c r="AB92" s="4" t="s">
        <v>1282</v>
      </c>
      <c r="AC92" s="4" t="s">
        <v>2832</v>
      </c>
    </row>
    <row r="93" spans="2:29">
      <c r="B93" s="6" t="s">
        <v>76</v>
      </c>
      <c r="C93" s="6" t="s">
        <v>115</v>
      </c>
      <c r="D93" s="6" t="s">
        <v>32</v>
      </c>
      <c r="E93" s="6"/>
      <c r="F93" s="6"/>
      <c r="M93" s="7" t="s">
        <v>164</v>
      </c>
      <c r="N93" s="13" t="s">
        <v>299</v>
      </c>
      <c r="O93" s="8" t="str">
        <f t="shared" si="3"/>
        <v/>
      </c>
      <c r="V93" s="4" t="s">
        <v>26</v>
      </c>
      <c r="W93" s="4" t="s">
        <v>817</v>
      </c>
      <c r="X93" s="4" t="s">
        <v>818</v>
      </c>
      <c r="Y93" s="4" t="str">
        <f t="shared" si="4"/>
        <v>051-20012041.3.1.6.24</v>
      </c>
      <c r="Z93" s="4" t="s">
        <v>1065</v>
      </c>
      <c r="AA93" s="4" t="s">
        <v>1283</v>
      </c>
      <c r="AB93" s="4" t="s">
        <v>1284</v>
      </c>
      <c r="AC93" s="4" t="s">
        <v>2833</v>
      </c>
    </row>
    <row r="94" spans="2:29">
      <c r="B94" s="6" t="s">
        <v>76</v>
      </c>
      <c r="C94" s="6" t="s">
        <v>18</v>
      </c>
      <c r="M94" s="7" t="s">
        <v>164</v>
      </c>
      <c r="N94" s="13" t="s">
        <v>300</v>
      </c>
      <c r="O94" s="8" t="str">
        <f t="shared" si="3"/>
        <v/>
      </c>
      <c r="V94" s="4" t="s">
        <v>26</v>
      </c>
      <c r="W94" s="4" t="s">
        <v>819</v>
      </c>
      <c r="X94" s="4" t="s">
        <v>820</v>
      </c>
      <c r="Y94" s="4" t="str">
        <f t="shared" si="4"/>
        <v>051-20012041.3.1.8</v>
      </c>
      <c r="Z94" s="4" t="s">
        <v>1065</v>
      </c>
      <c r="AA94" s="4" t="s">
        <v>1285</v>
      </c>
      <c r="AB94" s="4" t="s">
        <v>1286</v>
      </c>
      <c r="AC94" s="4" t="s">
        <v>2834</v>
      </c>
    </row>
    <row r="95" spans="2:29">
      <c r="B95" s="6" t="s">
        <v>76</v>
      </c>
      <c r="C95" s="6" t="s">
        <v>140</v>
      </c>
      <c r="M95" s="7" t="s">
        <v>164</v>
      </c>
      <c r="N95" s="13" t="s">
        <v>301</v>
      </c>
      <c r="O95" s="8" t="str">
        <f t="shared" si="3"/>
        <v/>
      </c>
      <c r="V95" s="4" t="s">
        <v>26</v>
      </c>
      <c r="W95" s="4" t="s">
        <v>821</v>
      </c>
      <c r="X95" s="4" t="s">
        <v>822</v>
      </c>
      <c r="Y95" s="4" t="str">
        <f t="shared" si="4"/>
        <v>051-20012041.3.1.9</v>
      </c>
      <c r="Z95" s="4" t="s">
        <v>1065</v>
      </c>
      <c r="AA95" s="4" t="s">
        <v>1287</v>
      </c>
      <c r="AB95" s="4" t="s">
        <v>1288</v>
      </c>
      <c r="AC95" s="4" t="s">
        <v>2835</v>
      </c>
    </row>
    <row r="96" spans="2:29">
      <c r="B96" s="4" t="s">
        <v>76</v>
      </c>
      <c r="C96" s="4" t="s">
        <v>141</v>
      </c>
      <c r="M96" s="7" t="s">
        <v>164</v>
      </c>
      <c r="N96" s="13" t="s">
        <v>302</v>
      </c>
      <c r="O96" s="8" t="str">
        <f t="shared" si="3"/>
        <v/>
      </c>
      <c r="V96" s="4" t="s">
        <v>26</v>
      </c>
      <c r="W96" s="4" t="s">
        <v>823</v>
      </c>
      <c r="X96" s="4" t="s">
        <v>824</v>
      </c>
      <c r="Y96" s="4" t="str">
        <f t="shared" si="4"/>
        <v>051-20012041.3.2.2</v>
      </c>
      <c r="Z96" s="4" t="s">
        <v>1065</v>
      </c>
      <c r="AA96" s="4" t="s">
        <v>1289</v>
      </c>
      <c r="AB96" s="4" t="s">
        <v>1290</v>
      </c>
      <c r="AC96" s="4" t="s">
        <v>2836</v>
      </c>
    </row>
    <row r="97" spans="2:29">
      <c r="B97" s="4" t="s">
        <v>566</v>
      </c>
      <c r="C97" s="4" t="s">
        <v>119</v>
      </c>
      <c r="M97" s="7" t="s">
        <v>164</v>
      </c>
      <c r="N97" s="13" t="s">
        <v>303</v>
      </c>
      <c r="O97" s="8" t="str">
        <f t="shared" si="3"/>
        <v/>
      </c>
      <c r="V97" s="4" t="s">
        <v>26</v>
      </c>
      <c r="W97" s="4" t="s">
        <v>825</v>
      </c>
      <c r="X97" s="4" t="s">
        <v>826</v>
      </c>
      <c r="Y97" s="4" t="str">
        <f t="shared" si="4"/>
        <v>051-20012041.3.3.3</v>
      </c>
      <c r="Z97" s="4" t="s">
        <v>1065</v>
      </c>
      <c r="AA97" s="4" t="s">
        <v>1291</v>
      </c>
      <c r="AB97" s="4" t="s">
        <v>1292</v>
      </c>
      <c r="AC97" s="4" t="s">
        <v>2837</v>
      </c>
    </row>
    <row r="98" spans="2:29">
      <c r="B98" s="4" t="s">
        <v>566</v>
      </c>
      <c r="C98" s="4" t="s">
        <v>101</v>
      </c>
      <c r="M98" s="7" t="s">
        <v>165</v>
      </c>
      <c r="N98" s="13" t="s">
        <v>304</v>
      </c>
      <c r="O98" s="8" t="str">
        <f t="shared" si="3"/>
        <v/>
      </c>
      <c r="V98" s="4" t="s">
        <v>26</v>
      </c>
      <c r="W98" s="4" t="s">
        <v>827</v>
      </c>
      <c r="X98" s="4" t="s">
        <v>828</v>
      </c>
      <c r="Y98" s="4" t="str">
        <f t="shared" si="4"/>
        <v>051-20012041.3.4.2</v>
      </c>
      <c r="Z98" s="4" t="s">
        <v>1065</v>
      </c>
      <c r="AA98" s="4" t="s">
        <v>1293</v>
      </c>
      <c r="AB98" s="4" t="s">
        <v>1294</v>
      </c>
      <c r="AC98" s="4" t="s">
        <v>2838</v>
      </c>
    </row>
    <row r="99" spans="2:29">
      <c r="B99" s="4" t="s">
        <v>554</v>
      </c>
      <c r="C99" s="4" t="s">
        <v>147</v>
      </c>
      <c r="M99" s="7" t="s">
        <v>165</v>
      </c>
      <c r="N99" s="13" t="s">
        <v>305</v>
      </c>
      <c r="O99" s="8" t="str">
        <f t="shared" si="3"/>
        <v/>
      </c>
      <c r="V99" s="4" t="s">
        <v>26</v>
      </c>
      <c r="W99" s="4" t="s">
        <v>829</v>
      </c>
      <c r="X99" s="4" t="s">
        <v>830</v>
      </c>
      <c r="Y99" s="4" t="str">
        <f t="shared" si="4"/>
        <v>051-20012041.3.4.3</v>
      </c>
      <c r="Z99" s="4" t="s">
        <v>1065</v>
      </c>
      <c r="AA99" s="4" t="s">
        <v>1295</v>
      </c>
      <c r="AB99" s="4" t="s">
        <v>1296</v>
      </c>
      <c r="AC99" s="4" t="s">
        <v>2839</v>
      </c>
    </row>
    <row r="100" spans="2:29">
      <c r="M100" s="7" t="s">
        <v>165</v>
      </c>
      <c r="N100" s="13" t="s">
        <v>306</v>
      </c>
      <c r="O100" s="8" t="str">
        <f t="shared" si="3"/>
        <v/>
      </c>
      <c r="V100" s="4" t="s">
        <v>100</v>
      </c>
      <c r="W100" s="4" t="s">
        <v>831</v>
      </c>
      <c r="X100" s="4" t="s">
        <v>832</v>
      </c>
      <c r="Y100" s="4" t="str">
        <f t="shared" si="4"/>
        <v>051-20012041.3.4.4</v>
      </c>
      <c r="Z100" s="4" t="s">
        <v>1065</v>
      </c>
      <c r="AA100" s="4" t="s">
        <v>1297</v>
      </c>
      <c r="AB100" s="4" t="s">
        <v>1298</v>
      </c>
      <c r="AC100" s="4" t="s">
        <v>2840</v>
      </c>
    </row>
    <row r="101" spans="2:29">
      <c r="M101" s="7" t="s">
        <v>165</v>
      </c>
      <c r="N101" s="13" t="s">
        <v>307</v>
      </c>
      <c r="O101" s="8" t="str">
        <f t="shared" si="3"/>
        <v/>
      </c>
      <c r="V101" s="4" t="s">
        <v>100</v>
      </c>
      <c r="W101" s="4" t="s">
        <v>833</v>
      </c>
      <c r="X101" s="4" t="s">
        <v>834</v>
      </c>
      <c r="Y101" s="4" t="str">
        <f t="shared" si="4"/>
        <v>051-20012041.3.4.5</v>
      </c>
      <c r="Z101" s="4" t="s">
        <v>1065</v>
      </c>
      <c r="AA101" s="4" t="s">
        <v>1299</v>
      </c>
      <c r="AB101" s="4" t="s">
        <v>1300</v>
      </c>
      <c r="AC101" s="4" t="s">
        <v>2841</v>
      </c>
    </row>
    <row r="102" spans="2:29">
      <c r="M102" s="7" t="s">
        <v>166</v>
      </c>
      <c r="N102" s="13" t="s">
        <v>308</v>
      </c>
      <c r="O102" s="8" t="str">
        <f t="shared" si="3"/>
        <v/>
      </c>
      <c r="V102" s="4" t="s">
        <v>27</v>
      </c>
      <c r="W102" s="4" t="s">
        <v>835</v>
      </c>
      <c r="X102" s="4" t="s">
        <v>836</v>
      </c>
      <c r="Y102" s="4" t="str">
        <f t="shared" si="4"/>
        <v>051-20012041.3.4.8</v>
      </c>
      <c r="Z102" s="4" t="s">
        <v>1065</v>
      </c>
      <c r="AA102" s="4" t="s">
        <v>1301</v>
      </c>
      <c r="AB102" s="4" t="s">
        <v>1302</v>
      </c>
      <c r="AC102" s="4" t="s">
        <v>2842</v>
      </c>
    </row>
    <row r="103" spans="2:29">
      <c r="M103" s="7" t="s">
        <v>166</v>
      </c>
      <c r="N103" s="13" t="s">
        <v>309</v>
      </c>
      <c r="O103" s="8" t="str">
        <f t="shared" si="3"/>
        <v/>
      </c>
      <c r="V103" s="4" t="s">
        <v>27</v>
      </c>
      <c r="W103" s="4" t="s">
        <v>837</v>
      </c>
      <c r="X103" s="4" t="s">
        <v>838</v>
      </c>
      <c r="Y103" s="4" t="str">
        <f t="shared" si="4"/>
        <v>051-20012041.3.4.9</v>
      </c>
      <c r="Z103" s="4" t="s">
        <v>1065</v>
      </c>
      <c r="AA103" s="4" t="s">
        <v>1303</v>
      </c>
      <c r="AB103" s="4" t="s">
        <v>1304</v>
      </c>
      <c r="AC103" s="4" t="s">
        <v>2843</v>
      </c>
    </row>
    <row r="104" spans="2:29">
      <c r="M104" s="7" t="s">
        <v>166</v>
      </c>
      <c r="N104" s="13" t="s">
        <v>310</v>
      </c>
      <c r="O104" s="8" t="str">
        <f t="shared" si="3"/>
        <v/>
      </c>
      <c r="V104" s="4" t="s">
        <v>27</v>
      </c>
      <c r="W104" s="4" t="s">
        <v>839</v>
      </c>
      <c r="X104" s="4" t="s">
        <v>840</v>
      </c>
      <c r="Y104" s="4" t="str">
        <f t="shared" si="4"/>
        <v>051-20012041.3.4.11.24</v>
      </c>
      <c r="Z104" s="4" t="s">
        <v>1065</v>
      </c>
      <c r="AA104" s="4" t="s">
        <v>1305</v>
      </c>
      <c r="AB104" s="4" t="s">
        <v>1306</v>
      </c>
      <c r="AC104" s="4" t="s">
        <v>2844</v>
      </c>
    </row>
    <row r="105" spans="2:29">
      <c r="M105" s="7" t="s">
        <v>166</v>
      </c>
      <c r="N105" s="13" t="s">
        <v>311</v>
      </c>
      <c r="O105" s="8" t="str">
        <f t="shared" si="3"/>
        <v/>
      </c>
      <c r="V105" s="4" t="s">
        <v>27</v>
      </c>
      <c r="W105" s="4" t="s">
        <v>841</v>
      </c>
      <c r="X105" s="4" t="s">
        <v>842</v>
      </c>
      <c r="Y105" s="4" t="str">
        <f t="shared" si="4"/>
        <v>051-20012041.3.5.1</v>
      </c>
      <c r="Z105" s="4" t="s">
        <v>1065</v>
      </c>
      <c r="AA105" s="4" t="s">
        <v>1307</v>
      </c>
      <c r="AB105" s="4" t="s">
        <v>1308</v>
      </c>
      <c r="AC105" s="4" t="s">
        <v>2845</v>
      </c>
    </row>
    <row r="106" spans="2:29">
      <c r="M106" s="7" t="s">
        <v>166</v>
      </c>
      <c r="N106" s="13" t="s">
        <v>312</v>
      </c>
      <c r="O106" s="8" t="str">
        <f t="shared" si="3"/>
        <v/>
      </c>
      <c r="V106" s="4" t="s">
        <v>27</v>
      </c>
      <c r="W106" s="4" t="s">
        <v>843</v>
      </c>
      <c r="X106" s="4" t="s">
        <v>844</v>
      </c>
      <c r="Y106" s="4" t="str">
        <f t="shared" si="4"/>
        <v>051-20012041.3.6.2</v>
      </c>
      <c r="Z106" s="4" t="s">
        <v>1065</v>
      </c>
      <c r="AA106" s="4" t="s">
        <v>1309</v>
      </c>
      <c r="AB106" s="4" t="s">
        <v>1310</v>
      </c>
      <c r="AC106" s="4" t="s">
        <v>2846</v>
      </c>
    </row>
    <row r="107" spans="2:29">
      <c r="M107" s="7" t="s">
        <v>166</v>
      </c>
      <c r="N107" s="13" t="s">
        <v>313</v>
      </c>
      <c r="O107" s="8" t="str">
        <f t="shared" si="3"/>
        <v/>
      </c>
      <c r="V107" s="4" t="s">
        <v>27</v>
      </c>
      <c r="W107" s="4" t="s">
        <v>845</v>
      </c>
      <c r="X107" s="4" t="s">
        <v>846</v>
      </c>
      <c r="Y107" s="4" t="str">
        <f t="shared" si="4"/>
        <v>051-20012041.3.6.3</v>
      </c>
      <c r="Z107" s="4" t="s">
        <v>1065</v>
      </c>
      <c r="AA107" s="4" t="s">
        <v>1311</v>
      </c>
      <c r="AB107" s="4" t="s">
        <v>1312</v>
      </c>
      <c r="AC107" s="4" t="s">
        <v>2847</v>
      </c>
    </row>
    <row r="108" spans="2:29">
      <c r="M108" s="7" t="s">
        <v>166</v>
      </c>
      <c r="N108" s="13" t="s">
        <v>314</v>
      </c>
      <c r="O108" s="8" t="str">
        <f t="shared" si="3"/>
        <v/>
      </c>
      <c r="V108" s="4" t="s">
        <v>27</v>
      </c>
      <c r="W108" s="4" t="s">
        <v>847</v>
      </c>
      <c r="X108" s="4" t="s">
        <v>848</v>
      </c>
      <c r="Y108" s="4" t="str">
        <f t="shared" si="4"/>
        <v>051-20012041.3.6.4</v>
      </c>
      <c r="Z108" s="4" t="s">
        <v>1065</v>
      </c>
      <c r="AA108" s="4" t="s">
        <v>1313</v>
      </c>
      <c r="AB108" s="4" t="s">
        <v>1314</v>
      </c>
      <c r="AC108" s="4" t="s">
        <v>2848</v>
      </c>
    </row>
    <row r="109" spans="2:29">
      <c r="M109" s="7" t="s">
        <v>166</v>
      </c>
      <c r="N109" s="13" t="s">
        <v>315</v>
      </c>
      <c r="O109" s="8" t="str">
        <f t="shared" si="3"/>
        <v/>
      </c>
      <c r="V109" s="4" t="s">
        <v>27</v>
      </c>
      <c r="W109" s="4" t="s">
        <v>849</v>
      </c>
      <c r="X109" s="4" t="s">
        <v>850</v>
      </c>
      <c r="Y109" s="4" t="str">
        <f t="shared" si="4"/>
        <v>051-20012041.3.6.5</v>
      </c>
      <c r="Z109" s="4" t="s">
        <v>1065</v>
      </c>
      <c r="AA109" s="4" t="s">
        <v>1315</v>
      </c>
      <c r="AB109" s="4" t="s">
        <v>1316</v>
      </c>
      <c r="AC109" s="4" t="s">
        <v>2849</v>
      </c>
    </row>
    <row r="110" spans="2:29">
      <c r="M110" s="7" t="s">
        <v>166</v>
      </c>
      <c r="N110" s="13" t="s">
        <v>316</v>
      </c>
      <c r="O110" s="8" t="str">
        <f t="shared" si="3"/>
        <v/>
      </c>
      <c r="V110" s="4" t="s">
        <v>27</v>
      </c>
      <c r="W110" s="4" t="s">
        <v>851</v>
      </c>
      <c r="X110" s="4" t="s">
        <v>852</v>
      </c>
      <c r="Y110" s="4" t="str">
        <f t="shared" si="4"/>
        <v>051-20012041.3.6.7</v>
      </c>
      <c r="Z110" s="4" t="s">
        <v>1065</v>
      </c>
      <c r="AA110" s="4" t="s">
        <v>1317</v>
      </c>
      <c r="AB110" s="4" t="s">
        <v>1318</v>
      </c>
      <c r="AC110" s="4" t="s">
        <v>2850</v>
      </c>
    </row>
    <row r="111" spans="2:29">
      <c r="M111" s="7" t="s">
        <v>166</v>
      </c>
      <c r="N111" s="13" t="s">
        <v>317</v>
      </c>
      <c r="O111" s="8" t="str">
        <f t="shared" si="3"/>
        <v/>
      </c>
      <c r="V111" s="4" t="s">
        <v>27</v>
      </c>
      <c r="W111" s="4" t="s">
        <v>853</v>
      </c>
      <c r="X111" s="4" t="s">
        <v>854</v>
      </c>
      <c r="Y111" s="4" t="str">
        <f t="shared" si="4"/>
        <v>051-20012041.3.6.8</v>
      </c>
      <c r="Z111" s="4" t="s">
        <v>1065</v>
      </c>
      <c r="AA111" s="4" t="s">
        <v>1319</v>
      </c>
      <c r="AB111" s="4" t="s">
        <v>1320</v>
      </c>
      <c r="AC111" s="4" t="s">
        <v>2851</v>
      </c>
    </row>
    <row r="112" spans="2:29">
      <c r="M112" s="7" t="s">
        <v>166</v>
      </c>
      <c r="N112" s="13" t="s">
        <v>318</v>
      </c>
      <c r="O112" s="8" t="str">
        <f t="shared" si="3"/>
        <v/>
      </c>
      <c r="V112" s="4" t="s">
        <v>27</v>
      </c>
      <c r="W112" s="4" t="s">
        <v>855</v>
      </c>
      <c r="X112" s="4" t="s">
        <v>856</v>
      </c>
      <c r="Y112" s="4" t="str">
        <f t="shared" si="4"/>
        <v>051-20012041.3.6.9.24</v>
      </c>
      <c r="Z112" s="4" t="s">
        <v>1065</v>
      </c>
      <c r="AA112" s="4" t="s">
        <v>1321</v>
      </c>
      <c r="AB112" s="4" t="s">
        <v>1322</v>
      </c>
      <c r="AC112" s="4" t="s">
        <v>2852</v>
      </c>
    </row>
    <row r="113" spans="13:29">
      <c r="M113" s="7" t="s">
        <v>167</v>
      </c>
      <c r="N113" s="13" t="s">
        <v>319</v>
      </c>
      <c r="O113" s="8" t="str">
        <f t="shared" si="3"/>
        <v/>
      </c>
      <c r="V113" s="4" t="s">
        <v>27</v>
      </c>
      <c r="W113" s="4" t="s">
        <v>857</v>
      </c>
      <c r="X113" s="4" t="s">
        <v>858</v>
      </c>
      <c r="Y113" s="4" t="str">
        <f t="shared" si="4"/>
        <v>051-20012042.3.2В.1</v>
      </c>
      <c r="Z113" s="4" t="s">
        <v>1065</v>
      </c>
      <c r="AA113" s="4" t="s">
        <v>1323</v>
      </c>
      <c r="AB113" s="4" t="s">
        <v>1324</v>
      </c>
      <c r="AC113" s="4" t="s">
        <v>2853</v>
      </c>
    </row>
    <row r="114" spans="13:29">
      <c r="M114" s="7" t="s">
        <v>167</v>
      </c>
      <c r="N114" s="13" t="s">
        <v>320</v>
      </c>
      <c r="O114" s="8" t="str">
        <f t="shared" si="3"/>
        <v/>
      </c>
      <c r="V114" s="4" t="s">
        <v>27</v>
      </c>
      <c r="W114" s="4" t="s">
        <v>859</v>
      </c>
      <c r="X114" s="4" t="s">
        <v>860</v>
      </c>
      <c r="Y114" s="4" t="str">
        <f t="shared" si="4"/>
        <v>051-20012042.3.2В.2</v>
      </c>
      <c r="Z114" s="4" t="s">
        <v>1065</v>
      </c>
      <c r="AA114" s="4" t="s">
        <v>1325</v>
      </c>
      <c r="AB114" s="4" t="s">
        <v>1326</v>
      </c>
      <c r="AC114" s="4" t="s">
        <v>2854</v>
      </c>
    </row>
    <row r="115" spans="13:29">
      <c r="M115" s="7" t="s">
        <v>167</v>
      </c>
      <c r="N115" s="13" t="s">
        <v>321</v>
      </c>
      <c r="O115" s="8" t="str">
        <f t="shared" si="3"/>
        <v/>
      </c>
      <c r="V115" s="4" t="s">
        <v>104</v>
      </c>
      <c r="W115" s="4" t="s">
        <v>861</v>
      </c>
      <c r="X115" s="4" t="s">
        <v>862</v>
      </c>
      <c r="Y115" s="4" t="str">
        <f t="shared" si="4"/>
        <v>051-20012042.3.2В.3</v>
      </c>
      <c r="Z115" s="4" t="s">
        <v>1065</v>
      </c>
      <c r="AA115" s="4" t="s">
        <v>1327</v>
      </c>
      <c r="AB115" s="4" t="s">
        <v>1328</v>
      </c>
      <c r="AC115" s="4" t="s">
        <v>2855</v>
      </c>
    </row>
    <row r="116" spans="13:29">
      <c r="M116" s="7" t="s">
        <v>168</v>
      </c>
      <c r="N116" s="13" t="s">
        <v>322</v>
      </c>
      <c r="O116" s="8" t="str">
        <f t="shared" si="3"/>
        <v/>
      </c>
      <c r="V116" s="4" t="s">
        <v>110</v>
      </c>
      <c r="W116" s="4" t="s">
        <v>863</v>
      </c>
      <c r="X116" s="4" t="s">
        <v>864</v>
      </c>
      <c r="Y116" s="4" t="str">
        <f t="shared" si="4"/>
        <v>051-20012042.3.2В.4</v>
      </c>
      <c r="Z116" s="4" t="s">
        <v>1065</v>
      </c>
      <c r="AA116" s="4" t="s">
        <v>1329</v>
      </c>
      <c r="AB116" s="4" t="s">
        <v>1330</v>
      </c>
    </row>
    <row r="117" spans="13:29">
      <c r="M117" s="7" t="s">
        <v>168</v>
      </c>
      <c r="N117" s="13" t="s">
        <v>323</v>
      </c>
      <c r="O117" s="8" t="str">
        <f t="shared" si="3"/>
        <v/>
      </c>
      <c r="V117" s="4" t="s">
        <v>110</v>
      </c>
      <c r="W117" s="4" t="s">
        <v>865</v>
      </c>
      <c r="X117" s="4" t="s">
        <v>866</v>
      </c>
      <c r="Y117" s="4" t="str">
        <f t="shared" si="4"/>
        <v>051-20012042.3.2В.5</v>
      </c>
      <c r="Z117" s="4" t="s">
        <v>1065</v>
      </c>
      <c r="AA117" s="4" t="s">
        <v>1331</v>
      </c>
      <c r="AB117" s="4" t="s">
        <v>1332</v>
      </c>
    </row>
    <row r="118" spans="13:29">
      <c r="M118" s="7" t="s">
        <v>168</v>
      </c>
      <c r="N118" s="13" t="s">
        <v>324</v>
      </c>
      <c r="O118" s="8" t="str">
        <f t="shared" si="3"/>
        <v/>
      </c>
      <c r="V118" s="4" t="s">
        <v>110</v>
      </c>
      <c r="W118" s="4" t="s">
        <v>867</v>
      </c>
      <c r="X118" s="4" t="s">
        <v>868</v>
      </c>
      <c r="Y118" s="4" t="str">
        <f t="shared" si="4"/>
        <v>051-20012042.3.2В.6</v>
      </c>
      <c r="Z118" s="4" t="s">
        <v>1065</v>
      </c>
      <c r="AA118" s="4" t="s">
        <v>1333</v>
      </c>
      <c r="AB118" s="4" t="s">
        <v>1334</v>
      </c>
    </row>
    <row r="119" spans="13:29">
      <c r="M119" s="7" t="s">
        <v>168</v>
      </c>
      <c r="N119" s="13" t="s">
        <v>325</v>
      </c>
      <c r="O119" s="8" t="str">
        <f t="shared" si="3"/>
        <v/>
      </c>
      <c r="V119" s="4" t="s">
        <v>869</v>
      </c>
      <c r="W119" s="4" t="s">
        <v>870</v>
      </c>
      <c r="X119" s="4" t="s">
        <v>871</v>
      </c>
      <c r="Y119" s="4" t="str">
        <f t="shared" si="4"/>
        <v>051-20012042.3.2В.7</v>
      </c>
      <c r="Z119" s="4" t="s">
        <v>1065</v>
      </c>
      <c r="AA119" s="4" t="s">
        <v>1335</v>
      </c>
      <c r="AB119" s="4" t="s">
        <v>1336</v>
      </c>
    </row>
    <row r="120" spans="13:29">
      <c r="M120" s="7" t="s">
        <v>169</v>
      </c>
      <c r="N120" s="13" t="s">
        <v>326</v>
      </c>
      <c r="O120" s="8" t="str">
        <f t="shared" si="3"/>
        <v/>
      </c>
      <c r="V120" s="4" t="s">
        <v>112</v>
      </c>
      <c r="W120" s="4" t="s">
        <v>872</v>
      </c>
      <c r="X120" s="4" t="s">
        <v>873</v>
      </c>
      <c r="Y120" s="4" t="str">
        <f t="shared" si="4"/>
        <v>051-20012042.3.2В.8</v>
      </c>
      <c r="Z120" s="4" t="s">
        <v>1065</v>
      </c>
      <c r="AA120" s="4" t="s">
        <v>1337</v>
      </c>
      <c r="AB120" s="4" t="s">
        <v>1338</v>
      </c>
    </row>
    <row r="121" spans="13:29">
      <c r="M121" s="7" t="s">
        <v>170</v>
      </c>
      <c r="N121" s="13" t="s">
        <v>327</v>
      </c>
      <c r="O121" s="8" t="str">
        <f t="shared" si="3"/>
        <v/>
      </c>
      <c r="V121" s="4" t="s">
        <v>112</v>
      </c>
      <c r="W121" s="4" t="s">
        <v>874</v>
      </c>
      <c r="X121" s="4" t="s">
        <v>875</v>
      </c>
      <c r="Y121" s="4" t="str">
        <f t="shared" si="4"/>
        <v>051-20012042.3.3В.1</v>
      </c>
      <c r="Z121" s="4" t="s">
        <v>1065</v>
      </c>
      <c r="AA121" s="4" t="s">
        <v>1339</v>
      </c>
      <c r="AB121" s="4" t="s">
        <v>1340</v>
      </c>
    </row>
    <row r="122" spans="13:29">
      <c r="M122" s="7" t="s">
        <v>170</v>
      </c>
      <c r="N122" s="13" t="s">
        <v>328</v>
      </c>
      <c r="O122" s="8" t="str">
        <f t="shared" si="3"/>
        <v/>
      </c>
      <c r="V122" s="4" t="s">
        <v>112</v>
      </c>
      <c r="W122" s="4" t="s">
        <v>876</v>
      </c>
      <c r="X122" s="4" t="s">
        <v>877</v>
      </c>
      <c r="Y122" s="4" t="str">
        <f t="shared" si="4"/>
        <v>051-20012042.3.3В.2</v>
      </c>
      <c r="Z122" s="4" t="s">
        <v>1065</v>
      </c>
      <c r="AA122" s="4" t="s">
        <v>1341</v>
      </c>
      <c r="AB122" s="4" t="s">
        <v>1342</v>
      </c>
    </row>
    <row r="123" spans="13:29">
      <c r="M123" s="7" t="s">
        <v>171</v>
      </c>
      <c r="N123" s="13" t="s">
        <v>329</v>
      </c>
      <c r="O123" s="8" t="str">
        <f t="shared" si="3"/>
        <v/>
      </c>
      <c r="V123" s="4" t="s">
        <v>112</v>
      </c>
      <c r="W123" s="4" t="s">
        <v>878</v>
      </c>
      <c r="X123" s="4" t="s">
        <v>879</v>
      </c>
      <c r="Y123" s="4" t="str">
        <f t="shared" si="4"/>
        <v>051-20012042.3.3В.3</v>
      </c>
      <c r="Z123" s="4" t="s">
        <v>1065</v>
      </c>
      <c r="AA123" s="4" t="s">
        <v>1343</v>
      </c>
      <c r="AB123" s="4" t="s">
        <v>1344</v>
      </c>
    </row>
    <row r="124" spans="13:29">
      <c r="M124" s="7" t="s">
        <v>171</v>
      </c>
      <c r="N124" s="13" t="s">
        <v>330</v>
      </c>
      <c r="O124" s="8" t="str">
        <f t="shared" si="3"/>
        <v/>
      </c>
      <c r="V124" s="4" t="s">
        <v>112</v>
      </c>
      <c r="W124" s="4" t="s">
        <v>880</v>
      </c>
      <c r="X124" s="4" t="s">
        <v>881</v>
      </c>
      <c r="Y124" s="4" t="str">
        <f t="shared" si="4"/>
        <v>051-20012042.3.3В.4</v>
      </c>
      <c r="Z124" s="4" t="s">
        <v>1065</v>
      </c>
      <c r="AA124" s="4" t="s">
        <v>1345</v>
      </c>
      <c r="AB124" s="4" t="s">
        <v>1346</v>
      </c>
    </row>
    <row r="125" spans="13:29">
      <c r="M125" s="7" t="s">
        <v>172</v>
      </c>
      <c r="N125" s="13" t="s">
        <v>331</v>
      </c>
      <c r="O125" s="8" t="str">
        <f t="shared" si="3"/>
        <v/>
      </c>
      <c r="V125" s="4" t="s">
        <v>112</v>
      </c>
      <c r="W125" s="4" t="s">
        <v>882</v>
      </c>
      <c r="X125" s="4" t="s">
        <v>883</v>
      </c>
      <c r="Y125" s="4" t="str">
        <f t="shared" si="4"/>
        <v>051-20012042.4.1В.2</v>
      </c>
      <c r="Z125" s="4" t="s">
        <v>1065</v>
      </c>
      <c r="AA125" s="4" t="s">
        <v>1347</v>
      </c>
      <c r="AB125" s="4" t="s">
        <v>1348</v>
      </c>
    </row>
    <row r="126" spans="13:29">
      <c r="M126" s="7" t="s">
        <v>172</v>
      </c>
      <c r="N126" s="13" t="s">
        <v>332</v>
      </c>
      <c r="O126" s="8" t="str">
        <f t="shared" si="3"/>
        <v/>
      </c>
      <c r="V126" s="4" t="s">
        <v>112</v>
      </c>
      <c r="W126" s="4" t="s">
        <v>884</v>
      </c>
      <c r="X126" s="4" t="s">
        <v>885</v>
      </c>
      <c r="Y126" s="4" t="str">
        <f t="shared" si="4"/>
        <v>051-20012042.5.1В.3</v>
      </c>
      <c r="Z126" s="4" t="s">
        <v>1065</v>
      </c>
      <c r="AA126" s="4" t="s">
        <v>1349</v>
      </c>
      <c r="AB126" s="4" t="s">
        <v>1350</v>
      </c>
    </row>
    <row r="127" spans="13:29">
      <c r="M127" s="7" t="s">
        <v>172</v>
      </c>
      <c r="N127" s="13" t="s">
        <v>333</v>
      </c>
      <c r="O127" s="8" t="str">
        <f t="shared" si="3"/>
        <v/>
      </c>
      <c r="V127" s="4" t="s">
        <v>112</v>
      </c>
      <c r="W127" s="4" t="s">
        <v>886</v>
      </c>
      <c r="X127" s="4" t="s">
        <v>887</v>
      </c>
      <c r="Y127" s="4" t="str">
        <f t="shared" si="4"/>
        <v>051-20012042.5.2В.1</v>
      </c>
      <c r="Z127" s="4" t="s">
        <v>1065</v>
      </c>
      <c r="AA127" s="4" t="s">
        <v>1351</v>
      </c>
      <c r="AB127" s="4" t="s">
        <v>1352</v>
      </c>
    </row>
    <row r="128" spans="13:29">
      <c r="M128" s="7" t="s">
        <v>172</v>
      </c>
      <c r="N128" s="13" t="s">
        <v>334</v>
      </c>
      <c r="O128" s="8" t="str">
        <f t="shared" si="3"/>
        <v/>
      </c>
      <c r="V128" s="4" t="s">
        <v>112</v>
      </c>
      <c r="W128" s="4" t="s">
        <v>888</v>
      </c>
      <c r="X128" s="4" t="s">
        <v>889</v>
      </c>
      <c r="Y128" s="4" t="str">
        <f t="shared" si="4"/>
        <v>051-20012042.5.3В.1</v>
      </c>
      <c r="Z128" s="4" t="s">
        <v>1065</v>
      </c>
      <c r="AA128" s="4" t="s">
        <v>1353</v>
      </c>
      <c r="AB128" s="4" t="s">
        <v>1354</v>
      </c>
    </row>
    <row r="129" spans="13:28">
      <c r="M129" s="7" t="s">
        <v>172</v>
      </c>
      <c r="N129" s="13" t="s">
        <v>335</v>
      </c>
      <c r="O129" s="8" t="str">
        <f t="shared" si="3"/>
        <v/>
      </c>
      <c r="V129" s="4" t="s">
        <v>112</v>
      </c>
      <c r="W129" s="4" t="s">
        <v>890</v>
      </c>
      <c r="X129" s="4" t="s">
        <v>891</v>
      </c>
      <c r="Y129" s="4" t="str">
        <f t="shared" si="4"/>
        <v>051-20012042.6.1В.1</v>
      </c>
      <c r="Z129" s="4" t="s">
        <v>1065</v>
      </c>
      <c r="AA129" s="4" t="s">
        <v>1355</v>
      </c>
      <c r="AB129" s="4" t="s">
        <v>1356</v>
      </c>
    </row>
    <row r="130" spans="13:28">
      <c r="M130" s="7" t="s">
        <v>172</v>
      </c>
      <c r="N130" s="13" t="s">
        <v>336</v>
      </c>
      <c r="O130" s="8" t="str">
        <f t="shared" si="3"/>
        <v/>
      </c>
      <c r="V130" s="4" t="s">
        <v>112</v>
      </c>
      <c r="W130" s="4" t="s">
        <v>892</v>
      </c>
      <c r="X130" s="4" t="s">
        <v>893</v>
      </c>
      <c r="Y130" s="4" t="str">
        <f t="shared" si="4"/>
        <v>051-20012042.6.1В.3</v>
      </c>
      <c r="Z130" s="4" t="s">
        <v>1065</v>
      </c>
      <c r="AA130" s="4" t="s">
        <v>1357</v>
      </c>
      <c r="AB130" s="4" t="s">
        <v>1358</v>
      </c>
    </row>
    <row r="131" spans="13:28">
      <c r="M131" s="7" t="s">
        <v>172</v>
      </c>
      <c r="N131" s="13" t="s">
        <v>337</v>
      </c>
      <c r="O131" s="8" t="str">
        <f t="shared" si="3"/>
        <v/>
      </c>
      <c r="V131" s="4" t="s">
        <v>112</v>
      </c>
      <c r="W131" s="4" t="s">
        <v>894</v>
      </c>
      <c r="X131" s="4" t="s">
        <v>895</v>
      </c>
      <c r="Y131" s="4" t="str">
        <f t="shared" si="4"/>
        <v>051-20012042.6.1В.4</v>
      </c>
      <c r="Z131" s="4" t="s">
        <v>1065</v>
      </c>
      <c r="AA131" s="4" t="s">
        <v>1359</v>
      </c>
      <c r="AB131" s="4" t="s">
        <v>1360</v>
      </c>
    </row>
    <row r="132" spans="13:28">
      <c r="M132" s="7" t="s">
        <v>172</v>
      </c>
      <c r="N132" s="13" t="s">
        <v>338</v>
      </c>
      <c r="O132" s="8" t="str">
        <f t="shared" si="3"/>
        <v/>
      </c>
      <c r="V132" s="4" t="s">
        <v>112</v>
      </c>
      <c r="W132" s="4" t="s">
        <v>896</v>
      </c>
      <c r="X132" s="4" t="s">
        <v>897</v>
      </c>
      <c r="Y132" s="4" t="str">
        <f t="shared" si="4"/>
        <v>051-20012042.6.1В.5.24</v>
      </c>
      <c r="Z132" s="4" t="s">
        <v>1065</v>
      </c>
      <c r="AA132" s="4" t="s">
        <v>1361</v>
      </c>
      <c r="AB132" s="4" t="s">
        <v>1362</v>
      </c>
    </row>
    <row r="133" spans="13:28">
      <c r="M133" s="7" t="s">
        <v>172</v>
      </c>
      <c r="N133" s="13" t="s">
        <v>339</v>
      </c>
      <c r="O133" s="8" t="str">
        <f t="shared" si="3"/>
        <v/>
      </c>
      <c r="V133" s="4" t="s">
        <v>112</v>
      </c>
      <c r="W133" s="4" t="s">
        <v>898</v>
      </c>
      <c r="X133" s="4" t="s">
        <v>899</v>
      </c>
      <c r="Y133" s="4" t="str">
        <f t="shared" si="4"/>
        <v>051-20012041.6.2.1</v>
      </c>
      <c r="Z133" s="4" t="s">
        <v>1065</v>
      </c>
      <c r="AA133" s="4" t="s">
        <v>1363</v>
      </c>
      <c r="AB133" s="4" t="s">
        <v>1364</v>
      </c>
    </row>
    <row r="134" spans="13:28">
      <c r="M134" s="7" t="s">
        <v>172</v>
      </c>
      <c r="N134" s="13" t="s">
        <v>340</v>
      </c>
      <c r="O134" s="8" t="str">
        <f t="shared" si="3"/>
        <v/>
      </c>
      <c r="V134" s="4" t="s">
        <v>112</v>
      </c>
      <c r="W134" s="4" t="s">
        <v>900</v>
      </c>
      <c r="X134" s="4" t="s">
        <v>901</v>
      </c>
      <c r="Y134" s="4" t="str">
        <f t="shared" si="4"/>
        <v>051-20012041.6.2.2</v>
      </c>
      <c r="Z134" s="4" t="s">
        <v>1065</v>
      </c>
      <c r="AA134" s="4" t="s">
        <v>1365</v>
      </c>
      <c r="AB134" s="4" t="s">
        <v>1366</v>
      </c>
    </row>
    <row r="135" spans="13:28">
      <c r="M135" s="7" t="s">
        <v>172</v>
      </c>
      <c r="N135" s="13" t="s">
        <v>341</v>
      </c>
      <c r="O135" s="8" t="str">
        <f t="shared" ref="O135:O198" si="5">CONCATENATE(P135,Q135)</f>
        <v/>
      </c>
      <c r="V135" s="4" t="s">
        <v>112</v>
      </c>
      <c r="W135" s="4" t="s">
        <v>902</v>
      </c>
      <c r="X135" s="4" t="s">
        <v>903</v>
      </c>
      <c r="Y135" s="4" t="str">
        <f t="shared" ref="Y135:Y198" si="6">CONCATENATE(Z135,AA135)</f>
        <v>051-20012041.6.4.2</v>
      </c>
      <c r="Z135" s="4" t="s">
        <v>1065</v>
      </c>
      <c r="AA135" s="4" t="s">
        <v>1367</v>
      </c>
      <c r="AB135" s="4" t="s">
        <v>1368</v>
      </c>
    </row>
    <row r="136" spans="13:28">
      <c r="M136" s="7" t="s">
        <v>172</v>
      </c>
      <c r="N136" s="13" t="s">
        <v>342</v>
      </c>
      <c r="O136" s="8" t="str">
        <f t="shared" si="5"/>
        <v/>
      </c>
      <c r="V136" s="4" t="s">
        <v>112</v>
      </c>
      <c r="W136" s="4" t="s">
        <v>904</v>
      </c>
      <c r="X136" s="4" t="s">
        <v>905</v>
      </c>
      <c r="Y136" s="4" t="str">
        <f t="shared" si="6"/>
        <v>051-20012041.6.4.3.24</v>
      </c>
      <c r="Z136" s="4" t="s">
        <v>1065</v>
      </c>
      <c r="AA136" s="4" t="s">
        <v>1369</v>
      </c>
      <c r="AB136" s="4" t="s">
        <v>1370</v>
      </c>
    </row>
    <row r="137" spans="13:28">
      <c r="M137" s="7" t="s">
        <v>172</v>
      </c>
      <c r="N137" s="13" t="s">
        <v>343</v>
      </c>
      <c r="O137" s="8" t="str">
        <f t="shared" si="5"/>
        <v/>
      </c>
      <c r="V137" s="4" t="s">
        <v>112</v>
      </c>
      <c r="W137" s="4" t="s">
        <v>906</v>
      </c>
      <c r="X137" s="4" t="s">
        <v>907</v>
      </c>
      <c r="Y137" s="4" t="str">
        <f t="shared" si="6"/>
        <v>051-20012042.6.2В.1</v>
      </c>
      <c r="Z137" s="4" t="s">
        <v>1065</v>
      </c>
      <c r="AA137" s="4" t="s">
        <v>1371</v>
      </c>
      <c r="AB137" s="4" t="s">
        <v>1372</v>
      </c>
    </row>
    <row r="138" spans="13:28">
      <c r="M138" s="7" t="s">
        <v>172</v>
      </c>
      <c r="N138" s="13" t="s">
        <v>344</v>
      </c>
      <c r="O138" s="8" t="str">
        <f t="shared" si="5"/>
        <v/>
      </c>
      <c r="V138" s="4" t="s">
        <v>112</v>
      </c>
      <c r="W138" s="4" t="s">
        <v>908</v>
      </c>
      <c r="X138" s="4" t="s">
        <v>909</v>
      </c>
      <c r="Y138" s="4" t="str">
        <f t="shared" si="6"/>
        <v>051-20012042.6.2В.2</v>
      </c>
      <c r="Z138" s="4" t="s">
        <v>1065</v>
      </c>
      <c r="AA138" s="4" t="s">
        <v>1373</v>
      </c>
      <c r="AB138" s="4" t="s">
        <v>1374</v>
      </c>
    </row>
    <row r="139" spans="13:28">
      <c r="M139" s="7" t="s">
        <v>172</v>
      </c>
      <c r="N139" s="13" t="s">
        <v>345</v>
      </c>
      <c r="O139" s="8" t="str">
        <f t="shared" si="5"/>
        <v/>
      </c>
      <c r="V139" s="4" t="s">
        <v>112</v>
      </c>
      <c r="W139" s="4" t="s">
        <v>910</v>
      </c>
      <c r="X139" s="4" t="s">
        <v>911</v>
      </c>
      <c r="Y139" s="4" t="str">
        <f t="shared" si="6"/>
        <v>051-20012042.6.3В.1</v>
      </c>
      <c r="Z139" s="4" t="s">
        <v>1065</v>
      </c>
      <c r="AA139" s="4" t="s">
        <v>1375</v>
      </c>
      <c r="AB139" s="4" t="s">
        <v>1376</v>
      </c>
    </row>
    <row r="140" spans="13:28">
      <c r="M140" s="7" t="s">
        <v>172</v>
      </c>
      <c r="N140" s="13" t="s">
        <v>346</v>
      </c>
      <c r="O140" s="8" t="str">
        <f t="shared" si="5"/>
        <v/>
      </c>
      <c r="V140" s="4" t="s">
        <v>112</v>
      </c>
      <c r="W140" s="4" t="s">
        <v>912</v>
      </c>
      <c r="X140" s="4" t="s">
        <v>913</v>
      </c>
      <c r="Y140" s="4" t="str">
        <f t="shared" si="6"/>
        <v>051-20012042.6.3В.2</v>
      </c>
      <c r="Z140" s="4" t="s">
        <v>1065</v>
      </c>
      <c r="AA140" s="4" t="s">
        <v>1377</v>
      </c>
      <c r="AB140" s="4" t="s">
        <v>1378</v>
      </c>
    </row>
    <row r="141" spans="13:28">
      <c r="M141" s="7" t="s">
        <v>172</v>
      </c>
      <c r="N141" s="13" t="s">
        <v>347</v>
      </c>
      <c r="O141" s="8" t="str">
        <f t="shared" si="5"/>
        <v/>
      </c>
      <c r="V141" s="4" t="s">
        <v>112</v>
      </c>
      <c r="W141" s="4" t="s">
        <v>914</v>
      </c>
      <c r="X141" s="4" t="s">
        <v>915</v>
      </c>
      <c r="Y141" s="4" t="str">
        <f t="shared" si="6"/>
        <v>051-20012042.6.3В.3</v>
      </c>
      <c r="Z141" s="4" t="s">
        <v>1065</v>
      </c>
      <c r="AA141" s="4" t="s">
        <v>1379</v>
      </c>
      <c r="AB141" s="4" t="s">
        <v>1380</v>
      </c>
    </row>
    <row r="142" spans="13:28">
      <c r="M142" s="7" t="s">
        <v>173</v>
      </c>
      <c r="N142" s="13" t="s">
        <v>348</v>
      </c>
      <c r="O142" s="8" t="str">
        <f t="shared" si="5"/>
        <v/>
      </c>
      <c r="V142" s="4" t="s">
        <v>112</v>
      </c>
      <c r="W142" s="4" t="s">
        <v>916</v>
      </c>
      <c r="X142" s="4" t="s">
        <v>917</v>
      </c>
      <c r="Y142" s="4" t="str">
        <f t="shared" si="6"/>
        <v>051-20012042.6.3В.4.25</v>
      </c>
      <c r="Z142" s="4" t="s">
        <v>1065</v>
      </c>
      <c r="AA142" s="4" t="s">
        <v>1381</v>
      </c>
      <c r="AB142" s="4" t="s">
        <v>1382</v>
      </c>
    </row>
    <row r="143" spans="13:28">
      <c r="M143" s="7" t="s">
        <v>173</v>
      </c>
      <c r="N143" s="13" t="s">
        <v>349</v>
      </c>
      <c r="O143" s="8" t="str">
        <f t="shared" si="5"/>
        <v/>
      </c>
      <c r="V143" s="4" t="s">
        <v>112</v>
      </c>
      <c r="W143" s="4" t="s">
        <v>918</v>
      </c>
      <c r="X143" s="4" t="s">
        <v>919</v>
      </c>
      <c r="Y143" s="4" t="str">
        <f t="shared" si="6"/>
        <v>051-20012041.8.6.1</v>
      </c>
      <c r="Z143" s="4" t="s">
        <v>1065</v>
      </c>
      <c r="AA143" s="4" t="s">
        <v>1383</v>
      </c>
      <c r="AB143" s="4" t="s">
        <v>1384</v>
      </c>
    </row>
    <row r="144" spans="13:28">
      <c r="M144" s="7" t="s">
        <v>174</v>
      </c>
      <c r="N144" s="13" t="s">
        <v>350</v>
      </c>
      <c r="O144" s="8" t="str">
        <f t="shared" si="5"/>
        <v/>
      </c>
      <c r="V144" s="4" t="s">
        <v>112</v>
      </c>
      <c r="W144" s="4" t="s">
        <v>920</v>
      </c>
      <c r="X144" s="4" t="s">
        <v>921</v>
      </c>
      <c r="Y144" s="4" t="str">
        <f t="shared" si="6"/>
        <v>051-20012301.6.72.1.25</v>
      </c>
      <c r="Z144" s="4" t="s">
        <v>1083</v>
      </c>
      <c r="AA144" s="4" t="s">
        <v>1385</v>
      </c>
      <c r="AB144" s="4" t="s">
        <v>1386</v>
      </c>
    </row>
    <row r="145" spans="13:28">
      <c r="M145" s="7" t="s">
        <v>174</v>
      </c>
      <c r="N145" s="13" t="s">
        <v>351</v>
      </c>
      <c r="O145" s="8" t="str">
        <f t="shared" si="5"/>
        <v/>
      </c>
      <c r="V145" s="4" t="s">
        <v>112</v>
      </c>
      <c r="W145" s="4" t="s">
        <v>922</v>
      </c>
      <c r="X145" s="4" t="s">
        <v>923</v>
      </c>
      <c r="Y145" s="4" t="str">
        <f t="shared" si="6"/>
        <v>051-20012301.6.72.2.25</v>
      </c>
      <c r="Z145" s="4" t="s">
        <v>1083</v>
      </c>
      <c r="AA145" s="4" t="s">
        <v>1387</v>
      </c>
      <c r="AB145" s="4" t="s">
        <v>1388</v>
      </c>
    </row>
    <row r="146" spans="13:28">
      <c r="M146" s="7" t="s">
        <v>174</v>
      </c>
      <c r="N146" s="13" t="s">
        <v>352</v>
      </c>
      <c r="O146" s="8" t="str">
        <f t="shared" si="5"/>
        <v/>
      </c>
      <c r="V146" s="4" t="s">
        <v>112</v>
      </c>
      <c r="W146" s="4" t="s">
        <v>924</v>
      </c>
      <c r="X146" s="4" t="s">
        <v>925</v>
      </c>
      <c r="Y146" s="4" t="str">
        <f t="shared" si="6"/>
        <v>051-200131515.1.0.1.25</v>
      </c>
      <c r="Z146" s="4" t="s">
        <v>872</v>
      </c>
      <c r="AA146" s="4" t="s">
        <v>1389</v>
      </c>
      <c r="AB146" s="4" t="s">
        <v>1390</v>
      </c>
    </row>
    <row r="147" spans="13:28">
      <c r="M147" s="7" t="s">
        <v>175</v>
      </c>
      <c r="N147" s="13" t="s">
        <v>353</v>
      </c>
      <c r="O147" s="8" t="str">
        <f t="shared" si="5"/>
        <v/>
      </c>
      <c r="V147" s="4" t="s">
        <v>112</v>
      </c>
      <c r="W147" s="4" t="s">
        <v>926</v>
      </c>
      <c r="X147" s="4" t="s">
        <v>927</v>
      </c>
      <c r="Y147" s="4" t="str">
        <f t="shared" si="6"/>
        <v>051-200131515.1.0.2.25</v>
      </c>
      <c r="Z147" s="4" t="s">
        <v>872</v>
      </c>
      <c r="AA147" s="4" t="s">
        <v>1391</v>
      </c>
      <c r="AB147" s="4" t="s">
        <v>1390</v>
      </c>
    </row>
    <row r="148" spans="13:28">
      <c r="M148" s="7" t="s">
        <v>175</v>
      </c>
      <c r="N148" s="13" t="s">
        <v>354</v>
      </c>
      <c r="O148" s="8" t="str">
        <f t="shared" si="5"/>
        <v/>
      </c>
      <c r="V148" s="4" t="s">
        <v>112</v>
      </c>
      <c r="W148" s="4" t="s">
        <v>928</v>
      </c>
      <c r="X148" s="4" t="s">
        <v>929</v>
      </c>
      <c r="Y148" s="4" t="str">
        <f t="shared" si="6"/>
        <v>051-200131515.3.3.1</v>
      </c>
      <c r="Z148" s="4" t="s">
        <v>872</v>
      </c>
      <c r="AA148" s="4" t="s">
        <v>1392</v>
      </c>
      <c r="AB148" s="4" t="s">
        <v>1393</v>
      </c>
    </row>
    <row r="149" spans="13:28">
      <c r="M149" s="7" t="s">
        <v>175</v>
      </c>
      <c r="N149" s="13" t="s">
        <v>355</v>
      </c>
      <c r="O149" s="8" t="str">
        <f t="shared" si="5"/>
        <v/>
      </c>
      <c r="V149" s="4" t="s">
        <v>112</v>
      </c>
      <c r="W149" s="4" t="s">
        <v>930</v>
      </c>
      <c r="X149" s="4" t="s">
        <v>931</v>
      </c>
      <c r="Y149" s="4" t="str">
        <f t="shared" si="6"/>
        <v>051-200131515.3.7.1</v>
      </c>
      <c r="Z149" s="4" t="s">
        <v>872</v>
      </c>
      <c r="AA149" s="4" t="s">
        <v>1394</v>
      </c>
      <c r="AB149" s="4" t="s">
        <v>1395</v>
      </c>
    </row>
    <row r="150" spans="13:28">
      <c r="M150" s="7" t="s">
        <v>175</v>
      </c>
      <c r="N150" s="13" t="s">
        <v>356</v>
      </c>
      <c r="O150" s="8" t="str">
        <f t="shared" si="5"/>
        <v/>
      </c>
      <c r="V150" s="4" t="s">
        <v>116</v>
      </c>
      <c r="W150" s="4" t="s">
        <v>932</v>
      </c>
      <c r="X150" s="4" t="s">
        <v>933</v>
      </c>
      <c r="Y150" s="4" t="str">
        <f t="shared" si="6"/>
        <v>051-200131515.3.9.1</v>
      </c>
      <c r="Z150" s="4" t="s">
        <v>872</v>
      </c>
      <c r="AA150" s="4" t="s">
        <v>1396</v>
      </c>
      <c r="AB150" s="4" t="s">
        <v>1397</v>
      </c>
    </row>
    <row r="151" spans="13:28">
      <c r="M151" s="7" t="s">
        <v>45</v>
      </c>
      <c r="N151" s="13" t="s">
        <v>357</v>
      </c>
      <c r="O151" s="8" t="str">
        <f t="shared" si="5"/>
        <v/>
      </c>
      <c r="V151" s="4" t="s">
        <v>116</v>
      </c>
      <c r="W151" s="4" t="s">
        <v>934</v>
      </c>
      <c r="X151" s="4" t="s">
        <v>935</v>
      </c>
      <c r="Y151" s="4" t="str">
        <f t="shared" si="6"/>
        <v>051-200131515.3.12.1</v>
      </c>
      <c r="Z151" s="4" t="s">
        <v>872</v>
      </c>
      <c r="AA151" s="4" t="s">
        <v>1398</v>
      </c>
      <c r="AB151" s="4" t="s">
        <v>1399</v>
      </c>
    </row>
    <row r="152" spans="13:28">
      <c r="M152" s="7" t="s">
        <v>45</v>
      </c>
      <c r="N152" s="13" t="s">
        <v>358</v>
      </c>
      <c r="O152" s="8" t="str">
        <f t="shared" si="5"/>
        <v/>
      </c>
      <c r="V152" s="4" t="s">
        <v>936</v>
      </c>
      <c r="W152" s="4" t="s">
        <v>937</v>
      </c>
      <c r="X152" s="4" t="s">
        <v>938</v>
      </c>
      <c r="Y152" s="4" t="str">
        <f t="shared" si="6"/>
        <v>051-200131515.3.10.1</v>
      </c>
      <c r="Z152" s="4" t="s">
        <v>872</v>
      </c>
      <c r="AA152" s="4" t="s">
        <v>1400</v>
      </c>
      <c r="AB152" s="4" t="s">
        <v>1401</v>
      </c>
    </row>
    <row r="153" spans="13:28">
      <c r="M153" s="7" t="s">
        <v>45</v>
      </c>
      <c r="N153" s="13" t="s">
        <v>359</v>
      </c>
      <c r="O153" s="8" t="str">
        <f t="shared" si="5"/>
        <v/>
      </c>
      <c r="V153" s="4" t="s">
        <v>936</v>
      </c>
      <c r="W153" s="4" t="s">
        <v>939</v>
      </c>
      <c r="X153" s="4" t="s">
        <v>940</v>
      </c>
      <c r="Y153" s="4" t="str">
        <f t="shared" si="6"/>
        <v>051-200131515.3.3.3</v>
      </c>
      <c r="Z153" s="4" t="s">
        <v>872</v>
      </c>
      <c r="AA153" s="4" t="s">
        <v>1402</v>
      </c>
      <c r="AB153" s="4" t="s">
        <v>1403</v>
      </c>
    </row>
    <row r="154" spans="13:28">
      <c r="M154" s="7" t="s">
        <v>45</v>
      </c>
      <c r="N154" s="13" t="s">
        <v>360</v>
      </c>
      <c r="O154" s="8" t="str">
        <f t="shared" si="5"/>
        <v/>
      </c>
      <c r="V154" s="4" t="s">
        <v>121</v>
      </c>
      <c r="W154" s="4" t="s">
        <v>941</v>
      </c>
      <c r="X154" s="4" t="s">
        <v>942</v>
      </c>
      <c r="Y154" s="4" t="str">
        <f t="shared" si="6"/>
        <v>051-200131515.3.3.4</v>
      </c>
      <c r="Z154" s="4" t="s">
        <v>872</v>
      </c>
      <c r="AA154" s="4" t="s">
        <v>1404</v>
      </c>
      <c r="AB154" s="4" t="s">
        <v>1405</v>
      </c>
    </row>
    <row r="155" spans="13:28">
      <c r="M155" s="7" t="s">
        <v>45</v>
      </c>
      <c r="N155" s="13" t="s">
        <v>361</v>
      </c>
      <c r="O155" s="8" t="str">
        <f t="shared" si="5"/>
        <v/>
      </c>
      <c r="V155" s="4" t="s">
        <v>943</v>
      </c>
      <c r="W155" s="4" t="s">
        <v>944</v>
      </c>
      <c r="X155" s="4" t="s">
        <v>945</v>
      </c>
      <c r="Y155" s="4" t="str">
        <f t="shared" si="6"/>
        <v>051-200131515.3.3.5</v>
      </c>
      <c r="Z155" s="4" t="s">
        <v>872</v>
      </c>
      <c r="AA155" s="4" t="s">
        <v>1406</v>
      </c>
      <c r="AB155" s="4" t="s">
        <v>1407</v>
      </c>
    </row>
    <row r="156" spans="13:28">
      <c r="M156" s="7" t="s">
        <v>45</v>
      </c>
      <c r="N156" s="13" t="s">
        <v>362</v>
      </c>
      <c r="O156" s="8" t="str">
        <f t="shared" si="5"/>
        <v/>
      </c>
      <c r="V156" s="4" t="s">
        <v>946</v>
      </c>
      <c r="W156" s="4" t="s">
        <v>947</v>
      </c>
      <c r="X156" s="4" t="s">
        <v>948</v>
      </c>
      <c r="Y156" s="4" t="str">
        <f t="shared" si="6"/>
        <v>051-200131515.3.3.6</v>
      </c>
      <c r="Z156" s="4" t="s">
        <v>872</v>
      </c>
      <c r="AA156" s="4" t="s">
        <v>1408</v>
      </c>
      <c r="AB156" s="4" t="s">
        <v>1409</v>
      </c>
    </row>
    <row r="157" spans="13:28">
      <c r="M157" s="7" t="s">
        <v>45</v>
      </c>
      <c r="N157" s="13" t="s">
        <v>363</v>
      </c>
      <c r="O157" s="8" t="str">
        <f t="shared" si="5"/>
        <v/>
      </c>
      <c r="V157" s="4" t="s">
        <v>946</v>
      </c>
      <c r="W157" s="4" t="s">
        <v>949</v>
      </c>
      <c r="X157" s="4" t="s">
        <v>950</v>
      </c>
      <c r="Y157" s="4" t="str">
        <f t="shared" si="6"/>
        <v>051-200131515.3.3.8</v>
      </c>
      <c r="Z157" s="4" t="s">
        <v>872</v>
      </c>
      <c r="AA157" s="4" t="s">
        <v>1410</v>
      </c>
      <c r="AB157" s="4" t="s">
        <v>1411</v>
      </c>
    </row>
    <row r="158" spans="13:28">
      <c r="M158" s="7" t="s">
        <v>45</v>
      </c>
      <c r="N158" s="13" t="s">
        <v>364</v>
      </c>
      <c r="O158" s="8" t="str">
        <f t="shared" si="5"/>
        <v/>
      </c>
      <c r="V158" s="4" t="s">
        <v>29</v>
      </c>
      <c r="W158" s="4" t="s">
        <v>951</v>
      </c>
      <c r="X158" s="4" t="s">
        <v>952</v>
      </c>
      <c r="Y158" s="4" t="str">
        <f t="shared" si="6"/>
        <v>051-200131515.3.3.9</v>
      </c>
      <c r="Z158" s="4" t="s">
        <v>872</v>
      </c>
      <c r="AA158" s="4" t="s">
        <v>1412</v>
      </c>
      <c r="AB158" s="4" t="s">
        <v>1413</v>
      </c>
    </row>
    <row r="159" spans="13:28">
      <c r="M159" s="7" t="s">
        <v>45</v>
      </c>
      <c r="N159" s="13" t="s">
        <v>365</v>
      </c>
      <c r="O159" s="8" t="str">
        <f t="shared" si="5"/>
        <v/>
      </c>
      <c r="V159" s="4" t="s">
        <v>29</v>
      </c>
      <c r="W159" s="4" t="s">
        <v>953</v>
      </c>
      <c r="X159" s="4" t="s">
        <v>954</v>
      </c>
      <c r="Y159" s="4" t="str">
        <f t="shared" si="6"/>
        <v>051-200131515.3.3.10</v>
      </c>
      <c r="Z159" s="4" t="s">
        <v>872</v>
      </c>
      <c r="AA159" s="4" t="s">
        <v>1414</v>
      </c>
      <c r="AB159" s="4" t="s">
        <v>1415</v>
      </c>
    </row>
    <row r="160" spans="13:28">
      <c r="M160" s="7" t="s">
        <v>58</v>
      </c>
      <c r="N160" s="13" t="s">
        <v>366</v>
      </c>
      <c r="O160" s="8" t="str">
        <f t="shared" si="5"/>
        <v/>
      </c>
      <c r="V160" s="4" t="s">
        <v>29</v>
      </c>
      <c r="W160" s="4" t="s">
        <v>955</v>
      </c>
      <c r="X160" s="4" t="s">
        <v>956</v>
      </c>
      <c r="Y160" s="4" t="str">
        <f t="shared" si="6"/>
        <v>051-200131515.6.3.1</v>
      </c>
      <c r="Z160" s="4" t="s">
        <v>872</v>
      </c>
      <c r="AA160" s="4" t="s">
        <v>1416</v>
      </c>
      <c r="AB160" s="4" t="s">
        <v>1417</v>
      </c>
    </row>
    <row r="161" spans="13:28">
      <c r="M161" s="7" t="s">
        <v>58</v>
      </c>
      <c r="N161" s="13" t="s">
        <v>367</v>
      </c>
      <c r="O161" s="8" t="str">
        <f t="shared" si="5"/>
        <v/>
      </c>
      <c r="V161" s="4" t="s">
        <v>29</v>
      </c>
      <c r="W161" s="4" t="s">
        <v>957</v>
      </c>
      <c r="X161" s="4" t="s">
        <v>958</v>
      </c>
      <c r="Y161" s="4" t="str">
        <f t="shared" si="6"/>
        <v>051-200131515.6.3.2</v>
      </c>
      <c r="Z161" s="4" t="s">
        <v>872</v>
      </c>
      <c r="AA161" s="4" t="s">
        <v>1418</v>
      </c>
      <c r="AB161" s="4" t="s">
        <v>1419</v>
      </c>
    </row>
    <row r="162" spans="13:28">
      <c r="M162" s="7" t="s">
        <v>58</v>
      </c>
      <c r="N162" s="13" t="s">
        <v>368</v>
      </c>
      <c r="O162" s="8" t="str">
        <f t="shared" si="5"/>
        <v/>
      </c>
      <c r="V162" s="4" t="s">
        <v>29</v>
      </c>
      <c r="W162" s="4" t="s">
        <v>959</v>
      </c>
      <c r="X162" s="4" t="s">
        <v>960</v>
      </c>
      <c r="Y162" s="4" t="str">
        <f t="shared" si="6"/>
        <v>051-200131515.6.3.4</v>
      </c>
      <c r="Z162" s="4" t="s">
        <v>872</v>
      </c>
      <c r="AA162" s="4" t="s">
        <v>1420</v>
      </c>
      <c r="AB162" s="4" t="s">
        <v>1421</v>
      </c>
    </row>
    <row r="163" spans="13:28">
      <c r="M163" s="7" t="s">
        <v>58</v>
      </c>
      <c r="N163" s="13" t="s">
        <v>369</v>
      </c>
      <c r="O163" s="8" t="str">
        <f t="shared" si="5"/>
        <v/>
      </c>
      <c r="V163" s="4" t="s">
        <v>29</v>
      </c>
      <c r="W163" s="4" t="s">
        <v>961</v>
      </c>
      <c r="X163" s="4" t="s">
        <v>962</v>
      </c>
      <c r="Y163" s="4" t="str">
        <f t="shared" si="6"/>
        <v>051-200131515.6.3.5</v>
      </c>
      <c r="Z163" s="4" t="s">
        <v>872</v>
      </c>
      <c r="AA163" s="4" t="s">
        <v>1422</v>
      </c>
      <c r="AB163" s="4" t="s">
        <v>1423</v>
      </c>
    </row>
    <row r="164" spans="13:28">
      <c r="M164" s="7" t="s">
        <v>58</v>
      </c>
      <c r="N164" s="13" t="s">
        <v>370</v>
      </c>
      <c r="O164" s="8" t="str">
        <f t="shared" si="5"/>
        <v/>
      </c>
      <c r="V164" s="4" t="s">
        <v>29</v>
      </c>
      <c r="W164" s="4" t="s">
        <v>963</v>
      </c>
      <c r="X164" s="4" t="s">
        <v>964</v>
      </c>
      <c r="Y164" s="4" t="str">
        <f t="shared" si="6"/>
        <v>051-200131515.7.3.1</v>
      </c>
      <c r="Z164" s="4" t="s">
        <v>872</v>
      </c>
      <c r="AA164" s="4" t="s">
        <v>1424</v>
      </c>
      <c r="AB164" s="4" t="s">
        <v>1425</v>
      </c>
    </row>
    <row r="165" spans="13:28">
      <c r="M165" s="7" t="s">
        <v>58</v>
      </c>
      <c r="N165" s="13" t="s">
        <v>371</v>
      </c>
      <c r="O165" s="8" t="str">
        <f t="shared" si="5"/>
        <v/>
      </c>
      <c r="V165" s="4" t="s">
        <v>29</v>
      </c>
      <c r="W165" s="4" t="s">
        <v>965</v>
      </c>
      <c r="X165" s="4" t="s">
        <v>966</v>
      </c>
      <c r="Y165" s="4" t="str">
        <f t="shared" si="6"/>
        <v>051-200131515.7.3.2</v>
      </c>
      <c r="Z165" s="4" t="s">
        <v>872</v>
      </c>
      <c r="AA165" s="4" t="s">
        <v>1426</v>
      </c>
      <c r="AB165" s="4" t="s">
        <v>1427</v>
      </c>
    </row>
    <row r="166" spans="13:28">
      <c r="M166" s="7" t="s">
        <v>58</v>
      </c>
      <c r="N166" s="13" t="s">
        <v>372</v>
      </c>
      <c r="O166" s="8" t="str">
        <f t="shared" si="5"/>
        <v/>
      </c>
      <c r="V166" s="4" t="s">
        <v>29</v>
      </c>
      <c r="W166" s="4" t="s">
        <v>967</v>
      </c>
      <c r="X166" s="4" t="s">
        <v>968</v>
      </c>
      <c r="Y166" s="4" t="str">
        <f t="shared" si="6"/>
        <v>051-200131515.6.10.1.25</v>
      </c>
      <c r="Z166" s="4" t="s">
        <v>872</v>
      </c>
      <c r="AA166" s="4" t="s">
        <v>1428</v>
      </c>
      <c r="AB166" s="4" t="s">
        <v>1429</v>
      </c>
    </row>
    <row r="167" spans="13:28">
      <c r="M167" s="7" t="s">
        <v>58</v>
      </c>
      <c r="N167" s="13" t="s">
        <v>373</v>
      </c>
      <c r="O167" s="8" t="str">
        <f t="shared" si="5"/>
        <v/>
      </c>
      <c r="V167" s="4" t="s">
        <v>29</v>
      </c>
      <c r="W167" s="4" t="s">
        <v>969</v>
      </c>
      <c r="X167" s="4" t="s">
        <v>970</v>
      </c>
      <c r="Y167" s="4" t="str">
        <f t="shared" si="6"/>
        <v>051-200131515.6.8.1.25</v>
      </c>
      <c r="Z167" s="4" t="s">
        <v>872</v>
      </c>
      <c r="AA167" s="4" t="s">
        <v>1430</v>
      </c>
      <c r="AB167" s="4" t="s">
        <v>1431</v>
      </c>
    </row>
    <row r="168" spans="13:28">
      <c r="M168" s="7" t="s">
        <v>58</v>
      </c>
      <c r="N168" s="13" t="s">
        <v>374</v>
      </c>
      <c r="O168" s="8" t="str">
        <f t="shared" si="5"/>
        <v/>
      </c>
      <c r="V168" s="4" t="s">
        <v>29</v>
      </c>
      <c r="W168" s="4" t="s">
        <v>971</v>
      </c>
      <c r="X168" s="4" t="s">
        <v>972</v>
      </c>
      <c r="Y168" s="4" t="str">
        <f t="shared" si="6"/>
        <v>051-200131515.3.7.5</v>
      </c>
      <c r="Z168" s="4" t="s">
        <v>872</v>
      </c>
      <c r="AA168" s="4" t="s">
        <v>1432</v>
      </c>
      <c r="AB168" s="4" t="s">
        <v>1433</v>
      </c>
    </row>
    <row r="169" spans="13:28">
      <c r="M169" s="7" t="s">
        <v>58</v>
      </c>
      <c r="N169" s="13" t="s">
        <v>375</v>
      </c>
      <c r="O169" s="8" t="str">
        <f t="shared" si="5"/>
        <v/>
      </c>
      <c r="V169" s="4" t="s">
        <v>29</v>
      </c>
      <c r="W169" s="4" t="s">
        <v>973</v>
      </c>
      <c r="X169" s="4" t="s">
        <v>974</v>
      </c>
      <c r="Y169" s="4" t="str">
        <f t="shared" si="6"/>
        <v>051-200131515.6.6.1.26</v>
      </c>
      <c r="Z169" s="4" t="s">
        <v>872</v>
      </c>
      <c r="AA169" s="4" t="s">
        <v>1434</v>
      </c>
      <c r="AB169" s="4" t="s">
        <v>1435</v>
      </c>
    </row>
    <row r="170" spans="13:28">
      <c r="M170" s="7" t="s">
        <v>58</v>
      </c>
      <c r="N170" s="13" t="s">
        <v>376</v>
      </c>
      <c r="O170" s="8" t="str">
        <f t="shared" si="5"/>
        <v/>
      </c>
      <c r="V170" s="4" t="s">
        <v>29</v>
      </c>
      <c r="W170" s="4" t="s">
        <v>975</v>
      </c>
      <c r="X170" s="4" t="s">
        <v>976</v>
      </c>
      <c r="Y170" s="4" t="str">
        <f t="shared" si="6"/>
        <v>051-200131515.6.0.1</v>
      </c>
      <c r="Z170" s="4" t="s">
        <v>872</v>
      </c>
      <c r="AA170" s="4" t="s">
        <v>1436</v>
      </c>
      <c r="AB170" s="4" t="s">
        <v>1437</v>
      </c>
    </row>
    <row r="171" spans="13:28">
      <c r="M171" s="7" t="s">
        <v>58</v>
      </c>
      <c r="N171" s="13" t="s">
        <v>377</v>
      </c>
      <c r="O171" s="8" t="str">
        <f t="shared" si="5"/>
        <v/>
      </c>
      <c r="V171" s="4" t="s">
        <v>29</v>
      </c>
      <c r="W171" s="4" t="s">
        <v>977</v>
      </c>
      <c r="X171" s="4" t="s">
        <v>978</v>
      </c>
      <c r="Y171" s="4" t="str">
        <f t="shared" si="6"/>
        <v>051-200131515.6.0.2</v>
      </c>
      <c r="Z171" s="4" t="s">
        <v>872</v>
      </c>
      <c r="AA171" s="4" t="s">
        <v>1438</v>
      </c>
      <c r="AB171" s="4" t="s">
        <v>1439</v>
      </c>
    </row>
    <row r="172" spans="13:28">
      <c r="M172" s="7" t="s">
        <v>58</v>
      </c>
      <c r="N172" s="13" t="s">
        <v>378</v>
      </c>
      <c r="O172" s="8" t="str">
        <f t="shared" si="5"/>
        <v/>
      </c>
      <c r="V172" s="4" t="s">
        <v>29</v>
      </c>
      <c r="W172" s="4" t="s">
        <v>979</v>
      </c>
      <c r="X172" s="4" t="s">
        <v>980</v>
      </c>
      <c r="Y172" s="4" t="str">
        <f t="shared" si="6"/>
        <v>051-200131515.6.2.1.25</v>
      </c>
      <c r="Z172" s="4" t="s">
        <v>872</v>
      </c>
      <c r="AA172" s="4" t="s">
        <v>1440</v>
      </c>
      <c r="AB172" s="4" t="s">
        <v>1441</v>
      </c>
    </row>
    <row r="173" spans="13:28">
      <c r="M173" s="7" t="s">
        <v>58</v>
      </c>
      <c r="N173" s="13" t="s">
        <v>379</v>
      </c>
      <c r="O173" s="8" t="str">
        <f t="shared" si="5"/>
        <v/>
      </c>
      <c r="V173" s="4" t="s">
        <v>29</v>
      </c>
      <c r="W173" s="4" t="s">
        <v>981</v>
      </c>
      <c r="X173" s="4" t="s">
        <v>982</v>
      </c>
      <c r="Y173" s="4" t="str">
        <f t="shared" si="6"/>
        <v>051-200131515.6.15.1.25</v>
      </c>
      <c r="Z173" s="4" t="s">
        <v>872</v>
      </c>
      <c r="AA173" s="4" t="s">
        <v>1442</v>
      </c>
      <c r="AB173" s="4" t="s">
        <v>1443</v>
      </c>
    </row>
    <row r="174" spans="13:28">
      <c r="M174" s="7" t="s">
        <v>58</v>
      </c>
      <c r="N174" s="13" t="s">
        <v>380</v>
      </c>
      <c r="O174" s="8" t="str">
        <f t="shared" si="5"/>
        <v/>
      </c>
      <c r="V174" s="4" t="s">
        <v>29</v>
      </c>
      <c r="W174" s="4" t="s">
        <v>983</v>
      </c>
      <c r="X174" s="4" t="s">
        <v>984</v>
      </c>
      <c r="Y174" s="4" t="str">
        <f t="shared" si="6"/>
        <v>051-200131515.6.14.1.25</v>
      </c>
      <c r="Z174" s="4" t="s">
        <v>872</v>
      </c>
      <c r="AA174" s="4" t="s">
        <v>1444</v>
      </c>
      <c r="AB174" s="4" t="s">
        <v>1445</v>
      </c>
    </row>
    <row r="175" spans="13:28">
      <c r="M175" s="7" t="s">
        <v>58</v>
      </c>
      <c r="N175" s="13" t="s">
        <v>381</v>
      </c>
      <c r="O175" s="8" t="str">
        <f t="shared" si="5"/>
        <v/>
      </c>
      <c r="V175" s="4" t="s">
        <v>29</v>
      </c>
      <c r="W175" s="4" t="s">
        <v>985</v>
      </c>
      <c r="X175" s="4" t="s">
        <v>986</v>
      </c>
      <c r="Y175" s="4" t="str">
        <f t="shared" si="6"/>
        <v>051-200131515.6.1.1.25</v>
      </c>
      <c r="Z175" s="4" t="s">
        <v>872</v>
      </c>
      <c r="AA175" s="4" t="s">
        <v>1446</v>
      </c>
      <c r="AB175" s="4" t="s">
        <v>1447</v>
      </c>
    </row>
    <row r="176" spans="13:28">
      <c r="M176" s="7" t="s">
        <v>58</v>
      </c>
      <c r="N176" s="13" t="s">
        <v>382</v>
      </c>
      <c r="O176" s="8" t="str">
        <f t="shared" si="5"/>
        <v/>
      </c>
      <c r="V176" s="4" t="s">
        <v>29</v>
      </c>
      <c r="W176" s="4" t="s">
        <v>987</v>
      </c>
      <c r="X176" s="4" t="s">
        <v>988</v>
      </c>
      <c r="Y176" s="4" t="str">
        <f t="shared" si="6"/>
        <v>051-200131515.6.12.1.25</v>
      </c>
      <c r="Z176" s="4" t="s">
        <v>872</v>
      </c>
      <c r="AA176" s="4" t="s">
        <v>1448</v>
      </c>
      <c r="AB176" s="4" t="s">
        <v>1449</v>
      </c>
    </row>
    <row r="177" spans="13:28">
      <c r="M177" s="7" t="s">
        <v>176</v>
      </c>
      <c r="N177" s="13" t="s">
        <v>383</v>
      </c>
      <c r="O177" s="8" t="str">
        <f t="shared" si="5"/>
        <v/>
      </c>
      <c r="V177" s="4" t="s">
        <v>29</v>
      </c>
      <c r="W177" s="4" t="s">
        <v>989</v>
      </c>
      <c r="X177" s="4" t="s">
        <v>990</v>
      </c>
      <c r="Y177" s="4" t="str">
        <f t="shared" si="6"/>
        <v>051-200131716.3.1.1.25</v>
      </c>
      <c r="Z177" s="4" t="s">
        <v>649</v>
      </c>
      <c r="AA177" s="4" t="s">
        <v>632</v>
      </c>
      <c r="AB177" s="4" t="s">
        <v>1450</v>
      </c>
    </row>
    <row r="178" spans="13:28">
      <c r="M178" s="7" t="s">
        <v>176</v>
      </c>
      <c r="N178" s="13" t="s">
        <v>384</v>
      </c>
      <c r="O178" s="8" t="str">
        <f t="shared" si="5"/>
        <v/>
      </c>
      <c r="V178" s="4" t="s">
        <v>29</v>
      </c>
      <c r="W178" s="4" t="s">
        <v>991</v>
      </c>
      <c r="X178" s="4" t="s">
        <v>992</v>
      </c>
      <c r="Y178" s="4" t="str">
        <f t="shared" si="6"/>
        <v>051-200131716.1.1.5</v>
      </c>
      <c r="Z178" s="4" t="s">
        <v>649</v>
      </c>
      <c r="AA178" s="4" t="s">
        <v>601</v>
      </c>
      <c r="AB178" s="4" t="s">
        <v>1451</v>
      </c>
    </row>
    <row r="179" spans="13:28">
      <c r="M179" s="7" t="s">
        <v>176</v>
      </c>
      <c r="N179" s="13" t="s">
        <v>385</v>
      </c>
      <c r="O179" s="8" t="str">
        <f t="shared" si="5"/>
        <v/>
      </c>
      <c r="V179" s="4" t="s">
        <v>29</v>
      </c>
      <c r="W179" s="4" t="s">
        <v>993</v>
      </c>
      <c r="X179" s="4" t="s">
        <v>994</v>
      </c>
      <c r="Y179" s="4" t="str">
        <f t="shared" si="6"/>
        <v>051-200131716.1.1.7</v>
      </c>
      <c r="Z179" s="4" t="s">
        <v>649</v>
      </c>
      <c r="AA179" s="4" t="s">
        <v>602</v>
      </c>
      <c r="AB179" s="4" t="s">
        <v>1452</v>
      </c>
    </row>
    <row r="180" spans="13:28">
      <c r="M180" s="7" t="s">
        <v>176</v>
      </c>
      <c r="N180" s="13" t="s">
        <v>386</v>
      </c>
      <c r="O180" s="8" t="str">
        <f t="shared" si="5"/>
        <v/>
      </c>
      <c r="V180" s="4" t="s">
        <v>29</v>
      </c>
      <c r="W180" s="4" t="s">
        <v>995</v>
      </c>
      <c r="X180" s="4" t="s">
        <v>996</v>
      </c>
      <c r="Y180" s="4" t="str">
        <f t="shared" si="6"/>
        <v>051-200131716.1.1.8</v>
      </c>
      <c r="Z180" s="4" t="s">
        <v>649</v>
      </c>
      <c r="AA180" s="4" t="s">
        <v>603</v>
      </c>
      <c r="AB180" s="4" t="s">
        <v>1453</v>
      </c>
    </row>
    <row r="181" spans="13:28">
      <c r="M181" s="7" t="s">
        <v>177</v>
      </c>
      <c r="N181" s="13" t="s">
        <v>387</v>
      </c>
      <c r="O181" s="8" t="str">
        <f t="shared" si="5"/>
        <v/>
      </c>
      <c r="V181" s="4" t="s">
        <v>29</v>
      </c>
      <c r="W181" s="4" t="s">
        <v>997</v>
      </c>
      <c r="X181" s="4" t="s">
        <v>998</v>
      </c>
      <c r="Y181" s="4" t="str">
        <f t="shared" si="6"/>
        <v>051-200131716.1.1.20</v>
      </c>
      <c r="Z181" s="4" t="s">
        <v>649</v>
      </c>
      <c r="AA181" s="4" t="s">
        <v>604</v>
      </c>
      <c r="AB181" s="4" t="s">
        <v>1454</v>
      </c>
    </row>
    <row r="182" spans="13:28">
      <c r="M182" s="7" t="s">
        <v>177</v>
      </c>
      <c r="N182" s="13" t="s">
        <v>388</v>
      </c>
      <c r="O182" s="8" t="str">
        <f t="shared" si="5"/>
        <v/>
      </c>
      <c r="V182" s="4" t="s">
        <v>29</v>
      </c>
      <c r="W182" s="4" t="s">
        <v>999</v>
      </c>
      <c r="X182" s="4" t="s">
        <v>1000</v>
      </c>
      <c r="Y182" s="4" t="str">
        <f t="shared" si="6"/>
        <v>051-200131716.1.1.18</v>
      </c>
      <c r="Z182" s="4" t="s">
        <v>649</v>
      </c>
      <c r="AA182" s="4" t="s">
        <v>605</v>
      </c>
      <c r="AB182" s="4" t="s">
        <v>1455</v>
      </c>
    </row>
    <row r="183" spans="13:28">
      <c r="M183" s="7" t="s">
        <v>177</v>
      </c>
      <c r="N183" s="13" t="s">
        <v>389</v>
      </c>
      <c r="O183" s="8" t="str">
        <f t="shared" si="5"/>
        <v/>
      </c>
      <c r="V183" s="4" t="s">
        <v>29</v>
      </c>
      <c r="W183" s="4" t="s">
        <v>1001</v>
      </c>
      <c r="X183" s="4" t="s">
        <v>1002</v>
      </c>
      <c r="Y183" s="4" t="str">
        <f t="shared" si="6"/>
        <v>051-200131716.1.1.10</v>
      </c>
      <c r="Z183" s="4" t="s">
        <v>649</v>
      </c>
      <c r="AA183" s="4" t="s">
        <v>606</v>
      </c>
      <c r="AB183" s="4" t="s">
        <v>1456</v>
      </c>
    </row>
    <row r="184" spans="13:28">
      <c r="M184" s="7" t="s">
        <v>177</v>
      </c>
      <c r="N184" s="13" t="s">
        <v>390</v>
      </c>
      <c r="O184" s="8" t="str">
        <f t="shared" si="5"/>
        <v/>
      </c>
      <c r="V184" s="4" t="s">
        <v>29</v>
      </c>
      <c r="W184" s="4" t="s">
        <v>1003</v>
      </c>
      <c r="X184" s="4" t="s">
        <v>1004</v>
      </c>
      <c r="Y184" s="4" t="str">
        <f t="shared" si="6"/>
        <v>051-200131716.1.2.16</v>
      </c>
      <c r="Z184" s="4" t="s">
        <v>649</v>
      </c>
      <c r="AA184" s="4" t="s">
        <v>607</v>
      </c>
      <c r="AB184" s="4" t="s">
        <v>1457</v>
      </c>
    </row>
    <row r="185" spans="13:28">
      <c r="M185" s="7" t="s">
        <v>177</v>
      </c>
      <c r="N185" s="13" t="s">
        <v>391</v>
      </c>
      <c r="O185" s="8" t="str">
        <f t="shared" si="5"/>
        <v/>
      </c>
      <c r="V185" s="4" t="s">
        <v>29</v>
      </c>
      <c r="W185" s="4" t="s">
        <v>1005</v>
      </c>
      <c r="X185" s="4" t="s">
        <v>1006</v>
      </c>
      <c r="Y185" s="4" t="str">
        <f t="shared" si="6"/>
        <v>051-200131716.1.2.17</v>
      </c>
      <c r="Z185" s="4" t="s">
        <v>649</v>
      </c>
      <c r="AA185" s="4" t="s">
        <v>608</v>
      </c>
      <c r="AB185" s="4" t="s">
        <v>1458</v>
      </c>
    </row>
    <row r="186" spans="13:28">
      <c r="M186" s="7" t="s">
        <v>177</v>
      </c>
      <c r="N186" s="13" t="s">
        <v>392</v>
      </c>
      <c r="O186" s="8" t="str">
        <f t="shared" si="5"/>
        <v/>
      </c>
      <c r="V186" s="4" t="s">
        <v>140</v>
      </c>
      <c r="W186" s="4" t="s">
        <v>1007</v>
      </c>
      <c r="X186" s="4" t="s">
        <v>1008</v>
      </c>
      <c r="Y186" s="4" t="str">
        <f t="shared" si="6"/>
        <v>051-200131716.1.2.6</v>
      </c>
      <c r="Z186" s="4" t="s">
        <v>649</v>
      </c>
      <c r="AA186" s="4" t="s">
        <v>609</v>
      </c>
      <c r="AB186" s="4" t="s">
        <v>1459</v>
      </c>
    </row>
    <row r="187" spans="13:28">
      <c r="M187" s="7" t="s">
        <v>177</v>
      </c>
      <c r="N187" s="13" t="s">
        <v>393</v>
      </c>
      <c r="O187" s="8" t="str">
        <f t="shared" si="5"/>
        <v/>
      </c>
      <c r="V187" s="4" t="s">
        <v>140</v>
      </c>
      <c r="W187" s="4" t="s">
        <v>1009</v>
      </c>
      <c r="X187" s="4" t="s">
        <v>1010</v>
      </c>
      <c r="Y187" s="4" t="str">
        <f t="shared" si="6"/>
        <v>051-200131716.1.2.11</v>
      </c>
      <c r="Z187" s="4" t="s">
        <v>649</v>
      </c>
      <c r="AA187" s="4" t="s">
        <v>610</v>
      </c>
      <c r="AB187" s="4" t="s">
        <v>1460</v>
      </c>
    </row>
    <row r="188" spans="13:28">
      <c r="M188" s="7" t="s">
        <v>177</v>
      </c>
      <c r="N188" s="13" t="s">
        <v>394</v>
      </c>
      <c r="O188" s="8" t="str">
        <f t="shared" si="5"/>
        <v/>
      </c>
      <c r="V188" s="4" t="s">
        <v>140</v>
      </c>
      <c r="W188" s="4" t="s">
        <v>1011</v>
      </c>
      <c r="X188" s="4" t="s">
        <v>1012</v>
      </c>
      <c r="Y188" s="4" t="str">
        <f t="shared" si="6"/>
        <v>051-200131716.1.2.15</v>
      </c>
      <c r="Z188" s="4" t="s">
        <v>649</v>
      </c>
      <c r="AA188" s="4" t="s">
        <v>611</v>
      </c>
      <c r="AB188" s="4" t="s">
        <v>1461</v>
      </c>
    </row>
    <row r="189" spans="13:28">
      <c r="M189" s="7" t="s">
        <v>177</v>
      </c>
      <c r="N189" s="13" t="s">
        <v>395</v>
      </c>
      <c r="O189" s="8" t="str">
        <f t="shared" si="5"/>
        <v/>
      </c>
      <c r="V189" s="4" t="s">
        <v>140</v>
      </c>
      <c r="W189" s="4" t="s">
        <v>1013</v>
      </c>
      <c r="X189" s="4" t="s">
        <v>1014</v>
      </c>
      <c r="Y189" s="4" t="str">
        <f t="shared" si="6"/>
        <v>051-200131716.1.2.8</v>
      </c>
      <c r="Z189" s="4" t="s">
        <v>649</v>
      </c>
      <c r="AA189" s="4" t="s">
        <v>612</v>
      </c>
      <c r="AB189" s="4" t="s">
        <v>1462</v>
      </c>
    </row>
    <row r="190" spans="13:28">
      <c r="M190" s="7" t="s">
        <v>178</v>
      </c>
      <c r="N190" s="13" t="s">
        <v>396</v>
      </c>
      <c r="O190" s="8" t="str">
        <f t="shared" si="5"/>
        <v/>
      </c>
      <c r="V190" s="4" t="s">
        <v>141</v>
      </c>
      <c r="W190" s="4" t="s">
        <v>1015</v>
      </c>
      <c r="X190" s="4" t="s">
        <v>1016</v>
      </c>
      <c r="Y190" s="4" t="str">
        <f t="shared" si="6"/>
        <v>051-200131716.1.1.21</v>
      </c>
      <c r="Z190" s="4" t="s">
        <v>649</v>
      </c>
      <c r="AA190" s="4" t="s">
        <v>613</v>
      </c>
      <c r="AB190" s="4" t="s">
        <v>1463</v>
      </c>
    </row>
    <row r="191" spans="13:28">
      <c r="M191" s="7" t="s">
        <v>178</v>
      </c>
      <c r="N191" s="13" t="s">
        <v>397</v>
      </c>
      <c r="O191" s="8" t="str">
        <f t="shared" si="5"/>
        <v/>
      </c>
      <c r="V191" s="4" t="s">
        <v>141</v>
      </c>
      <c r="W191" s="4" t="s">
        <v>1017</v>
      </c>
      <c r="X191" s="4" t="s">
        <v>1018</v>
      </c>
      <c r="Y191" s="4" t="str">
        <f t="shared" si="6"/>
        <v>051-200131716.1.2.12</v>
      </c>
      <c r="Z191" s="4" t="s">
        <v>649</v>
      </c>
      <c r="AA191" s="4" t="s">
        <v>614</v>
      </c>
      <c r="AB191" s="4" t="s">
        <v>1464</v>
      </c>
    </row>
    <row r="192" spans="13:28">
      <c r="M192" s="7" t="s">
        <v>178</v>
      </c>
      <c r="N192" s="13" t="s">
        <v>398</v>
      </c>
      <c r="O192" s="8" t="str">
        <f t="shared" si="5"/>
        <v/>
      </c>
      <c r="V192" s="4" t="s">
        <v>141</v>
      </c>
      <c r="W192" s="4" t="s">
        <v>1019</v>
      </c>
      <c r="X192" s="4" t="s">
        <v>1020</v>
      </c>
      <c r="Y192" s="4" t="str">
        <f t="shared" si="6"/>
        <v>051-200131716.1.2.18</v>
      </c>
      <c r="Z192" s="4" t="s">
        <v>649</v>
      </c>
      <c r="AA192" s="4" t="s">
        <v>615</v>
      </c>
      <c r="AB192" s="4" t="s">
        <v>1465</v>
      </c>
    </row>
    <row r="193" spans="13:28">
      <c r="M193" s="7" t="s">
        <v>178</v>
      </c>
      <c r="N193" s="13" t="s">
        <v>399</v>
      </c>
      <c r="O193" s="8" t="str">
        <f t="shared" si="5"/>
        <v/>
      </c>
      <c r="V193" s="4" t="s">
        <v>141</v>
      </c>
      <c r="W193" s="4" t="s">
        <v>1021</v>
      </c>
      <c r="X193" s="4" t="s">
        <v>1022</v>
      </c>
      <c r="Y193" s="4" t="str">
        <f t="shared" si="6"/>
        <v>051-200131716.1.2.19</v>
      </c>
      <c r="Z193" s="4" t="s">
        <v>649</v>
      </c>
      <c r="AA193" s="4" t="s">
        <v>616</v>
      </c>
      <c r="AB193" s="4" t="s">
        <v>1466</v>
      </c>
    </row>
    <row r="194" spans="13:28">
      <c r="M194" s="7" t="s">
        <v>178</v>
      </c>
      <c r="N194" s="13" t="s">
        <v>400</v>
      </c>
      <c r="O194" s="8" t="str">
        <f t="shared" si="5"/>
        <v/>
      </c>
      <c r="V194" s="4" t="s">
        <v>141</v>
      </c>
      <c r="W194" s="4" t="s">
        <v>1023</v>
      </c>
      <c r="X194" s="4" t="s">
        <v>1024</v>
      </c>
      <c r="Y194" s="4" t="str">
        <f t="shared" si="6"/>
        <v>051-200131716.1.1.16</v>
      </c>
      <c r="Z194" s="4" t="s">
        <v>649</v>
      </c>
      <c r="AA194" s="4" t="s">
        <v>617</v>
      </c>
      <c r="AB194" s="4" t="s">
        <v>1467</v>
      </c>
    </row>
    <row r="195" spans="13:28">
      <c r="M195" s="7" t="s">
        <v>179</v>
      </c>
      <c r="N195" s="13" t="s">
        <v>401</v>
      </c>
      <c r="O195" s="8" t="str">
        <f t="shared" si="5"/>
        <v/>
      </c>
      <c r="V195" s="4" t="s">
        <v>141</v>
      </c>
      <c r="W195" s="4" t="s">
        <v>1025</v>
      </c>
      <c r="X195" s="4" t="s">
        <v>1026</v>
      </c>
      <c r="Y195" s="4" t="str">
        <f t="shared" si="6"/>
        <v>051-200131716.1.2.1.23</v>
      </c>
      <c r="Z195" s="4" t="s">
        <v>649</v>
      </c>
      <c r="AA195" s="4" t="s">
        <v>618</v>
      </c>
      <c r="AB195" s="4" t="s">
        <v>1468</v>
      </c>
    </row>
    <row r="196" spans="13:28">
      <c r="M196" s="7" t="s">
        <v>179</v>
      </c>
      <c r="N196" s="13" t="s">
        <v>402</v>
      </c>
      <c r="O196" s="8" t="str">
        <f t="shared" si="5"/>
        <v/>
      </c>
      <c r="V196" s="4" t="s">
        <v>141</v>
      </c>
      <c r="W196" s="4" t="s">
        <v>1027</v>
      </c>
      <c r="X196" s="4" t="s">
        <v>1028</v>
      </c>
      <c r="Y196" s="4" t="str">
        <f t="shared" si="6"/>
        <v>051-200131716.1.1.1.23</v>
      </c>
      <c r="Z196" s="4" t="s">
        <v>649</v>
      </c>
      <c r="AA196" s="4" t="s">
        <v>619</v>
      </c>
      <c r="AB196" s="4" t="s">
        <v>1469</v>
      </c>
    </row>
    <row r="197" spans="13:28">
      <c r="M197" s="7" t="s">
        <v>180</v>
      </c>
      <c r="N197" s="13" t="s">
        <v>403</v>
      </c>
      <c r="O197" s="8" t="str">
        <f t="shared" si="5"/>
        <v/>
      </c>
      <c r="V197" s="4" t="s">
        <v>141</v>
      </c>
      <c r="W197" s="4" t="s">
        <v>1029</v>
      </c>
      <c r="X197" s="4" t="s">
        <v>1030</v>
      </c>
      <c r="Y197" s="4" t="str">
        <f t="shared" si="6"/>
        <v>051-200131716.1.1.2.23</v>
      </c>
      <c r="Z197" s="4" t="s">
        <v>649</v>
      </c>
      <c r="AA197" s="4" t="s">
        <v>620</v>
      </c>
      <c r="AB197" s="4" t="s">
        <v>1470</v>
      </c>
    </row>
    <row r="198" spans="13:28">
      <c r="M198" s="7" t="s">
        <v>180</v>
      </c>
      <c r="N198" s="13" t="s">
        <v>404</v>
      </c>
      <c r="O198" s="8" t="str">
        <f t="shared" si="5"/>
        <v/>
      </c>
      <c r="V198" s="4" t="s">
        <v>141</v>
      </c>
      <c r="W198" s="4" t="s">
        <v>1031</v>
      </c>
      <c r="X198" s="4" t="s">
        <v>1032</v>
      </c>
      <c r="Y198" s="4" t="str">
        <f t="shared" si="6"/>
        <v>051-200131716.1.1.3.23</v>
      </c>
      <c r="Z198" s="4" t="s">
        <v>649</v>
      </c>
      <c r="AA198" s="4" t="s">
        <v>621</v>
      </c>
      <c r="AB198" s="4" t="s">
        <v>1471</v>
      </c>
    </row>
    <row r="199" spans="13:28">
      <c r="M199" s="7" t="s">
        <v>180</v>
      </c>
      <c r="N199" s="13" t="s">
        <v>405</v>
      </c>
      <c r="O199" s="8" t="str">
        <f t="shared" ref="O199:O231" si="7">CONCATENATE(P199,Q199)</f>
        <v/>
      </c>
      <c r="V199" s="4" t="s">
        <v>141</v>
      </c>
      <c r="W199" s="4" t="s">
        <v>1033</v>
      </c>
      <c r="X199" s="4" t="s">
        <v>1034</v>
      </c>
      <c r="Y199" s="4" t="str">
        <f t="shared" ref="Y199:Y262" si="8">CONCATENATE(Z199,AA199)</f>
        <v>051-200131716.1.1.1.25</v>
      </c>
      <c r="Z199" s="4" t="s">
        <v>649</v>
      </c>
      <c r="AA199" s="4" t="s">
        <v>622</v>
      </c>
      <c r="AB199" s="4" t="s">
        <v>1472</v>
      </c>
    </row>
    <row r="200" spans="13:28">
      <c r="M200" s="7" t="s">
        <v>180</v>
      </c>
      <c r="N200" s="13" t="s">
        <v>406</v>
      </c>
      <c r="O200" s="8" t="str">
        <f t="shared" si="7"/>
        <v/>
      </c>
      <c r="V200" s="4" t="s">
        <v>30</v>
      </c>
      <c r="W200" s="4" t="s">
        <v>1035</v>
      </c>
      <c r="X200" s="4" t="s">
        <v>1036</v>
      </c>
      <c r="Y200" s="4" t="str">
        <f t="shared" si="8"/>
        <v>051-200131716.1.1.2.25</v>
      </c>
      <c r="Z200" s="4" t="s">
        <v>649</v>
      </c>
      <c r="AA200" s="4" t="s">
        <v>623</v>
      </c>
      <c r="AB200" s="4" t="s">
        <v>1473</v>
      </c>
    </row>
    <row r="201" spans="13:28">
      <c r="M201" s="7" t="s">
        <v>180</v>
      </c>
      <c r="N201" s="13" t="s">
        <v>407</v>
      </c>
      <c r="O201" s="8" t="str">
        <f t="shared" si="7"/>
        <v/>
      </c>
      <c r="V201" s="4" t="s">
        <v>30</v>
      </c>
      <c r="W201" s="4" t="s">
        <v>1037</v>
      </c>
      <c r="X201" s="4" t="s">
        <v>1038</v>
      </c>
      <c r="Y201" s="4" t="str">
        <f t="shared" si="8"/>
        <v>051-200131716.1.1.3.25</v>
      </c>
      <c r="Z201" s="4" t="s">
        <v>649</v>
      </c>
      <c r="AA201" s="4" t="s">
        <v>624</v>
      </c>
      <c r="AB201" s="4" t="s">
        <v>1474</v>
      </c>
    </row>
    <row r="202" spans="13:28">
      <c r="M202" s="7" t="s">
        <v>180</v>
      </c>
      <c r="N202" s="13" t="s">
        <v>408</v>
      </c>
      <c r="O202" s="8" t="str">
        <f t="shared" si="7"/>
        <v/>
      </c>
      <c r="V202" s="4" t="s">
        <v>30</v>
      </c>
      <c r="W202" s="4" t="s">
        <v>1039</v>
      </c>
      <c r="X202" s="4" t="s">
        <v>1040</v>
      </c>
      <c r="Y202" s="4" t="str">
        <f t="shared" si="8"/>
        <v>051-200131716.2.2.1</v>
      </c>
      <c r="Z202" s="4" t="s">
        <v>649</v>
      </c>
      <c r="AA202" s="4" t="s">
        <v>625</v>
      </c>
      <c r="AB202" s="4" t="s">
        <v>1475</v>
      </c>
    </row>
    <row r="203" spans="13:28">
      <c r="M203" s="7" t="s">
        <v>180</v>
      </c>
      <c r="N203" s="13" t="s">
        <v>409</v>
      </c>
      <c r="O203" s="8" t="str">
        <f t="shared" si="7"/>
        <v/>
      </c>
      <c r="V203" s="4" t="s">
        <v>30</v>
      </c>
      <c r="W203" s="4" t="s">
        <v>1041</v>
      </c>
      <c r="X203" s="4" t="s">
        <v>1042</v>
      </c>
      <c r="Y203" s="4" t="str">
        <f t="shared" si="8"/>
        <v>051-200131716.3.1.1</v>
      </c>
      <c r="Z203" s="4" t="s">
        <v>649</v>
      </c>
      <c r="AA203" s="4" t="s">
        <v>626</v>
      </c>
      <c r="AB203" s="4" t="s">
        <v>1476</v>
      </c>
    </row>
    <row r="204" spans="13:28">
      <c r="M204" s="7" t="s">
        <v>180</v>
      </c>
      <c r="N204" s="13" t="s">
        <v>410</v>
      </c>
      <c r="O204" s="8" t="str">
        <f t="shared" si="7"/>
        <v/>
      </c>
      <c r="V204" s="4" t="s">
        <v>30</v>
      </c>
      <c r="W204" s="4" t="s">
        <v>1043</v>
      </c>
      <c r="X204" s="4" t="s">
        <v>1044</v>
      </c>
      <c r="Y204" s="4" t="str">
        <f t="shared" si="8"/>
        <v>051-200131716.3.2.1</v>
      </c>
      <c r="Z204" s="4" t="s">
        <v>649</v>
      </c>
      <c r="AA204" s="4" t="s">
        <v>627</v>
      </c>
      <c r="AB204" s="4" t="s">
        <v>1477</v>
      </c>
    </row>
    <row r="205" spans="13:28">
      <c r="M205" s="7" t="s">
        <v>180</v>
      </c>
      <c r="N205" s="13" t="s">
        <v>411</v>
      </c>
      <c r="O205" s="8" t="str">
        <f t="shared" si="7"/>
        <v/>
      </c>
      <c r="V205" s="4" t="s">
        <v>30</v>
      </c>
      <c r="W205" s="4" t="s">
        <v>1045</v>
      </c>
      <c r="X205" s="4" t="s">
        <v>1046</v>
      </c>
      <c r="Y205" s="4" t="str">
        <f t="shared" si="8"/>
        <v>051-200131716.6.1.1</v>
      </c>
      <c r="Z205" s="4" t="s">
        <v>649</v>
      </c>
      <c r="AA205" s="4" t="s">
        <v>628</v>
      </c>
      <c r="AB205" s="4" t="s">
        <v>1478</v>
      </c>
    </row>
    <row r="206" spans="13:28">
      <c r="M206" s="7" t="s">
        <v>180</v>
      </c>
      <c r="N206" s="13" t="s">
        <v>412</v>
      </c>
      <c r="O206" s="8" t="str">
        <f t="shared" si="7"/>
        <v/>
      </c>
      <c r="V206" s="4" t="s">
        <v>30</v>
      </c>
      <c r="W206" s="4" t="s">
        <v>1047</v>
      </c>
      <c r="X206" s="4" t="s">
        <v>1048</v>
      </c>
      <c r="Y206" s="4" t="str">
        <f t="shared" si="8"/>
        <v>051-200131716.6.2.1</v>
      </c>
      <c r="Z206" s="4" t="s">
        <v>649</v>
      </c>
      <c r="AA206" s="4" t="s">
        <v>629</v>
      </c>
      <c r="AB206" s="4" t="s">
        <v>1479</v>
      </c>
    </row>
    <row r="207" spans="13:28">
      <c r="M207" s="7" t="s">
        <v>180</v>
      </c>
      <c r="N207" s="13" t="s">
        <v>413</v>
      </c>
      <c r="O207" s="8" t="str">
        <f t="shared" si="7"/>
        <v/>
      </c>
      <c r="V207" s="4" t="s">
        <v>30</v>
      </c>
      <c r="W207" s="4" t="s">
        <v>1049</v>
      </c>
      <c r="X207" s="4" t="s">
        <v>1050</v>
      </c>
      <c r="Y207" s="4" t="str">
        <f t="shared" si="8"/>
        <v>051-200131716.6.1.3</v>
      </c>
      <c r="Z207" s="4" t="s">
        <v>649</v>
      </c>
      <c r="AA207" s="4" t="s">
        <v>630</v>
      </c>
      <c r="AB207" s="4" t="s">
        <v>1480</v>
      </c>
    </row>
    <row r="208" spans="13:28">
      <c r="M208" s="7" t="s">
        <v>181</v>
      </c>
      <c r="N208" s="13" t="s">
        <v>414</v>
      </c>
      <c r="O208" s="8" t="str">
        <f t="shared" si="7"/>
        <v/>
      </c>
      <c r="V208" s="4" t="s">
        <v>145</v>
      </c>
      <c r="W208" s="4" t="s">
        <v>1051</v>
      </c>
      <c r="X208" s="4" t="s">
        <v>1052</v>
      </c>
      <c r="Y208" s="4" t="str">
        <f t="shared" si="8"/>
        <v>051-200131716.6.2.2</v>
      </c>
      <c r="Z208" s="4" t="s">
        <v>649</v>
      </c>
      <c r="AA208" s="4" t="s">
        <v>631</v>
      </c>
      <c r="AB208" s="4" t="s">
        <v>1481</v>
      </c>
    </row>
    <row r="209" spans="13:28">
      <c r="M209" s="7" t="s">
        <v>181</v>
      </c>
      <c r="N209" s="13" t="s">
        <v>415</v>
      </c>
      <c r="O209" s="8" t="str">
        <f t="shared" si="7"/>
        <v/>
      </c>
      <c r="V209" s="4" t="s">
        <v>145</v>
      </c>
      <c r="W209" s="4" t="s">
        <v>1053</v>
      </c>
      <c r="X209" s="4" t="s">
        <v>1054</v>
      </c>
      <c r="Y209" s="4" t="str">
        <f t="shared" si="8"/>
        <v>051-200132015.4.Д1.2</v>
      </c>
      <c r="Z209" s="4" t="s">
        <v>876</v>
      </c>
      <c r="AA209" s="4" t="s">
        <v>1482</v>
      </c>
      <c r="AB209" s="4" t="s">
        <v>1483</v>
      </c>
    </row>
    <row r="210" spans="13:28">
      <c r="M210" s="7" t="s">
        <v>181</v>
      </c>
      <c r="N210" s="13" t="s">
        <v>416</v>
      </c>
      <c r="O210" s="8" t="str">
        <f t="shared" si="7"/>
        <v/>
      </c>
      <c r="V210" s="4" t="s">
        <v>145</v>
      </c>
      <c r="W210" s="4" t="s">
        <v>1055</v>
      </c>
      <c r="X210" s="4" t="s">
        <v>1056</v>
      </c>
      <c r="Y210" s="4" t="str">
        <f t="shared" si="8"/>
        <v>051-200132015.4.Д1.3</v>
      </c>
      <c r="Z210" s="4" t="s">
        <v>876</v>
      </c>
      <c r="AA210" s="4" t="s">
        <v>1484</v>
      </c>
      <c r="AB210" s="4" t="s">
        <v>1485</v>
      </c>
    </row>
    <row r="211" spans="13:28">
      <c r="M211" s="7" t="s">
        <v>181</v>
      </c>
      <c r="N211" s="13" t="s">
        <v>417</v>
      </c>
      <c r="O211" s="8" t="str">
        <f t="shared" si="7"/>
        <v/>
      </c>
      <c r="V211" s="4" t="s">
        <v>31</v>
      </c>
      <c r="W211" s="4" t="s">
        <v>1057</v>
      </c>
      <c r="X211" s="4" t="s">
        <v>1058</v>
      </c>
      <c r="Y211" s="4" t="str">
        <f t="shared" si="8"/>
        <v>051-200132015.4.Д1.6</v>
      </c>
      <c r="Z211" s="4" t="s">
        <v>876</v>
      </c>
      <c r="AA211" s="4" t="s">
        <v>1486</v>
      </c>
      <c r="AB211" s="4" t="s">
        <v>1487</v>
      </c>
    </row>
    <row r="212" spans="13:28">
      <c r="M212" s="7" t="s">
        <v>181</v>
      </c>
      <c r="N212" s="13" t="s">
        <v>418</v>
      </c>
      <c r="O212" s="8" t="str">
        <f t="shared" si="7"/>
        <v/>
      </c>
      <c r="V212" s="4" t="s">
        <v>31</v>
      </c>
      <c r="W212" s="4" t="s">
        <v>1059</v>
      </c>
      <c r="X212" s="4" t="s">
        <v>1060</v>
      </c>
      <c r="Y212" s="4" t="str">
        <f t="shared" si="8"/>
        <v>051-200132015.7.Д0.1</v>
      </c>
      <c r="Z212" s="4" t="s">
        <v>876</v>
      </c>
      <c r="AA212" s="4" t="s">
        <v>1488</v>
      </c>
      <c r="AB212" s="4" t="s">
        <v>1489</v>
      </c>
    </row>
    <row r="213" spans="13:28">
      <c r="M213" s="7" t="s">
        <v>181</v>
      </c>
      <c r="N213" s="13" t="s">
        <v>419</v>
      </c>
      <c r="O213" s="8" t="str">
        <f t="shared" si="7"/>
        <v/>
      </c>
      <c r="V213" s="4" t="s">
        <v>31</v>
      </c>
      <c r="W213" s="4" t="s">
        <v>1061</v>
      </c>
      <c r="X213" s="4" t="s">
        <v>1062</v>
      </c>
      <c r="Y213" s="4" t="str">
        <f t="shared" si="8"/>
        <v>051-200132015.7.Д0.2</v>
      </c>
      <c r="Z213" s="4" t="s">
        <v>876</v>
      </c>
      <c r="AA213" s="4" t="s">
        <v>1490</v>
      </c>
      <c r="AB213" s="4" t="s">
        <v>1491</v>
      </c>
    </row>
    <row r="214" spans="13:28">
      <c r="M214" s="7" t="s">
        <v>181</v>
      </c>
      <c r="N214" s="13" t="s">
        <v>420</v>
      </c>
      <c r="O214" s="8" t="str">
        <f t="shared" si="7"/>
        <v/>
      </c>
      <c r="V214" s="4" t="s">
        <v>31</v>
      </c>
      <c r="W214" s="4" t="s">
        <v>1063</v>
      </c>
      <c r="X214" s="4" t="s">
        <v>1064</v>
      </c>
      <c r="Y214" s="4" t="str">
        <f t="shared" si="8"/>
        <v>051-200132015.7.Д0.3</v>
      </c>
      <c r="Z214" s="4" t="s">
        <v>876</v>
      </c>
      <c r="AA214" s="4" t="s">
        <v>1492</v>
      </c>
      <c r="AB214" s="4" t="s">
        <v>1493</v>
      </c>
    </row>
    <row r="215" spans="13:28">
      <c r="M215" s="7" t="s">
        <v>181</v>
      </c>
      <c r="N215" s="13" t="s">
        <v>421</v>
      </c>
      <c r="O215" s="8" t="str">
        <f t="shared" si="7"/>
        <v/>
      </c>
      <c r="V215" s="4" t="s">
        <v>31</v>
      </c>
      <c r="W215" s="4" t="s">
        <v>1065</v>
      </c>
      <c r="X215" s="4" t="s">
        <v>1066</v>
      </c>
      <c r="Y215" s="4" t="str">
        <f t="shared" si="8"/>
        <v>051-200132015.7.Д0.4</v>
      </c>
      <c r="Z215" s="4" t="s">
        <v>876</v>
      </c>
      <c r="AA215" s="4" t="s">
        <v>1494</v>
      </c>
      <c r="AB215" s="4" t="s">
        <v>1495</v>
      </c>
    </row>
    <row r="216" spans="13:28">
      <c r="M216" s="7" t="s">
        <v>181</v>
      </c>
      <c r="N216" s="13" t="s">
        <v>422</v>
      </c>
      <c r="O216" s="8" t="str">
        <f t="shared" si="7"/>
        <v/>
      </c>
      <c r="V216" s="4" t="s">
        <v>31</v>
      </c>
      <c r="W216" s="4" t="s">
        <v>1067</v>
      </c>
      <c r="X216" s="4" t="s">
        <v>1068</v>
      </c>
      <c r="Y216" s="4" t="str">
        <f t="shared" si="8"/>
        <v>051-200400315.4.Д3.1.25</v>
      </c>
      <c r="Z216" s="4" t="s">
        <v>878</v>
      </c>
      <c r="AA216" s="4" t="s">
        <v>1496</v>
      </c>
      <c r="AB216" s="4" t="s">
        <v>1497</v>
      </c>
    </row>
    <row r="217" spans="13:28">
      <c r="M217" s="7" t="s">
        <v>181</v>
      </c>
      <c r="N217" s="13" t="s">
        <v>423</v>
      </c>
      <c r="O217" s="8" t="str">
        <f t="shared" si="7"/>
        <v/>
      </c>
      <c r="V217" s="4" t="s">
        <v>31</v>
      </c>
      <c r="W217" s="4" t="s">
        <v>1069</v>
      </c>
      <c r="X217" s="4" t="s">
        <v>1070</v>
      </c>
      <c r="Y217" s="4" t="str">
        <f t="shared" si="8"/>
        <v>051-200400315.4.Д3.2.25</v>
      </c>
      <c r="Z217" s="4" t="s">
        <v>878</v>
      </c>
      <c r="AA217" s="4" t="s">
        <v>1498</v>
      </c>
      <c r="AB217" s="4" t="s">
        <v>1499</v>
      </c>
    </row>
    <row r="218" spans="13:28">
      <c r="M218" s="7" t="s">
        <v>181</v>
      </c>
      <c r="N218" s="13" t="s">
        <v>424</v>
      </c>
      <c r="O218" s="8" t="str">
        <f t="shared" si="7"/>
        <v/>
      </c>
      <c r="V218" s="4" t="s">
        <v>31</v>
      </c>
      <c r="W218" s="4" t="s">
        <v>1071</v>
      </c>
      <c r="X218" s="4" t="s">
        <v>1072</v>
      </c>
      <c r="Y218" s="4" t="str">
        <f t="shared" si="8"/>
        <v>051-200400315.4.Д3.3.25</v>
      </c>
      <c r="Z218" s="4" t="s">
        <v>878</v>
      </c>
      <c r="AA218" s="4" t="s">
        <v>1500</v>
      </c>
      <c r="AB218" s="4" t="s">
        <v>1501</v>
      </c>
    </row>
    <row r="219" spans="13:28">
      <c r="M219" s="7" t="s">
        <v>181</v>
      </c>
      <c r="N219" s="13" t="s">
        <v>425</v>
      </c>
      <c r="O219" s="8" t="str">
        <f t="shared" si="7"/>
        <v/>
      </c>
      <c r="V219" s="4" t="s">
        <v>31</v>
      </c>
      <c r="W219" s="4" t="s">
        <v>1073</v>
      </c>
      <c r="X219" s="4" t="s">
        <v>1074</v>
      </c>
      <c r="Y219" s="4" t="str">
        <f t="shared" si="8"/>
        <v>051-200400315.4.Д3.4.25</v>
      </c>
      <c r="Z219" s="4" t="s">
        <v>878</v>
      </c>
      <c r="AA219" s="4" t="s">
        <v>1502</v>
      </c>
      <c r="AB219" s="4" t="s">
        <v>1503</v>
      </c>
    </row>
    <row r="220" spans="13:28">
      <c r="M220" s="7" t="s">
        <v>181</v>
      </c>
      <c r="N220" s="13" t="s">
        <v>426</v>
      </c>
      <c r="O220" s="8" t="str">
        <f t="shared" si="7"/>
        <v/>
      </c>
      <c r="V220" s="4" t="s">
        <v>31</v>
      </c>
      <c r="W220" s="4" t="s">
        <v>1075</v>
      </c>
      <c r="X220" s="4" t="s">
        <v>1076</v>
      </c>
      <c r="Y220" s="4" t="str">
        <f t="shared" si="8"/>
        <v>051-200400315.4.Д3.5.25</v>
      </c>
      <c r="Z220" s="4" t="s">
        <v>878</v>
      </c>
      <c r="AA220" s="4" t="s">
        <v>1504</v>
      </c>
      <c r="AB220" s="4" t="s">
        <v>1505</v>
      </c>
    </row>
    <row r="221" spans="13:28">
      <c r="M221" s="7" t="s">
        <v>181</v>
      </c>
      <c r="N221" s="13" t="s">
        <v>427</v>
      </c>
      <c r="O221" s="8" t="str">
        <f t="shared" si="7"/>
        <v/>
      </c>
      <c r="V221" s="4" t="s">
        <v>31</v>
      </c>
      <c r="W221" s="4" t="s">
        <v>1077</v>
      </c>
      <c r="X221" s="4" t="s">
        <v>1078</v>
      </c>
      <c r="Y221" s="4" t="str">
        <f t="shared" si="8"/>
        <v>051-200400315.4.Д3.6.25</v>
      </c>
      <c r="Z221" s="4" t="s">
        <v>878</v>
      </c>
      <c r="AA221" s="4" t="s">
        <v>1506</v>
      </c>
      <c r="AB221" s="4" t="s">
        <v>1507</v>
      </c>
    </row>
    <row r="222" spans="13:28">
      <c r="M222" s="7" t="s">
        <v>181</v>
      </c>
      <c r="N222" s="13" t="s">
        <v>428</v>
      </c>
      <c r="O222" s="8" t="str">
        <f t="shared" si="7"/>
        <v/>
      </c>
      <c r="V222" s="4" t="s">
        <v>31</v>
      </c>
      <c r="W222" s="4" t="s">
        <v>1079</v>
      </c>
      <c r="X222" s="4" t="s">
        <v>1080</v>
      </c>
      <c r="Y222" s="4" t="str">
        <f t="shared" si="8"/>
        <v>051-200400315.4.Д3.7.25</v>
      </c>
      <c r="Z222" s="4" t="s">
        <v>878</v>
      </c>
      <c r="AA222" s="4" t="s">
        <v>1508</v>
      </c>
      <c r="AB222" s="4" t="s">
        <v>1509</v>
      </c>
    </row>
    <row r="223" spans="13:28">
      <c r="M223" s="7" t="s">
        <v>181</v>
      </c>
      <c r="N223" s="13" t="s">
        <v>429</v>
      </c>
      <c r="O223" s="8" t="str">
        <f t="shared" si="7"/>
        <v/>
      </c>
      <c r="V223" s="4" t="s">
        <v>31</v>
      </c>
      <c r="W223" s="4" t="s">
        <v>1081</v>
      </c>
      <c r="X223" s="4" t="s">
        <v>1082</v>
      </c>
      <c r="Y223" s="4" t="str">
        <f t="shared" si="8"/>
        <v>051-200400315.4.Д3.8.25</v>
      </c>
      <c r="Z223" s="4" t="s">
        <v>878</v>
      </c>
      <c r="AA223" s="4" t="s">
        <v>1510</v>
      </c>
      <c r="AB223" s="4" t="s">
        <v>1511</v>
      </c>
    </row>
    <row r="224" spans="13:28">
      <c r="M224" s="7" t="s">
        <v>181</v>
      </c>
      <c r="N224" s="13" t="s">
        <v>430</v>
      </c>
      <c r="O224" s="8" t="str">
        <f t="shared" si="7"/>
        <v/>
      </c>
      <c r="V224" s="4" t="s">
        <v>31</v>
      </c>
      <c r="W224" s="4" t="s">
        <v>1083</v>
      </c>
      <c r="X224" s="4" t="s">
        <v>1084</v>
      </c>
      <c r="Y224" s="4" t="str">
        <f t="shared" si="8"/>
        <v>051-200400315.4.Д3.9.25</v>
      </c>
      <c r="Z224" s="4" t="s">
        <v>878</v>
      </c>
      <c r="AA224" s="4" t="s">
        <v>1512</v>
      </c>
      <c r="AB224" s="4" t="s">
        <v>1513</v>
      </c>
    </row>
    <row r="225" spans="13:28">
      <c r="M225" s="7" t="s">
        <v>181</v>
      </c>
      <c r="N225" s="13" t="s">
        <v>431</v>
      </c>
      <c r="O225" s="8" t="str">
        <f t="shared" si="7"/>
        <v/>
      </c>
      <c r="V225" s="4" t="s">
        <v>31</v>
      </c>
      <c r="W225" s="4" t="s">
        <v>1085</v>
      </c>
      <c r="X225" s="4" t="s">
        <v>1086</v>
      </c>
      <c r="Y225" s="4" t="str">
        <f t="shared" si="8"/>
        <v>051-200400315.4.Д3.1.26</v>
      </c>
      <c r="Z225" s="4" t="s">
        <v>878</v>
      </c>
      <c r="AA225" s="4" t="s">
        <v>1514</v>
      </c>
      <c r="AB225" s="4" t="s">
        <v>1515</v>
      </c>
    </row>
    <row r="226" spans="13:28">
      <c r="M226" s="7" t="s">
        <v>182</v>
      </c>
      <c r="N226" s="13" t="s">
        <v>432</v>
      </c>
      <c r="O226" s="8" t="str">
        <f t="shared" si="7"/>
        <v/>
      </c>
      <c r="V226" s="4" t="s">
        <v>31</v>
      </c>
      <c r="W226" s="4" t="s">
        <v>1087</v>
      </c>
      <c r="X226" s="4" t="s">
        <v>1088</v>
      </c>
      <c r="Y226" s="4" t="str">
        <f t="shared" si="8"/>
        <v>051-20040231.2.6.3.43</v>
      </c>
      <c r="Z226" s="4" t="s">
        <v>1067</v>
      </c>
      <c r="AA226" s="4" t="s">
        <v>1516</v>
      </c>
      <c r="AB226" s="4" t="s">
        <v>1517</v>
      </c>
    </row>
    <row r="227" spans="13:28">
      <c r="M227" s="7" t="s">
        <v>182</v>
      </c>
      <c r="N227" s="13" t="s">
        <v>433</v>
      </c>
      <c r="O227" s="8" t="str">
        <f t="shared" si="7"/>
        <v/>
      </c>
      <c r="V227" s="4" t="s">
        <v>31</v>
      </c>
      <c r="W227" s="4" t="s">
        <v>1089</v>
      </c>
      <c r="X227" s="4" t="s">
        <v>1090</v>
      </c>
      <c r="Y227" s="4" t="str">
        <f t="shared" si="8"/>
        <v>051-20040231.3.5.3.2.25</v>
      </c>
      <c r="Z227" s="4" t="s">
        <v>1067</v>
      </c>
      <c r="AA227" s="4" t="s">
        <v>1518</v>
      </c>
      <c r="AB227" s="4" t="s">
        <v>1519</v>
      </c>
    </row>
    <row r="228" spans="13:28">
      <c r="M228" s="7" t="s">
        <v>182</v>
      </c>
      <c r="N228" s="13" t="s">
        <v>434</v>
      </c>
      <c r="O228" s="8" t="str">
        <f t="shared" si="7"/>
        <v/>
      </c>
      <c r="V228" s="4" t="s">
        <v>31</v>
      </c>
      <c r="W228" s="4" t="s">
        <v>1091</v>
      </c>
      <c r="X228" s="4" t="s">
        <v>1092</v>
      </c>
      <c r="Y228" s="4" t="str">
        <f t="shared" si="8"/>
        <v>051-20040231.3.5.3.16</v>
      </c>
      <c r="Z228" s="4" t="s">
        <v>1067</v>
      </c>
      <c r="AA228" s="4" t="s">
        <v>1520</v>
      </c>
      <c r="AB228" s="4" t="s">
        <v>1521</v>
      </c>
    </row>
    <row r="229" spans="13:28">
      <c r="M229" s="7" t="s">
        <v>182</v>
      </c>
      <c r="N229" s="13" t="s">
        <v>435</v>
      </c>
      <c r="O229" s="8" t="str">
        <f t="shared" si="7"/>
        <v/>
      </c>
      <c r="V229" s="4" t="s">
        <v>31</v>
      </c>
      <c r="W229" s="4" t="s">
        <v>1093</v>
      </c>
      <c r="X229" s="4" t="s">
        <v>1094</v>
      </c>
      <c r="Y229" s="4" t="str">
        <f t="shared" si="8"/>
        <v>051-20040231.3.5.3.46</v>
      </c>
      <c r="Z229" s="4" t="s">
        <v>1067</v>
      </c>
      <c r="AA229" s="4" t="s">
        <v>1522</v>
      </c>
      <c r="AB229" s="4" t="s">
        <v>1523</v>
      </c>
    </row>
    <row r="230" spans="13:28">
      <c r="M230" s="7" t="s">
        <v>182</v>
      </c>
      <c r="N230" s="13" t="s">
        <v>436</v>
      </c>
      <c r="O230" s="8" t="str">
        <f t="shared" si="7"/>
        <v/>
      </c>
      <c r="V230" s="4" t="s">
        <v>31</v>
      </c>
      <c r="W230" s="4" t="s">
        <v>1095</v>
      </c>
      <c r="X230" s="4" t="s">
        <v>1096</v>
      </c>
      <c r="Y230" s="4" t="str">
        <f t="shared" si="8"/>
        <v>051-20040231.3.5.3.47</v>
      </c>
      <c r="Z230" s="4" t="s">
        <v>1067</v>
      </c>
      <c r="AA230" s="4" t="s">
        <v>1524</v>
      </c>
      <c r="AB230" s="4" t="s">
        <v>1525</v>
      </c>
    </row>
    <row r="231" spans="13:28">
      <c r="M231" s="7" t="s">
        <v>182</v>
      </c>
      <c r="N231" s="13" t="s">
        <v>437</v>
      </c>
      <c r="O231" s="8" t="str">
        <f t="shared" si="7"/>
        <v/>
      </c>
      <c r="V231" s="4" t="s">
        <v>31</v>
      </c>
      <c r="W231" s="4" t="s">
        <v>1097</v>
      </c>
      <c r="X231" s="4" t="s">
        <v>1098</v>
      </c>
      <c r="Y231" s="4" t="str">
        <f t="shared" si="8"/>
        <v>051-20040231.3.5.3.48</v>
      </c>
      <c r="Z231" s="4" t="s">
        <v>1067</v>
      </c>
      <c r="AA231" s="4" t="s">
        <v>1526</v>
      </c>
      <c r="AB231" s="4" t="s">
        <v>1527</v>
      </c>
    </row>
    <row r="232" spans="13:28">
      <c r="V232" s="4" t="s">
        <v>31</v>
      </c>
      <c r="W232" s="4" t="s">
        <v>1099</v>
      </c>
      <c r="X232" s="4" t="s">
        <v>1100</v>
      </c>
      <c r="Y232" s="4" t="str">
        <f t="shared" si="8"/>
        <v>051-20040231.3.5.3.49</v>
      </c>
      <c r="Z232" s="4" t="s">
        <v>1067</v>
      </c>
      <c r="AA232" s="4" t="s">
        <v>1528</v>
      </c>
      <c r="AB232" s="4" t="s">
        <v>1529</v>
      </c>
    </row>
    <row r="233" spans="13:28">
      <c r="V233" s="4" t="s">
        <v>31</v>
      </c>
      <c r="W233" s="4" t="s">
        <v>1101</v>
      </c>
      <c r="X233" s="4" t="s">
        <v>1102</v>
      </c>
      <c r="Y233" s="4" t="str">
        <f t="shared" si="8"/>
        <v>051-20040231.3.5.3.50</v>
      </c>
      <c r="Z233" s="4" t="s">
        <v>1067</v>
      </c>
      <c r="AA233" s="4" t="s">
        <v>1530</v>
      </c>
      <c r="AB233" s="4" t="s">
        <v>1531</v>
      </c>
    </row>
    <row r="234" spans="13:28">
      <c r="V234" s="4" t="s">
        <v>32</v>
      </c>
      <c r="W234" s="4" t="s">
        <v>1103</v>
      </c>
      <c r="X234" s="4" t="s">
        <v>1104</v>
      </c>
      <c r="Y234" s="4" t="str">
        <f t="shared" si="8"/>
        <v>051-20040231.3.5.3.51</v>
      </c>
      <c r="Z234" s="4" t="s">
        <v>1067</v>
      </c>
      <c r="AA234" s="4" t="s">
        <v>1532</v>
      </c>
      <c r="AB234" s="4" t="s">
        <v>1533</v>
      </c>
    </row>
    <row r="235" spans="13:28">
      <c r="V235" s="4" t="s">
        <v>32</v>
      </c>
      <c r="W235" s="4" t="s">
        <v>1105</v>
      </c>
      <c r="X235" s="4" t="s">
        <v>1106</v>
      </c>
      <c r="Y235" s="4" t="str">
        <f t="shared" si="8"/>
        <v>051-20040231.3.5.2.26</v>
      </c>
      <c r="Z235" s="4" t="s">
        <v>1067</v>
      </c>
      <c r="AA235" s="4" t="s">
        <v>1534</v>
      </c>
      <c r="AB235" s="4" t="s">
        <v>1535</v>
      </c>
    </row>
    <row r="236" spans="13:28">
      <c r="V236" s="4" t="s">
        <v>32</v>
      </c>
      <c r="W236" s="4" t="s">
        <v>1107</v>
      </c>
      <c r="X236" s="4" t="s">
        <v>1108</v>
      </c>
      <c r="Y236" s="4" t="str">
        <f t="shared" si="8"/>
        <v>051-20040231.3.6.3.25</v>
      </c>
      <c r="Z236" s="4" t="s">
        <v>1067</v>
      </c>
      <c r="AA236" s="4" t="s">
        <v>1536</v>
      </c>
      <c r="AB236" s="4" t="s">
        <v>1537</v>
      </c>
    </row>
    <row r="237" spans="13:28">
      <c r="V237" s="4" t="s">
        <v>32</v>
      </c>
      <c r="W237" s="4" t="s">
        <v>1109</v>
      </c>
      <c r="X237" s="4" t="s">
        <v>1110</v>
      </c>
      <c r="Y237" s="4" t="str">
        <f t="shared" si="8"/>
        <v>051-20040231.3.6.3.36</v>
      </c>
      <c r="Z237" s="4" t="s">
        <v>1067</v>
      </c>
      <c r="AA237" s="4" t="s">
        <v>1538</v>
      </c>
      <c r="AB237" s="4" t="s">
        <v>1539</v>
      </c>
    </row>
    <row r="238" spans="13:28">
      <c r="V238" s="4" t="s">
        <v>32</v>
      </c>
      <c r="W238" s="4" t="s">
        <v>1111</v>
      </c>
      <c r="X238" s="4" t="s">
        <v>1112</v>
      </c>
      <c r="Y238" s="4" t="str">
        <f t="shared" si="8"/>
        <v>051-20040231.3.6.3.53</v>
      </c>
      <c r="Z238" s="4" t="s">
        <v>1067</v>
      </c>
      <c r="AA238" s="4" t="s">
        <v>1540</v>
      </c>
      <c r="AB238" s="4" t="s">
        <v>1541</v>
      </c>
    </row>
    <row r="239" spans="13:28">
      <c r="Y239" s="4" t="str">
        <f t="shared" si="8"/>
        <v>051-20040231.3.6.3.55</v>
      </c>
      <c r="Z239" s="4" t="s">
        <v>1067</v>
      </c>
      <c r="AA239" s="4" t="s">
        <v>1542</v>
      </c>
      <c r="AB239" s="4" t="s">
        <v>1543</v>
      </c>
    </row>
    <row r="240" spans="13:28">
      <c r="Y240" s="4" t="str">
        <f t="shared" si="8"/>
        <v>051-20040231.3.6.3.56</v>
      </c>
      <c r="Z240" s="4" t="s">
        <v>1067</v>
      </c>
      <c r="AA240" s="4" t="s">
        <v>1544</v>
      </c>
      <c r="AB240" s="4" t="s">
        <v>1545</v>
      </c>
    </row>
    <row r="241" spans="25:28">
      <c r="Y241" s="4" t="str">
        <f t="shared" si="8"/>
        <v>051-20040231.3.0.3.52</v>
      </c>
      <c r="Z241" s="4" t="s">
        <v>1067</v>
      </c>
      <c r="AA241" s="4" t="s">
        <v>1546</v>
      </c>
      <c r="AB241" s="4" t="s">
        <v>1547</v>
      </c>
    </row>
    <row r="242" spans="25:28">
      <c r="Y242" s="4" t="str">
        <f t="shared" si="8"/>
        <v>051-20040231.3.6.24.26</v>
      </c>
      <c r="Z242" s="4" t="s">
        <v>1067</v>
      </c>
      <c r="AA242" s="4" t="s">
        <v>1548</v>
      </c>
      <c r="AB242" s="4" t="s">
        <v>1549</v>
      </c>
    </row>
    <row r="243" spans="25:28">
      <c r="Y243" s="4" t="str">
        <f t="shared" si="8"/>
        <v>051-20040231.2.1.1.23</v>
      </c>
      <c r="Z243" s="4" t="s">
        <v>1067</v>
      </c>
      <c r="AA243" s="4" t="s">
        <v>1550</v>
      </c>
      <c r="AB243" s="4" t="s">
        <v>1551</v>
      </c>
    </row>
    <row r="244" spans="25:28">
      <c r="Y244" s="4" t="str">
        <f t="shared" si="8"/>
        <v>051-20040231.2.1.4.23</v>
      </c>
      <c r="Z244" s="4" t="s">
        <v>1067</v>
      </c>
      <c r="AA244" s="4" t="s">
        <v>1552</v>
      </c>
      <c r="AB244" s="4" t="s">
        <v>1553</v>
      </c>
    </row>
    <row r="245" spans="25:28">
      <c r="Y245" s="4" t="str">
        <f t="shared" si="8"/>
        <v>051-20040231.2.1.2.13</v>
      </c>
      <c r="Z245" s="4" t="s">
        <v>1067</v>
      </c>
      <c r="AA245" s="4" t="s">
        <v>1554</v>
      </c>
      <c r="AB245" s="4" t="s">
        <v>1555</v>
      </c>
    </row>
    <row r="246" spans="25:28">
      <c r="Y246" s="4" t="str">
        <f t="shared" si="8"/>
        <v>051-20040231.2.1.3.23</v>
      </c>
      <c r="Z246" s="4" t="s">
        <v>1067</v>
      </c>
      <c r="AA246" s="4" t="s">
        <v>1556</v>
      </c>
      <c r="AB246" s="4" t="s">
        <v>1557</v>
      </c>
    </row>
    <row r="247" spans="25:28">
      <c r="Y247" s="4" t="str">
        <f t="shared" si="8"/>
        <v>051-20040231.2.1.1.23(2)</v>
      </c>
      <c r="Z247" s="4" t="s">
        <v>1067</v>
      </c>
      <c r="AA247" s="4" t="s">
        <v>1558</v>
      </c>
      <c r="AB247" s="4" t="s">
        <v>1559</v>
      </c>
    </row>
    <row r="248" spans="25:28">
      <c r="Y248" s="4" t="str">
        <f t="shared" si="8"/>
        <v>051-20040231.2.1.2.13(2)</v>
      </c>
      <c r="Z248" s="4" t="s">
        <v>1067</v>
      </c>
      <c r="AA248" s="4" t="s">
        <v>1560</v>
      </c>
      <c r="AB248" s="4" t="s">
        <v>1561</v>
      </c>
    </row>
    <row r="249" spans="25:28">
      <c r="Y249" s="4" t="str">
        <f t="shared" si="8"/>
        <v>051-20040231.2.1.4.23(2)</v>
      </c>
      <c r="Z249" s="4" t="s">
        <v>1067</v>
      </c>
      <c r="AA249" s="4" t="s">
        <v>1562</v>
      </c>
      <c r="AB249" s="4" t="s">
        <v>1563</v>
      </c>
    </row>
    <row r="250" spans="25:28">
      <c r="Y250" s="4" t="str">
        <f t="shared" si="8"/>
        <v>051-20040231.2.3.2.13</v>
      </c>
      <c r="Z250" s="4" t="s">
        <v>1067</v>
      </c>
      <c r="AA250" s="4" t="s">
        <v>1564</v>
      </c>
      <c r="AB250" s="4" t="s">
        <v>1565</v>
      </c>
    </row>
    <row r="251" spans="25:28">
      <c r="Y251" s="4" t="str">
        <f t="shared" si="8"/>
        <v>051-20040231.2.3.4.23</v>
      </c>
      <c r="Z251" s="4" t="s">
        <v>1067</v>
      </c>
      <c r="AA251" s="4" t="s">
        <v>1566</v>
      </c>
      <c r="AB251" s="4" t="s">
        <v>1567</v>
      </c>
    </row>
    <row r="252" spans="25:28">
      <c r="Y252" s="4" t="str">
        <f t="shared" si="8"/>
        <v>051-20040231.2.3.8.23</v>
      </c>
      <c r="Z252" s="4" t="s">
        <v>1067</v>
      </c>
      <c r="AA252" s="4" t="s">
        <v>1568</v>
      </c>
      <c r="AB252" s="4" t="s">
        <v>1569</v>
      </c>
    </row>
    <row r="253" spans="25:28">
      <c r="Y253" s="4" t="str">
        <f t="shared" si="8"/>
        <v>051-20040231.2.4.1.23</v>
      </c>
      <c r="Z253" s="4" t="s">
        <v>1067</v>
      </c>
      <c r="AA253" s="4" t="s">
        <v>1570</v>
      </c>
      <c r="AB253" s="4" t="s">
        <v>1571</v>
      </c>
    </row>
    <row r="254" spans="25:28">
      <c r="Y254" s="4" t="str">
        <f t="shared" si="8"/>
        <v>051-20040231.2.4.2.13</v>
      </c>
      <c r="Z254" s="4" t="s">
        <v>1067</v>
      </c>
      <c r="AA254" s="4" t="s">
        <v>1572</v>
      </c>
      <c r="AB254" s="4" t="s">
        <v>1573</v>
      </c>
    </row>
    <row r="255" spans="25:28">
      <c r="Y255" s="4" t="str">
        <f t="shared" si="8"/>
        <v>051-20040231.2.4.5.23</v>
      </c>
      <c r="Z255" s="4" t="s">
        <v>1067</v>
      </c>
      <c r="AA255" s="4" t="s">
        <v>1574</v>
      </c>
      <c r="AB255" s="4" t="s">
        <v>1575</v>
      </c>
    </row>
    <row r="256" spans="25:28">
      <c r="Y256" s="4" t="str">
        <f t="shared" si="8"/>
        <v>051-20040231.2.4.7.23</v>
      </c>
      <c r="Z256" s="4" t="s">
        <v>1067</v>
      </c>
      <c r="AA256" s="4" t="s">
        <v>1576</v>
      </c>
      <c r="AB256" s="4" t="s">
        <v>1577</v>
      </c>
    </row>
    <row r="257" spans="25:28">
      <c r="Y257" s="4" t="str">
        <f t="shared" si="8"/>
        <v>051-20040231.2.4.3.23</v>
      </c>
      <c r="Z257" s="4" t="s">
        <v>1067</v>
      </c>
      <c r="AA257" s="4" t="s">
        <v>1578</v>
      </c>
      <c r="AB257" s="4" t="s">
        <v>1579</v>
      </c>
    </row>
    <row r="258" spans="25:28">
      <c r="Y258" s="4" t="str">
        <f t="shared" si="8"/>
        <v>051-20040231.2.7.1.23</v>
      </c>
      <c r="Z258" s="4" t="s">
        <v>1067</v>
      </c>
      <c r="AA258" s="4" t="s">
        <v>1580</v>
      </c>
      <c r="AB258" s="4" t="s">
        <v>1581</v>
      </c>
    </row>
    <row r="259" spans="25:28">
      <c r="Y259" s="4" t="str">
        <f t="shared" si="8"/>
        <v>051-20040231.2.7.2.13</v>
      </c>
      <c r="Z259" s="4" t="s">
        <v>1067</v>
      </c>
      <c r="AA259" s="4" t="s">
        <v>1582</v>
      </c>
      <c r="AB259" s="4" t="s">
        <v>1583</v>
      </c>
    </row>
    <row r="260" spans="25:28">
      <c r="Y260" s="4" t="str">
        <f t="shared" si="8"/>
        <v>051-20040231.2.7.4.23</v>
      </c>
      <c r="Z260" s="4" t="s">
        <v>1067</v>
      </c>
      <c r="AA260" s="4" t="s">
        <v>1584</v>
      </c>
      <c r="AB260" s="4" t="s">
        <v>1585</v>
      </c>
    </row>
    <row r="261" spans="25:28">
      <c r="Y261" s="4" t="str">
        <f t="shared" si="8"/>
        <v>051-20040231.2.7.6.23</v>
      </c>
      <c r="Z261" s="4" t="s">
        <v>1067</v>
      </c>
      <c r="AA261" s="4" t="s">
        <v>1586</v>
      </c>
      <c r="AB261" s="4" t="s">
        <v>1587</v>
      </c>
    </row>
    <row r="262" spans="25:28">
      <c r="Y262" s="4" t="str">
        <f t="shared" si="8"/>
        <v>051-20040231.3.2.1.23</v>
      </c>
      <c r="Z262" s="4" t="s">
        <v>1067</v>
      </c>
      <c r="AA262" s="4" t="s">
        <v>1588</v>
      </c>
      <c r="AB262" s="4" t="s">
        <v>1589</v>
      </c>
    </row>
    <row r="263" spans="25:28">
      <c r="Y263" s="4" t="str">
        <f t="shared" ref="Y263:Y326" si="9">CONCATENATE(Z263,AA263)</f>
        <v>051-20040231.3.2.4.23</v>
      </c>
      <c r="Z263" s="4" t="s">
        <v>1067</v>
      </c>
      <c r="AA263" s="4" t="s">
        <v>1590</v>
      </c>
      <c r="AB263" s="4" t="s">
        <v>1591</v>
      </c>
    </row>
    <row r="264" spans="25:28">
      <c r="Y264" s="4" t="str">
        <f t="shared" si="9"/>
        <v>051-20040231.3.2.5.23</v>
      </c>
      <c r="Z264" s="4" t="s">
        <v>1067</v>
      </c>
      <c r="AA264" s="4" t="s">
        <v>1592</v>
      </c>
      <c r="AB264" s="4" t="s">
        <v>1593</v>
      </c>
    </row>
    <row r="265" spans="25:28">
      <c r="Y265" s="4" t="str">
        <f t="shared" si="9"/>
        <v>051-20040231.3.2.6.23</v>
      </c>
      <c r="Z265" s="4" t="s">
        <v>1067</v>
      </c>
      <c r="AA265" s="4" t="s">
        <v>1594</v>
      </c>
      <c r="AB265" s="4" t="s">
        <v>1595</v>
      </c>
    </row>
    <row r="266" spans="25:28">
      <c r="Y266" s="4" t="str">
        <f t="shared" si="9"/>
        <v>051-20040231.3.2.7.23</v>
      </c>
      <c r="Z266" s="4" t="s">
        <v>1067</v>
      </c>
      <c r="AA266" s="4" t="s">
        <v>1596</v>
      </c>
      <c r="AB266" s="4" t="s">
        <v>1597</v>
      </c>
    </row>
    <row r="267" spans="25:28">
      <c r="Y267" s="4" t="str">
        <f t="shared" si="9"/>
        <v>051-20040231.3.3.2.13</v>
      </c>
      <c r="Z267" s="4" t="s">
        <v>1067</v>
      </c>
      <c r="AA267" s="4" t="s">
        <v>1598</v>
      </c>
      <c r="AB267" s="4" t="s">
        <v>1599</v>
      </c>
    </row>
    <row r="268" spans="25:28">
      <c r="Y268" s="4" t="str">
        <f t="shared" si="9"/>
        <v>051-20040231.3.3.4.23</v>
      </c>
      <c r="Z268" s="4" t="s">
        <v>1067</v>
      </c>
      <c r="AA268" s="4" t="s">
        <v>1600</v>
      </c>
      <c r="AB268" s="4" t="s">
        <v>1601</v>
      </c>
    </row>
    <row r="269" spans="25:28">
      <c r="Y269" s="4" t="str">
        <f t="shared" si="9"/>
        <v>051-20040231.3.3.5.23</v>
      </c>
      <c r="Z269" s="4" t="s">
        <v>1067</v>
      </c>
      <c r="AA269" s="4" t="s">
        <v>1602</v>
      </c>
      <c r="AB269" s="4" t="s">
        <v>1603</v>
      </c>
    </row>
    <row r="270" spans="25:28">
      <c r="Y270" s="4" t="str">
        <f t="shared" si="9"/>
        <v>051-20040231.3.3.6.23</v>
      </c>
      <c r="Z270" s="4" t="s">
        <v>1067</v>
      </c>
      <c r="AA270" s="4" t="s">
        <v>1604</v>
      </c>
      <c r="AB270" s="4" t="s">
        <v>1605</v>
      </c>
    </row>
    <row r="271" spans="25:28">
      <c r="Y271" s="4" t="str">
        <f t="shared" si="9"/>
        <v>051-20040231.3.3.7.23</v>
      </c>
      <c r="Z271" s="4" t="s">
        <v>1067</v>
      </c>
      <c r="AA271" s="4" t="s">
        <v>1606</v>
      </c>
      <c r="AB271" s="4" t="s">
        <v>1607</v>
      </c>
    </row>
    <row r="272" spans="25:28">
      <c r="Y272" s="4" t="str">
        <f t="shared" si="9"/>
        <v>051-20040231.2.3.9.23</v>
      </c>
      <c r="Z272" s="4" t="s">
        <v>1067</v>
      </c>
      <c r="AA272" s="4" t="s">
        <v>1608</v>
      </c>
      <c r="AB272" s="4" t="s">
        <v>1609</v>
      </c>
    </row>
    <row r="273" spans="25:28">
      <c r="Y273" s="4" t="str">
        <f t="shared" si="9"/>
        <v>051-20040231.4.2.1.23</v>
      </c>
      <c r="Z273" s="4" t="s">
        <v>1067</v>
      </c>
      <c r="AA273" s="4" t="s">
        <v>1610</v>
      </c>
      <c r="AB273" s="4" t="s">
        <v>1611</v>
      </c>
    </row>
    <row r="274" spans="25:28">
      <c r="Y274" s="4" t="str">
        <f t="shared" si="9"/>
        <v>051-20040231.4.2.2.23</v>
      </c>
      <c r="Z274" s="4" t="s">
        <v>1067</v>
      </c>
      <c r="AA274" s="4" t="s">
        <v>1612</v>
      </c>
      <c r="AB274" s="4" t="s">
        <v>1613</v>
      </c>
    </row>
    <row r="275" spans="25:28">
      <c r="Y275" s="4" t="str">
        <f t="shared" si="9"/>
        <v>051-20040231.4.2.3.23</v>
      </c>
      <c r="Z275" s="4" t="s">
        <v>1067</v>
      </c>
      <c r="AA275" s="4" t="s">
        <v>1614</v>
      </c>
      <c r="AB275" s="4" t="s">
        <v>1615</v>
      </c>
    </row>
    <row r="276" spans="25:28">
      <c r="Y276" s="4" t="str">
        <f t="shared" si="9"/>
        <v>051-20040231.4.2.4.23</v>
      </c>
      <c r="Z276" s="4" t="s">
        <v>1067</v>
      </c>
      <c r="AA276" s="4" t="s">
        <v>1616</v>
      </c>
      <c r="AB276" s="4" t="s">
        <v>1617</v>
      </c>
    </row>
    <row r="277" spans="25:28">
      <c r="Y277" s="4" t="str">
        <f t="shared" si="9"/>
        <v>051-20040231.4.2.5.23</v>
      </c>
      <c r="Z277" s="4" t="s">
        <v>1067</v>
      </c>
      <c r="AA277" s="4" t="s">
        <v>1618</v>
      </c>
      <c r="AB277" s="4" t="s">
        <v>1619</v>
      </c>
    </row>
    <row r="278" spans="25:28">
      <c r="Y278" s="4" t="str">
        <f t="shared" si="9"/>
        <v>051-20040231.4.2.6.23</v>
      </c>
      <c r="Z278" s="4" t="s">
        <v>1067</v>
      </c>
      <c r="AA278" s="4" t="s">
        <v>1620</v>
      </c>
      <c r="AB278" s="4" t="s">
        <v>1621</v>
      </c>
    </row>
    <row r="279" spans="25:28">
      <c r="Y279" s="4" t="str">
        <f t="shared" si="9"/>
        <v>051-20040231.4.2.7.23</v>
      </c>
      <c r="Z279" s="4" t="s">
        <v>1067</v>
      </c>
      <c r="AA279" s="4" t="s">
        <v>1622</v>
      </c>
      <c r="AB279" s="4" t="s">
        <v>1623</v>
      </c>
    </row>
    <row r="280" spans="25:28">
      <c r="Y280" s="4" t="str">
        <f t="shared" si="9"/>
        <v>051-20040231.4.2.8.23</v>
      </c>
      <c r="Z280" s="4" t="s">
        <v>1067</v>
      </c>
      <c r="AA280" s="4" t="s">
        <v>1624</v>
      </c>
      <c r="AB280" s="4" t="s">
        <v>1625</v>
      </c>
    </row>
    <row r="281" spans="25:28">
      <c r="Y281" s="4" t="str">
        <f t="shared" si="9"/>
        <v>051-20040231.4.2.9.23</v>
      </c>
      <c r="Z281" s="4" t="s">
        <v>1067</v>
      </c>
      <c r="AA281" s="4" t="s">
        <v>1626</v>
      </c>
      <c r="AB281" s="4" t="s">
        <v>1627</v>
      </c>
    </row>
    <row r="282" spans="25:28">
      <c r="Y282" s="4" t="str">
        <f t="shared" si="9"/>
        <v>051-20040231.4.2.10.23</v>
      </c>
      <c r="Z282" s="4" t="s">
        <v>1067</v>
      </c>
      <c r="AA282" s="4" t="s">
        <v>1628</v>
      </c>
      <c r="AB282" s="4" t="s">
        <v>1629</v>
      </c>
    </row>
    <row r="283" spans="25:28">
      <c r="Y283" s="4" t="str">
        <f t="shared" si="9"/>
        <v>051-20040231.4.3.1.23</v>
      </c>
      <c r="Z283" s="4" t="s">
        <v>1067</v>
      </c>
      <c r="AA283" s="4" t="s">
        <v>1630</v>
      </c>
      <c r="AB283" s="4" t="s">
        <v>1631</v>
      </c>
    </row>
    <row r="284" spans="25:28">
      <c r="Y284" s="4" t="str">
        <f t="shared" si="9"/>
        <v>051-20040231.4.3.2.23</v>
      </c>
      <c r="Z284" s="4" t="s">
        <v>1067</v>
      </c>
      <c r="AA284" s="4" t="s">
        <v>1632</v>
      </c>
      <c r="AB284" s="4" t="s">
        <v>1633</v>
      </c>
    </row>
    <row r="285" spans="25:28">
      <c r="Y285" s="4" t="str">
        <f t="shared" si="9"/>
        <v>051-20040231.4.3.3.23</v>
      </c>
      <c r="Z285" s="4" t="s">
        <v>1067</v>
      </c>
      <c r="AA285" s="4" t="s">
        <v>1634</v>
      </c>
      <c r="AB285" s="4" t="s">
        <v>1635</v>
      </c>
    </row>
    <row r="286" spans="25:28">
      <c r="Y286" s="4" t="str">
        <f t="shared" si="9"/>
        <v>051-20040231.4.3.4.23</v>
      </c>
      <c r="Z286" s="4" t="s">
        <v>1067</v>
      </c>
      <c r="AA286" s="4" t="s">
        <v>1636</v>
      </c>
      <c r="AB286" s="4" t="s">
        <v>1637</v>
      </c>
    </row>
    <row r="287" spans="25:28">
      <c r="Y287" s="4" t="str">
        <f t="shared" si="9"/>
        <v>051-20040231.4.3.5.23</v>
      </c>
      <c r="Z287" s="4" t="s">
        <v>1067</v>
      </c>
      <c r="AA287" s="4" t="s">
        <v>1638</v>
      </c>
      <c r="AB287" s="4" t="s">
        <v>1639</v>
      </c>
    </row>
    <row r="288" spans="25:28">
      <c r="Y288" s="4" t="str">
        <f t="shared" si="9"/>
        <v>051-20040231.4.3.6.23</v>
      </c>
      <c r="Z288" s="4" t="s">
        <v>1067</v>
      </c>
      <c r="AA288" s="4" t="s">
        <v>1640</v>
      </c>
      <c r="AB288" s="4" t="s">
        <v>1641</v>
      </c>
    </row>
    <row r="289" spans="25:28">
      <c r="Y289" s="4" t="str">
        <f t="shared" si="9"/>
        <v>051-20040231.4.3.8.23</v>
      </c>
      <c r="Z289" s="4" t="s">
        <v>1067</v>
      </c>
      <c r="AA289" s="4" t="s">
        <v>1642</v>
      </c>
      <c r="AB289" s="4" t="s">
        <v>1643</v>
      </c>
    </row>
    <row r="290" spans="25:28">
      <c r="Y290" s="4" t="str">
        <f t="shared" si="9"/>
        <v>051-20040231.4.3.9.23</v>
      </c>
      <c r="Z290" s="4" t="s">
        <v>1067</v>
      </c>
      <c r="AA290" s="4" t="s">
        <v>1644</v>
      </c>
      <c r="AB290" s="4" t="s">
        <v>1645</v>
      </c>
    </row>
    <row r="291" spans="25:28">
      <c r="Y291" s="4" t="str">
        <f t="shared" si="9"/>
        <v>051-20040231.4.3.10.23</v>
      </c>
      <c r="Z291" s="4" t="s">
        <v>1067</v>
      </c>
      <c r="AA291" s="4" t="s">
        <v>1646</v>
      </c>
      <c r="AB291" s="4" t="s">
        <v>1647</v>
      </c>
    </row>
    <row r="292" spans="25:28">
      <c r="Y292" s="4" t="str">
        <f t="shared" si="9"/>
        <v>051-20040231.4.3.11.23</v>
      </c>
      <c r="Z292" s="4" t="s">
        <v>1067</v>
      </c>
      <c r="AA292" s="4" t="s">
        <v>1648</v>
      </c>
      <c r="AB292" s="4" t="s">
        <v>1649</v>
      </c>
    </row>
    <row r="293" spans="25:28">
      <c r="Y293" s="4" t="str">
        <f t="shared" si="9"/>
        <v>051-20040231.6.1.1.23</v>
      </c>
      <c r="Z293" s="4" t="s">
        <v>1067</v>
      </c>
      <c r="AA293" s="4" t="s">
        <v>1650</v>
      </c>
      <c r="AB293" s="4" t="s">
        <v>1651</v>
      </c>
    </row>
    <row r="294" spans="25:28">
      <c r="Y294" s="4" t="str">
        <f t="shared" si="9"/>
        <v>051-20040231.6.2.1.23</v>
      </c>
      <c r="Z294" s="4" t="s">
        <v>1067</v>
      </c>
      <c r="AA294" s="4" t="s">
        <v>1652</v>
      </c>
      <c r="AB294" s="4" t="s">
        <v>1653</v>
      </c>
    </row>
    <row r="295" spans="25:28">
      <c r="Y295" s="4" t="str">
        <f t="shared" si="9"/>
        <v>051-20040231.6.2.1.23(2)</v>
      </c>
      <c r="Z295" s="4" t="s">
        <v>1067</v>
      </c>
      <c r="AA295" s="4" t="s">
        <v>1654</v>
      </c>
      <c r="AB295" s="4" t="s">
        <v>1655</v>
      </c>
    </row>
    <row r="296" spans="25:28">
      <c r="Y296" s="4" t="str">
        <f t="shared" si="9"/>
        <v>051-20040231.6.3.1.23</v>
      </c>
      <c r="Z296" s="4" t="s">
        <v>1067</v>
      </c>
      <c r="AA296" s="4" t="s">
        <v>1656</v>
      </c>
      <c r="AB296" s="4" t="s">
        <v>1657</v>
      </c>
    </row>
    <row r="297" spans="25:28">
      <c r="Y297" s="4" t="str">
        <f t="shared" si="9"/>
        <v>051-20040231.6.3.2.13</v>
      </c>
      <c r="Z297" s="4" t="s">
        <v>1067</v>
      </c>
      <c r="AA297" s="4" t="s">
        <v>1658</v>
      </c>
      <c r="AB297" s="4" t="s">
        <v>1659</v>
      </c>
    </row>
    <row r="298" spans="25:28">
      <c r="Y298" s="4" t="str">
        <f t="shared" si="9"/>
        <v>051-20040231.6.0.1.23</v>
      </c>
      <c r="Z298" s="4" t="s">
        <v>1067</v>
      </c>
      <c r="AA298" s="4" t="s">
        <v>1660</v>
      </c>
      <c r="AB298" s="4" t="s">
        <v>1661</v>
      </c>
    </row>
    <row r="299" spans="25:28">
      <c r="Y299" s="4" t="str">
        <f t="shared" si="9"/>
        <v>051-200439516.1.2.21</v>
      </c>
      <c r="Z299" s="4" t="s">
        <v>597</v>
      </c>
      <c r="AA299" s="4" t="s">
        <v>637</v>
      </c>
      <c r="AB299" s="4" t="s">
        <v>1662</v>
      </c>
    </row>
    <row r="300" spans="25:28">
      <c r="Y300" s="4" t="str">
        <f t="shared" si="9"/>
        <v>051-200439516.1.6.2</v>
      </c>
      <c r="Z300" s="4" t="s">
        <v>597</v>
      </c>
      <c r="AA300" s="4" t="s">
        <v>1663</v>
      </c>
      <c r="AB300" s="4" t="s">
        <v>1664</v>
      </c>
    </row>
    <row r="301" spans="25:28">
      <c r="Y301" s="4" t="str">
        <f t="shared" si="9"/>
        <v>051-20044321.1.1.1</v>
      </c>
      <c r="Z301" s="4" t="s">
        <v>1063</v>
      </c>
      <c r="AA301" s="4" t="s">
        <v>1665</v>
      </c>
      <c r="AB301" s="4" t="s">
        <v>1666</v>
      </c>
    </row>
    <row r="302" spans="25:28">
      <c r="Y302" s="4" t="str">
        <f t="shared" si="9"/>
        <v>051-20044321.1.1.2</v>
      </c>
      <c r="Z302" s="4" t="s">
        <v>1063</v>
      </c>
      <c r="AA302" s="4" t="s">
        <v>1667</v>
      </c>
      <c r="AB302" s="4" t="s">
        <v>1668</v>
      </c>
    </row>
    <row r="303" spans="25:28">
      <c r="Y303" s="4" t="str">
        <f t="shared" si="9"/>
        <v>051-20044321.1.2.1</v>
      </c>
      <c r="Z303" s="4" t="s">
        <v>1063</v>
      </c>
      <c r="AA303" s="4" t="s">
        <v>1669</v>
      </c>
      <c r="AB303" s="4" t="s">
        <v>1670</v>
      </c>
    </row>
    <row r="304" spans="25:28">
      <c r="Y304" s="4" t="str">
        <f t="shared" si="9"/>
        <v>051-20044321.1.2.3.25</v>
      </c>
      <c r="Z304" s="4" t="s">
        <v>1063</v>
      </c>
      <c r="AA304" s="4" t="s">
        <v>1671</v>
      </c>
      <c r="AB304" s="4" t="s">
        <v>1672</v>
      </c>
    </row>
    <row r="305" spans="25:28">
      <c r="Y305" s="4" t="str">
        <f t="shared" si="9"/>
        <v>051-20044321.1.3.1</v>
      </c>
      <c r="Z305" s="4" t="s">
        <v>1063</v>
      </c>
      <c r="AA305" s="4" t="s">
        <v>1673</v>
      </c>
      <c r="AB305" s="4" t="s">
        <v>1674</v>
      </c>
    </row>
    <row r="306" spans="25:28">
      <c r="Y306" s="4" t="str">
        <f t="shared" si="9"/>
        <v>051-20044321.1.3.4.25</v>
      </c>
      <c r="Z306" s="4" t="s">
        <v>1063</v>
      </c>
      <c r="AA306" s="4" t="s">
        <v>1675</v>
      </c>
      <c r="AB306" s="4" t="s">
        <v>1676</v>
      </c>
    </row>
    <row r="307" spans="25:28">
      <c r="Y307" s="4" t="str">
        <f t="shared" si="9"/>
        <v>051-20044321.1.5.1</v>
      </c>
      <c r="Z307" s="4" t="s">
        <v>1063</v>
      </c>
      <c r="AA307" s="4" t="s">
        <v>1677</v>
      </c>
      <c r="AB307" s="4" t="s">
        <v>1678</v>
      </c>
    </row>
    <row r="308" spans="25:28">
      <c r="Y308" s="4" t="str">
        <f t="shared" si="9"/>
        <v>051-20044321.1.5.3.25</v>
      </c>
      <c r="Z308" s="4" t="s">
        <v>1063</v>
      </c>
      <c r="AA308" s="4" t="s">
        <v>1679</v>
      </c>
      <c r="AB308" s="4" t="s">
        <v>1680</v>
      </c>
    </row>
    <row r="309" spans="25:28">
      <c r="Y309" s="4" t="str">
        <f t="shared" si="9"/>
        <v>051-20044321.1.6.1</v>
      </c>
      <c r="Z309" s="4" t="s">
        <v>1063</v>
      </c>
      <c r="AA309" s="4" t="s">
        <v>1681</v>
      </c>
      <c r="AB309" s="4" t="s">
        <v>1682</v>
      </c>
    </row>
    <row r="310" spans="25:28">
      <c r="Y310" s="4" t="str">
        <f t="shared" si="9"/>
        <v>051-20044321.1.7.3.25(2)</v>
      </c>
      <c r="Z310" s="4" t="s">
        <v>1063</v>
      </c>
      <c r="AA310" s="4" t="s">
        <v>1683</v>
      </c>
      <c r="AB310" s="4" t="s">
        <v>1684</v>
      </c>
    </row>
    <row r="311" spans="25:28">
      <c r="Y311" s="4" t="str">
        <f t="shared" si="9"/>
        <v>051-20044321.1.8.1.25</v>
      </c>
      <c r="Z311" s="4" t="s">
        <v>1063</v>
      </c>
      <c r="AA311" s="4" t="s">
        <v>1685</v>
      </c>
      <c r="AB311" s="4" t="s">
        <v>1686</v>
      </c>
    </row>
    <row r="312" spans="25:28">
      <c r="Y312" s="4" t="str">
        <f t="shared" si="9"/>
        <v>051-20044321.1.0.1</v>
      </c>
      <c r="Z312" s="4" t="s">
        <v>1063</v>
      </c>
      <c r="AA312" s="4" t="s">
        <v>585</v>
      </c>
      <c r="AB312" s="4" t="s">
        <v>1687</v>
      </c>
    </row>
    <row r="313" spans="25:28">
      <c r="Y313" s="4" t="str">
        <f t="shared" si="9"/>
        <v>051-20044334.1.0.5.2</v>
      </c>
      <c r="Z313" s="4" t="s">
        <v>957</v>
      </c>
      <c r="AA313" s="4" t="s">
        <v>1688</v>
      </c>
      <c r="AB313" s="4" t="s">
        <v>1689</v>
      </c>
    </row>
    <row r="314" spans="25:28">
      <c r="Y314" s="4" t="str">
        <f t="shared" si="9"/>
        <v>051-20044334.1.0.5.3</v>
      </c>
      <c r="Z314" s="4" t="s">
        <v>957</v>
      </c>
      <c r="AA314" s="4" t="s">
        <v>1690</v>
      </c>
      <c r="AB314" s="4" t="s">
        <v>1689</v>
      </c>
    </row>
    <row r="315" spans="25:28">
      <c r="Y315" s="4" t="str">
        <f t="shared" si="9"/>
        <v>051-20044334.1.0.5.4</v>
      </c>
      <c r="Z315" s="4" t="s">
        <v>957</v>
      </c>
      <c r="AA315" s="4" t="s">
        <v>1691</v>
      </c>
      <c r="AB315" s="4" t="s">
        <v>1689</v>
      </c>
    </row>
    <row r="316" spans="25:28">
      <c r="Y316" s="4" t="str">
        <f t="shared" si="9"/>
        <v>051-20044334.1.0.5.5</v>
      </c>
      <c r="Z316" s="4" t="s">
        <v>957</v>
      </c>
      <c r="AA316" s="4" t="s">
        <v>1692</v>
      </c>
      <c r="AB316" s="4" t="s">
        <v>1689</v>
      </c>
    </row>
    <row r="317" spans="25:28">
      <c r="Y317" s="4" t="str">
        <f t="shared" si="9"/>
        <v>051-20044334.1.0.5.6</v>
      </c>
      <c r="Z317" s="4" t="s">
        <v>957</v>
      </c>
      <c r="AA317" s="4" t="s">
        <v>1693</v>
      </c>
      <c r="AB317" s="4" t="s">
        <v>1689</v>
      </c>
    </row>
    <row r="318" spans="25:28">
      <c r="Y318" s="4" t="str">
        <f t="shared" si="9"/>
        <v>051-20044334.1.0.5.7</v>
      </c>
      <c r="Z318" s="4" t="s">
        <v>957</v>
      </c>
      <c r="AA318" s="4" t="s">
        <v>1694</v>
      </c>
      <c r="AB318" s="4" t="s">
        <v>1695</v>
      </c>
    </row>
    <row r="319" spans="25:28">
      <c r="Y319" s="4" t="str">
        <f t="shared" si="9"/>
        <v>051-20044334.1.0.5.8</v>
      </c>
      <c r="Z319" s="4" t="s">
        <v>957</v>
      </c>
      <c r="AA319" s="4" t="s">
        <v>1696</v>
      </c>
      <c r="AB319" s="4" t="s">
        <v>1695</v>
      </c>
    </row>
    <row r="320" spans="25:28">
      <c r="Y320" s="4" t="str">
        <f t="shared" si="9"/>
        <v>051-20044334.1.0.5.9</v>
      </c>
      <c r="Z320" s="4" t="s">
        <v>957</v>
      </c>
      <c r="AA320" s="4" t="s">
        <v>1697</v>
      </c>
      <c r="AB320" s="4" t="s">
        <v>1695</v>
      </c>
    </row>
    <row r="321" spans="25:28">
      <c r="Y321" s="4" t="str">
        <f t="shared" si="9"/>
        <v>051-20044334.1.0.5.10</v>
      </c>
      <c r="Z321" s="4" t="s">
        <v>957</v>
      </c>
      <c r="AA321" s="4" t="s">
        <v>1698</v>
      </c>
      <c r="AB321" s="4" t="s">
        <v>1699</v>
      </c>
    </row>
    <row r="322" spans="25:28">
      <c r="Y322" s="4" t="str">
        <f t="shared" si="9"/>
        <v>051-20044334.1.0.5.11</v>
      </c>
      <c r="Z322" s="4" t="s">
        <v>957</v>
      </c>
      <c r="AA322" s="4" t="s">
        <v>1700</v>
      </c>
      <c r="AB322" s="4" t="s">
        <v>1699</v>
      </c>
    </row>
    <row r="323" spans="25:28">
      <c r="Y323" s="4" t="str">
        <f t="shared" si="9"/>
        <v>051-20044334.1.0.5.12</v>
      </c>
      <c r="Z323" s="4" t="s">
        <v>957</v>
      </c>
      <c r="AA323" s="4" t="s">
        <v>1701</v>
      </c>
      <c r="AB323" s="4" t="s">
        <v>1699</v>
      </c>
    </row>
    <row r="324" spans="25:28">
      <c r="Y324" s="4" t="str">
        <f t="shared" si="9"/>
        <v>051-20044334.1.0.5.14</v>
      </c>
      <c r="Z324" s="4" t="s">
        <v>957</v>
      </c>
      <c r="AA324" s="4" t="s">
        <v>1702</v>
      </c>
      <c r="AB324" s="4" t="s">
        <v>1699</v>
      </c>
    </row>
    <row r="325" spans="25:28">
      <c r="Y325" s="4" t="str">
        <f t="shared" si="9"/>
        <v>051-20044334.1.0.5.15</v>
      </c>
      <c r="Z325" s="4" t="s">
        <v>957</v>
      </c>
      <c r="AA325" s="4" t="s">
        <v>1703</v>
      </c>
      <c r="AB325" s="4" t="s">
        <v>1699</v>
      </c>
    </row>
    <row r="326" spans="25:28">
      <c r="Y326" s="4" t="str">
        <f t="shared" si="9"/>
        <v>051-20044334.1.0.5.16</v>
      </c>
      <c r="Z326" s="4" t="s">
        <v>957</v>
      </c>
      <c r="AA326" s="4" t="s">
        <v>1704</v>
      </c>
      <c r="AB326" s="4" t="s">
        <v>1699</v>
      </c>
    </row>
    <row r="327" spans="25:28">
      <c r="Y327" s="4" t="str">
        <f t="shared" ref="Y327:Y390" si="10">CONCATENATE(Z327,AA327)</f>
        <v>051-20044334.1.0.5.18</v>
      </c>
      <c r="Z327" s="4" t="s">
        <v>957</v>
      </c>
      <c r="AA327" s="4" t="s">
        <v>1705</v>
      </c>
      <c r="AB327" s="4" t="s">
        <v>1706</v>
      </c>
    </row>
    <row r="328" spans="25:28">
      <c r="Y328" s="4" t="str">
        <f t="shared" si="10"/>
        <v>051-20044334.1.0.5.19</v>
      </c>
      <c r="Z328" s="4" t="s">
        <v>957</v>
      </c>
      <c r="AA328" s="4" t="s">
        <v>1707</v>
      </c>
      <c r="AB328" s="4" t="s">
        <v>1706</v>
      </c>
    </row>
    <row r="329" spans="25:28">
      <c r="Y329" s="4" t="str">
        <f t="shared" si="10"/>
        <v>051-20044334.1.0.5.20</v>
      </c>
      <c r="Z329" s="4" t="s">
        <v>957</v>
      </c>
      <c r="AA329" s="4" t="s">
        <v>1708</v>
      </c>
      <c r="AB329" s="4" t="s">
        <v>1706</v>
      </c>
    </row>
    <row r="330" spans="25:28">
      <c r="Y330" s="4" t="str">
        <f t="shared" si="10"/>
        <v>051-20044334.1.0.5.21</v>
      </c>
      <c r="Z330" s="4" t="s">
        <v>957</v>
      </c>
      <c r="AA330" s="4" t="s">
        <v>1709</v>
      </c>
      <c r="AB330" s="4" t="s">
        <v>1706</v>
      </c>
    </row>
    <row r="331" spans="25:28">
      <c r="Y331" s="4" t="str">
        <f t="shared" si="10"/>
        <v>051-20044334.1.0.5.22</v>
      </c>
      <c r="Z331" s="4" t="s">
        <v>957</v>
      </c>
      <c r="AA331" s="4" t="s">
        <v>1710</v>
      </c>
      <c r="AB331" s="4" t="s">
        <v>1706</v>
      </c>
    </row>
    <row r="332" spans="25:28">
      <c r="Y332" s="4" t="str">
        <f t="shared" si="10"/>
        <v>051-20044334.1.0.5.24</v>
      </c>
      <c r="Z332" s="4" t="s">
        <v>957</v>
      </c>
      <c r="AA332" s="4" t="s">
        <v>1711</v>
      </c>
      <c r="AB332" s="4" t="s">
        <v>1712</v>
      </c>
    </row>
    <row r="333" spans="25:28">
      <c r="Y333" s="4" t="str">
        <f t="shared" si="10"/>
        <v>051-20044334.1.0.5.25</v>
      </c>
      <c r="Z333" s="4" t="s">
        <v>957</v>
      </c>
      <c r="AA333" s="4" t="s">
        <v>1713</v>
      </c>
      <c r="AB333" s="4" t="s">
        <v>1712</v>
      </c>
    </row>
    <row r="334" spans="25:28">
      <c r="Y334" s="4" t="str">
        <f t="shared" si="10"/>
        <v>051-20044334.1.0.5.26</v>
      </c>
      <c r="Z334" s="4" t="s">
        <v>957</v>
      </c>
      <c r="AA334" s="4" t="s">
        <v>1714</v>
      </c>
      <c r="AB334" s="4" t="s">
        <v>1712</v>
      </c>
    </row>
    <row r="335" spans="25:28">
      <c r="Y335" s="4" t="str">
        <f t="shared" si="10"/>
        <v>051-20044334.1.0.5.27</v>
      </c>
      <c r="Z335" s="4" t="s">
        <v>957</v>
      </c>
      <c r="AA335" s="4" t="s">
        <v>1715</v>
      </c>
      <c r="AB335" s="4" t="s">
        <v>1712</v>
      </c>
    </row>
    <row r="336" spans="25:28">
      <c r="Y336" s="4" t="str">
        <f t="shared" si="10"/>
        <v>051-20044334.1.0.5.28</v>
      </c>
      <c r="Z336" s="4" t="s">
        <v>957</v>
      </c>
      <c r="AA336" s="4" t="s">
        <v>1716</v>
      </c>
      <c r="AB336" s="4" t="s">
        <v>1712</v>
      </c>
    </row>
    <row r="337" spans="25:28">
      <c r="Y337" s="4" t="str">
        <f t="shared" si="10"/>
        <v>051-200461615.2.0.15</v>
      </c>
      <c r="Z337" s="4" t="s">
        <v>904</v>
      </c>
      <c r="AA337" s="4" t="s">
        <v>1717</v>
      </c>
      <c r="AB337" s="4" t="s">
        <v>1718</v>
      </c>
    </row>
    <row r="338" spans="25:28">
      <c r="Y338" s="4" t="str">
        <f t="shared" si="10"/>
        <v>051-200461615.2.0.35.24</v>
      </c>
      <c r="Z338" s="4" t="s">
        <v>904</v>
      </c>
      <c r="AA338" s="4" t="s">
        <v>1719</v>
      </c>
      <c r="AB338" s="4" t="s">
        <v>1720</v>
      </c>
    </row>
    <row r="339" spans="25:28">
      <c r="Y339" s="4" t="str">
        <f t="shared" si="10"/>
        <v>051-200461615.2.0.36.24</v>
      </c>
      <c r="Z339" s="4" t="s">
        <v>904</v>
      </c>
      <c r="AA339" s="4" t="s">
        <v>1721</v>
      </c>
      <c r="AB339" s="4" t="s">
        <v>1722</v>
      </c>
    </row>
    <row r="340" spans="25:28">
      <c r="Y340" s="4" t="str">
        <f t="shared" si="10"/>
        <v>051-200461615.2.0.37.24</v>
      </c>
      <c r="Z340" s="4" t="s">
        <v>904</v>
      </c>
      <c r="AA340" s="4" t="s">
        <v>1723</v>
      </c>
      <c r="AB340" s="4" t="s">
        <v>1724</v>
      </c>
    </row>
    <row r="341" spans="25:28">
      <c r="Y341" s="4" t="str">
        <f t="shared" si="10"/>
        <v>051-200461615.2.0.39.24</v>
      </c>
      <c r="Z341" s="4" t="s">
        <v>904</v>
      </c>
      <c r="AA341" s="4" t="s">
        <v>1725</v>
      </c>
      <c r="AB341" s="4" t="s">
        <v>1726</v>
      </c>
    </row>
    <row r="342" spans="25:28">
      <c r="Y342" s="4" t="str">
        <f t="shared" si="10"/>
        <v>051-200461615.2.0.7.25</v>
      </c>
      <c r="Z342" s="4" t="s">
        <v>904</v>
      </c>
      <c r="AA342" s="4" t="s">
        <v>1727</v>
      </c>
      <c r="AB342" s="4" t="s">
        <v>1728</v>
      </c>
    </row>
    <row r="343" spans="25:28">
      <c r="Y343" s="4" t="str">
        <f t="shared" si="10"/>
        <v>051-200461615.2.0.6.25</v>
      </c>
      <c r="Z343" s="4" t="s">
        <v>904</v>
      </c>
      <c r="AA343" s="4" t="s">
        <v>1729</v>
      </c>
      <c r="AB343" s="4" t="s">
        <v>1730</v>
      </c>
    </row>
    <row r="344" spans="25:28">
      <c r="Y344" s="4" t="str">
        <f t="shared" si="10"/>
        <v>051-200461615.2.0.40.24</v>
      </c>
      <c r="Z344" s="4" t="s">
        <v>904</v>
      </c>
      <c r="AA344" s="4" t="s">
        <v>1731</v>
      </c>
      <c r="AB344" s="4" t="s">
        <v>1732</v>
      </c>
    </row>
    <row r="345" spans="25:28">
      <c r="Y345" s="4" t="str">
        <f t="shared" si="10"/>
        <v>051-200465215.2.0.13</v>
      </c>
      <c r="Z345" s="4" t="s">
        <v>902</v>
      </c>
      <c r="AA345" s="4" t="s">
        <v>1733</v>
      </c>
      <c r="AB345" s="4" t="s">
        <v>1734</v>
      </c>
    </row>
    <row r="346" spans="25:28">
      <c r="Y346" s="4" t="str">
        <f t="shared" si="10"/>
        <v>051-200465215.2.0.23.24</v>
      </c>
      <c r="Z346" s="4" t="s">
        <v>902</v>
      </c>
      <c r="AA346" s="4" t="s">
        <v>1735</v>
      </c>
      <c r="AB346" s="4" t="s">
        <v>1736</v>
      </c>
    </row>
    <row r="347" spans="25:28">
      <c r="Y347" s="4" t="str">
        <f t="shared" si="10"/>
        <v>051-200465215.2.0.24.24</v>
      </c>
      <c r="Z347" s="4" t="s">
        <v>902</v>
      </c>
      <c r="AA347" s="4" t="s">
        <v>1737</v>
      </c>
      <c r="AB347" s="4" t="s">
        <v>1738</v>
      </c>
    </row>
    <row r="348" spans="25:28">
      <c r="Y348" s="4" t="str">
        <f t="shared" si="10"/>
        <v>051-200465215.2.0.25.24</v>
      </c>
      <c r="Z348" s="4" t="s">
        <v>902</v>
      </c>
      <c r="AA348" s="4" t="s">
        <v>1739</v>
      </c>
      <c r="AB348" s="4" t="s">
        <v>1740</v>
      </c>
    </row>
    <row r="349" spans="25:28">
      <c r="Y349" s="4" t="str">
        <f t="shared" si="10"/>
        <v>051-200465215.2.0.26.24</v>
      </c>
      <c r="Z349" s="4" t="s">
        <v>902</v>
      </c>
      <c r="AA349" s="4" t="s">
        <v>1741</v>
      </c>
      <c r="AB349" s="4" t="s">
        <v>1742</v>
      </c>
    </row>
    <row r="350" spans="25:28">
      <c r="Y350" s="4" t="str">
        <f t="shared" si="10"/>
        <v>051-200465215.2.0.27.24</v>
      </c>
      <c r="Z350" s="4" t="s">
        <v>902</v>
      </c>
      <c r="AA350" s="4" t="s">
        <v>1743</v>
      </c>
      <c r="AB350" s="4" t="s">
        <v>1744</v>
      </c>
    </row>
    <row r="351" spans="25:28">
      <c r="Y351" s="4" t="str">
        <f t="shared" si="10"/>
        <v>051-200465215.2.0.28.24</v>
      </c>
      <c r="Z351" s="4" t="s">
        <v>902</v>
      </c>
      <c r="AA351" s="4" t="s">
        <v>1745</v>
      </c>
      <c r="AB351" s="4" t="s">
        <v>1746</v>
      </c>
    </row>
    <row r="352" spans="25:28">
      <c r="Y352" s="4" t="str">
        <f t="shared" si="10"/>
        <v>051-200465215.2.0.29.24</v>
      </c>
      <c r="Z352" s="4" t="s">
        <v>902</v>
      </c>
      <c r="AA352" s="4" t="s">
        <v>1747</v>
      </c>
      <c r="AB352" s="4" t="s">
        <v>1748</v>
      </c>
    </row>
    <row r="353" spans="25:28">
      <c r="Y353" s="4" t="str">
        <f t="shared" si="10"/>
        <v>051-200465215.2.0.30.24</v>
      </c>
      <c r="Z353" s="4" t="s">
        <v>902</v>
      </c>
      <c r="AA353" s="4" t="s">
        <v>1749</v>
      </c>
      <c r="AB353" s="4" t="s">
        <v>1750</v>
      </c>
    </row>
    <row r="354" spans="25:28">
      <c r="Y354" s="4" t="str">
        <f t="shared" si="10"/>
        <v>051-200465215.2.0.31.24</v>
      </c>
      <c r="Z354" s="4" t="s">
        <v>902</v>
      </c>
      <c r="AA354" s="4" t="s">
        <v>1751</v>
      </c>
      <c r="AB354" s="4" t="s">
        <v>1752</v>
      </c>
    </row>
    <row r="355" spans="25:28">
      <c r="Y355" s="4" t="str">
        <f t="shared" si="10"/>
        <v>051-200465215.2.0.32.24</v>
      </c>
      <c r="Z355" s="4" t="s">
        <v>902</v>
      </c>
      <c r="AA355" s="4" t="s">
        <v>1753</v>
      </c>
      <c r="AB355" s="4" t="s">
        <v>1754</v>
      </c>
    </row>
    <row r="356" spans="25:28">
      <c r="Y356" s="4" t="str">
        <f t="shared" si="10"/>
        <v>051-200465215.2.0.33.24</v>
      </c>
      <c r="Z356" s="4" t="s">
        <v>902</v>
      </c>
      <c r="AA356" s="4" t="s">
        <v>1755</v>
      </c>
      <c r="AB356" s="4" t="s">
        <v>1756</v>
      </c>
    </row>
    <row r="357" spans="25:28">
      <c r="Y357" s="4" t="str">
        <f t="shared" si="10"/>
        <v>051-200465215.2.0.34.24</v>
      </c>
      <c r="Z357" s="4" t="s">
        <v>902</v>
      </c>
      <c r="AA357" s="4" t="s">
        <v>1757</v>
      </c>
      <c r="AB357" s="4" t="s">
        <v>1758</v>
      </c>
    </row>
    <row r="358" spans="25:28">
      <c r="Y358" s="4" t="str">
        <f t="shared" si="10"/>
        <v>051-200465215.2.0.4.25</v>
      </c>
      <c r="Z358" s="4" t="s">
        <v>902</v>
      </c>
      <c r="AA358" s="4" t="s">
        <v>1759</v>
      </c>
      <c r="AB358" s="4" t="s">
        <v>1760</v>
      </c>
    </row>
    <row r="359" spans="25:28">
      <c r="Y359" s="4" t="str">
        <f t="shared" si="10"/>
        <v>051-200465215.2.0.3.25</v>
      </c>
      <c r="Z359" s="4" t="s">
        <v>902</v>
      </c>
      <c r="AA359" s="4" t="s">
        <v>1761</v>
      </c>
      <c r="AB359" s="4" t="s">
        <v>1762</v>
      </c>
    </row>
    <row r="360" spans="25:28">
      <c r="Y360" s="4" t="str">
        <f t="shared" si="10"/>
        <v>051-200465215.2.0.5.25</v>
      </c>
      <c r="Z360" s="4" t="s">
        <v>902</v>
      </c>
      <c r="AA360" s="4" t="s">
        <v>1763</v>
      </c>
      <c r="AB360" s="4" t="s">
        <v>1764</v>
      </c>
    </row>
    <row r="361" spans="25:28">
      <c r="Y361" s="4" t="str">
        <f t="shared" si="10"/>
        <v>051-200465915.2.0.4.24</v>
      </c>
      <c r="Z361" s="4" t="s">
        <v>898</v>
      </c>
      <c r="AA361" s="4" t="s">
        <v>1765</v>
      </c>
      <c r="AB361" s="4" t="s">
        <v>1766</v>
      </c>
    </row>
    <row r="362" spans="25:28">
      <c r="Y362" s="4" t="str">
        <f t="shared" si="10"/>
        <v>051-200465915.2.0.5.24</v>
      </c>
      <c r="Z362" s="4" t="s">
        <v>898</v>
      </c>
      <c r="AA362" s="4" t="s">
        <v>1767</v>
      </c>
      <c r="AB362" s="4" t="s">
        <v>1768</v>
      </c>
    </row>
    <row r="363" spans="25:28">
      <c r="Y363" s="4" t="str">
        <f t="shared" si="10"/>
        <v>051-200465915.2.0.6.24</v>
      </c>
      <c r="Z363" s="4" t="s">
        <v>898</v>
      </c>
      <c r="AA363" s="4" t="s">
        <v>1769</v>
      </c>
      <c r="AB363" s="4" t="s">
        <v>1770</v>
      </c>
    </row>
    <row r="364" spans="25:28">
      <c r="Y364" s="4" t="str">
        <f t="shared" si="10"/>
        <v>051-200465915.2.0.7.24</v>
      </c>
      <c r="Z364" s="4" t="s">
        <v>898</v>
      </c>
      <c r="AA364" s="4" t="s">
        <v>1771</v>
      </c>
      <c r="AB364" s="4" t="s">
        <v>1772</v>
      </c>
    </row>
    <row r="365" spans="25:28">
      <c r="Y365" s="4" t="str">
        <f t="shared" si="10"/>
        <v>051-200465915.2.0.8.24</v>
      </c>
      <c r="Z365" s="4" t="s">
        <v>898</v>
      </c>
      <c r="AA365" s="4" t="s">
        <v>1773</v>
      </c>
      <c r="AB365" s="4" t="s">
        <v>1774</v>
      </c>
    </row>
    <row r="366" spans="25:28">
      <c r="Y366" s="4" t="str">
        <f t="shared" si="10"/>
        <v>051-200465915.2.0.9.24</v>
      </c>
      <c r="Z366" s="4" t="s">
        <v>898</v>
      </c>
      <c r="AA366" s="4" t="s">
        <v>1775</v>
      </c>
      <c r="AB366" s="4" t="s">
        <v>1776</v>
      </c>
    </row>
    <row r="367" spans="25:28">
      <c r="Y367" s="4" t="str">
        <f t="shared" si="10"/>
        <v>051-200465915.2.0.10.24</v>
      </c>
      <c r="Z367" s="4" t="s">
        <v>898</v>
      </c>
      <c r="AA367" s="4" t="s">
        <v>1777</v>
      </c>
      <c r="AB367" s="4" t="s">
        <v>1778</v>
      </c>
    </row>
    <row r="368" spans="25:28">
      <c r="Y368" s="4" t="str">
        <f t="shared" si="10"/>
        <v>051-200465915.2.0.11.24</v>
      </c>
      <c r="Z368" s="4" t="s">
        <v>898</v>
      </c>
      <c r="AA368" s="4" t="s">
        <v>1779</v>
      </c>
      <c r="AB368" s="4" t="s">
        <v>1780</v>
      </c>
    </row>
    <row r="369" spans="25:28">
      <c r="Y369" s="4" t="str">
        <f t="shared" si="10"/>
        <v>051-200465915.2.0.12.24</v>
      </c>
      <c r="Z369" s="4" t="s">
        <v>898</v>
      </c>
      <c r="AA369" s="4" t="s">
        <v>1781</v>
      </c>
      <c r="AB369" s="4" t="s">
        <v>1782</v>
      </c>
    </row>
    <row r="370" spans="25:28">
      <c r="Y370" s="4" t="str">
        <f t="shared" si="10"/>
        <v>051-200465915.2.0.13.24</v>
      </c>
      <c r="Z370" s="4" t="s">
        <v>898</v>
      </c>
      <c r="AA370" s="4" t="s">
        <v>1783</v>
      </c>
      <c r="AB370" s="4" t="s">
        <v>1784</v>
      </c>
    </row>
    <row r="371" spans="25:28">
      <c r="Y371" s="4" t="str">
        <f t="shared" si="10"/>
        <v>051-200465915.2.0.14.24</v>
      </c>
      <c r="Z371" s="4" t="s">
        <v>898</v>
      </c>
      <c r="AA371" s="4" t="s">
        <v>1785</v>
      </c>
      <c r="AB371" s="4" t="s">
        <v>1786</v>
      </c>
    </row>
    <row r="372" spans="25:28">
      <c r="Y372" s="4" t="str">
        <f t="shared" si="10"/>
        <v>051-200465915.2.0.1.25</v>
      </c>
      <c r="Z372" s="4" t="s">
        <v>898</v>
      </c>
      <c r="AA372" s="4" t="s">
        <v>1787</v>
      </c>
      <c r="AB372" s="4" t="s">
        <v>1788</v>
      </c>
    </row>
    <row r="373" spans="25:28">
      <c r="Y373" s="4" t="str">
        <f t="shared" si="10"/>
        <v>051-20046767.1.1.12</v>
      </c>
      <c r="Z373" s="4" t="s">
        <v>1037</v>
      </c>
      <c r="AA373" s="4" t="s">
        <v>1789</v>
      </c>
      <c r="AB373" s="4" t="s">
        <v>1790</v>
      </c>
    </row>
    <row r="374" spans="25:28">
      <c r="Y374" s="4" t="str">
        <f t="shared" si="10"/>
        <v>051-20046767.1.1.13</v>
      </c>
      <c r="Z374" s="4" t="s">
        <v>1037</v>
      </c>
      <c r="AA374" s="4" t="s">
        <v>1791</v>
      </c>
      <c r="AB374" s="4" t="s">
        <v>1792</v>
      </c>
    </row>
    <row r="375" spans="25:28">
      <c r="Y375" s="4" t="str">
        <f t="shared" si="10"/>
        <v>051-20046767.1.1.14</v>
      </c>
      <c r="Z375" s="4" t="s">
        <v>1037</v>
      </c>
      <c r="AA375" s="4" t="s">
        <v>1793</v>
      </c>
      <c r="AB375" s="4" t="s">
        <v>1794</v>
      </c>
    </row>
    <row r="376" spans="25:28">
      <c r="Y376" s="4" t="str">
        <f t="shared" si="10"/>
        <v>051-20046767.1.1.16</v>
      </c>
      <c r="Z376" s="4" t="s">
        <v>1037</v>
      </c>
      <c r="AA376" s="4" t="s">
        <v>1795</v>
      </c>
      <c r="AB376" s="4" t="s">
        <v>1796</v>
      </c>
    </row>
    <row r="377" spans="25:28">
      <c r="Y377" s="4" t="str">
        <f t="shared" si="10"/>
        <v>051-20046767.1.1.17</v>
      </c>
      <c r="Z377" s="4" t="s">
        <v>1037</v>
      </c>
      <c r="AA377" s="4" t="s">
        <v>1797</v>
      </c>
      <c r="AB377" s="4" t="s">
        <v>1798</v>
      </c>
    </row>
    <row r="378" spans="25:28">
      <c r="Y378" s="4" t="str">
        <f t="shared" si="10"/>
        <v>051-20046767.1.1.18</v>
      </c>
      <c r="Z378" s="4" t="s">
        <v>1037</v>
      </c>
      <c r="AA378" s="4" t="s">
        <v>1799</v>
      </c>
      <c r="AB378" s="4" t="s">
        <v>1800</v>
      </c>
    </row>
    <row r="379" spans="25:28">
      <c r="Y379" s="4" t="str">
        <f t="shared" si="10"/>
        <v>051-20046767.1.1.20</v>
      </c>
      <c r="Z379" s="4" t="s">
        <v>1037</v>
      </c>
      <c r="AA379" s="4" t="s">
        <v>1801</v>
      </c>
      <c r="AB379" s="4" t="s">
        <v>1802</v>
      </c>
    </row>
    <row r="380" spans="25:28">
      <c r="Y380" s="4" t="str">
        <f t="shared" si="10"/>
        <v>051-20046819.1.1.21</v>
      </c>
      <c r="Z380" s="4" t="s">
        <v>668</v>
      </c>
      <c r="AA380" s="4" t="s">
        <v>1803</v>
      </c>
      <c r="AB380" s="4" t="s">
        <v>1804</v>
      </c>
    </row>
    <row r="381" spans="25:28">
      <c r="Y381" s="4" t="str">
        <f t="shared" si="10"/>
        <v>051-20046819.1.1.22</v>
      </c>
      <c r="Z381" s="4" t="s">
        <v>668</v>
      </c>
      <c r="AA381" s="4" t="s">
        <v>1805</v>
      </c>
      <c r="AB381" s="4" t="s">
        <v>1806</v>
      </c>
    </row>
    <row r="382" spans="25:28">
      <c r="Y382" s="4" t="str">
        <f t="shared" si="10"/>
        <v>051-20046819.1.1.23</v>
      </c>
      <c r="Z382" s="4" t="s">
        <v>668</v>
      </c>
      <c r="AA382" s="4" t="s">
        <v>1807</v>
      </c>
      <c r="AB382" s="4" t="s">
        <v>1808</v>
      </c>
    </row>
    <row r="383" spans="25:28">
      <c r="Y383" s="4" t="str">
        <f t="shared" si="10"/>
        <v>051-20046819.1.1.24</v>
      </c>
      <c r="Z383" s="4" t="s">
        <v>668</v>
      </c>
      <c r="AA383" s="4" t="s">
        <v>1809</v>
      </c>
      <c r="AB383" s="4" t="s">
        <v>1810</v>
      </c>
    </row>
    <row r="384" spans="25:28">
      <c r="Y384" s="4" t="str">
        <f t="shared" si="10"/>
        <v>051-20046819.1.1.25</v>
      </c>
      <c r="Z384" s="4" t="s">
        <v>668</v>
      </c>
      <c r="AA384" s="4" t="s">
        <v>1811</v>
      </c>
      <c r="AB384" s="4" t="s">
        <v>1812</v>
      </c>
    </row>
    <row r="385" spans="25:28">
      <c r="Y385" s="4" t="str">
        <f t="shared" si="10"/>
        <v>051-20046819.1.1.26</v>
      </c>
      <c r="Z385" s="4" t="s">
        <v>668</v>
      </c>
      <c r="AA385" s="4" t="s">
        <v>1813</v>
      </c>
      <c r="AB385" s="4" t="s">
        <v>1814</v>
      </c>
    </row>
    <row r="386" spans="25:28">
      <c r="Y386" s="4" t="str">
        <f t="shared" si="10"/>
        <v>051-20046819.1.1.27</v>
      </c>
      <c r="Z386" s="4" t="s">
        <v>668</v>
      </c>
      <c r="AA386" s="4" t="s">
        <v>1815</v>
      </c>
      <c r="AB386" s="4" t="s">
        <v>1816</v>
      </c>
    </row>
    <row r="387" spans="25:28">
      <c r="Y387" s="4" t="str">
        <f t="shared" si="10"/>
        <v>051-20046819.1.1.28</v>
      </c>
      <c r="Z387" s="4" t="s">
        <v>668</v>
      </c>
      <c r="AA387" s="4" t="s">
        <v>1817</v>
      </c>
      <c r="AB387" s="4" t="s">
        <v>1818</v>
      </c>
    </row>
    <row r="388" spans="25:28">
      <c r="Y388" s="4" t="str">
        <f t="shared" si="10"/>
        <v>051-20046819.1.1.29</v>
      </c>
      <c r="Z388" s="4" t="s">
        <v>668</v>
      </c>
      <c r="AA388" s="4" t="s">
        <v>1819</v>
      </c>
      <c r="AB388" s="4" t="s">
        <v>1820</v>
      </c>
    </row>
    <row r="389" spans="25:28">
      <c r="Y389" s="4" t="str">
        <f t="shared" si="10"/>
        <v>051-20046819.1.1.30</v>
      </c>
      <c r="Z389" s="4" t="s">
        <v>668</v>
      </c>
      <c r="AA389" s="4" t="s">
        <v>1821</v>
      </c>
      <c r="AB389" s="4" t="s">
        <v>1822</v>
      </c>
    </row>
    <row r="390" spans="25:28">
      <c r="Y390" s="4" t="str">
        <f t="shared" si="10"/>
        <v>051-20046819.1.1.31</v>
      </c>
      <c r="Z390" s="4" t="s">
        <v>668</v>
      </c>
      <c r="AA390" s="4" t="s">
        <v>1823</v>
      </c>
      <c r="AB390" s="4" t="s">
        <v>1824</v>
      </c>
    </row>
    <row r="391" spans="25:28">
      <c r="Y391" s="4" t="str">
        <f t="shared" ref="Y391:Y454" si="11">CONCATENATE(Z391,AA391)</f>
        <v>051-20046819.1.1.32</v>
      </c>
      <c r="Z391" s="4" t="s">
        <v>668</v>
      </c>
      <c r="AA391" s="4" t="s">
        <v>1825</v>
      </c>
      <c r="AB391" s="4" t="s">
        <v>1826</v>
      </c>
    </row>
    <row r="392" spans="25:28">
      <c r="Y392" s="4" t="str">
        <f t="shared" si="11"/>
        <v>051-20046819.1.1.33</v>
      </c>
      <c r="Z392" s="4" t="s">
        <v>668</v>
      </c>
      <c r="AA392" s="4" t="s">
        <v>1827</v>
      </c>
      <c r="AB392" s="4" t="s">
        <v>1828</v>
      </c>
    </row>
    <row r="393" spans="25:28">
      <c r="Y393" s="4" t="str">
        <f t="shared" si="11"/>
        <v>051-20046819.1.1.34</v>
      </c>
      <c r="Z393" s="4" t="s">
        <v>668</v>
      </c>
      <c r="AA393" s="4" t="s">
        <v>1829</v>
      </c>
      <c r="AB393" s="4" t="s">
        <v>1830</v>
      </c>
    </row>
    <row r="394" spans="25:28">
      <c r="Y394" s="4" t="str">
        <f t="shared" si="11"/>
        <v>051-20046819.1.1.35</v>
      </c>
      <c r="Z394" s="4" t="s">
        <v>668</v>
      </c>
      <c r="AA394" s="4" t="s">
        <v>1831</v>
      </c>
      <c r="AB394" s="4" t="s">
        <v>1832</v>
      </c>
    </row>
    <row r="395" spans="25:28">
      <c r="Y395" s="4" t="str">
        <f t="shared" si="11"/>
        <v>051-20046819.1.1.36</v>
      </c>
      <c r="Z395" s="4" t="s">
        <v>668</v>
      </c>
      <c r="AA395" s="4" t="s">
        <v>1833</v>
      </c>
      <c r="AB395" s="4" t="s">
        <v>1834</v>
      </c>
    </row>
    <row r="396" spans="25:28">
      <c r="Y396" s="4" t="str">
        <f t="shared" si="11"/>
        <v>051-20046819.1.1.37</v>
      </c>
      <c r="Z396" s="4" t="s">
        <v>668</v>
      </c>
      <c r="AA396" s="4" t="s">
        <v>1835</v>
      </c>
      <c r="AB396" s="4" t="s">
        <v>1836</v>
      </c>
    </row>
    <row r="397" spans="25:28">
      <c r="Y397" s="4" t="str">
        <f t="shared" si="11"/>
        <v>051-20046819.1.1.38</v>
      </c>
      <c r="Z397" s="4" t="s">
        <v>668</v>
      </c>
      <c r="AA397" s="4" t="s">
        <v>1837</v>
      </c>
      <c r="AB397" s="4" t="s">
        <v>1838</v>
      </c>
    </row>
    <row r="398" spans="25:28">
      <c r="Y398" s="4" t="str">
        <f t="shared" si="11"/>
        <v>051-20046819.1.1.39</v>
      </c>
      <c r="Z398" s="4" t="s">
        <v>668</v>
      </c>
      <c r="AA398" s="4" t="s">
        <v>1839</v>
      </c>
      <c r="AB398" s="4" t="s">
        <v>1840</v>
      </c>
    </row>
    <row r="399" spans="25:28">
      <c r="Y399" s="4" t="str">
        <f t="shared" si="11"/>
        <v>051-20046819.1.1.40</v>
      </c>
      <c r="Z399" s="4" t="s">
        <v>668</v>
      </c>
      <c r="AA399" s="4" t="s">
        <v>1841</v>
      </c>
      <c r="AB399" s="4" t="s">
        <v>1842</v>
      </c>
    </row>
    <row r="400" spans="25:28">
      <c r="Y400" s="4" t="str">
        <f t="shared" si="11"/>
        <v>051-20046819.1.1.41</v>
      </c>
      <c r="Z400" s="4" t="s">
        <v>668</v>
      </c>
      <c r="AA400" s="4" t="s">
        <v>1843</v>
      </c>
      <c r="AB400" s="4" t="s">
        <v>1844</v>
      </c>
    </row>
    <row r="401" spans="25:28">
      <c r="Y401" s="4" t="str">
        <f t="shared" si="11"/>
        <v>051-20046819.1.1.42</v>
      </c>
      <c r="Z401" s="4" t="s">
        <v>668</v>
      </c>
      <c r="AA401" s="4" t="s">
        <v>1845</v>
      </c>
      <c r="AB401" s="4" t="s">
        <v>1846</v>
      </c>
    </row>
    <row r="402" spans="25:28">
      <c r="Y402" s="4" t="str">
        <f t="shared" si="11"/>
        <v>051-20046819.1.1.43</v>
      </c>
      <c r="Z402" s="4" t="s">
        <v>668</v>
      </c>
      <c r="AA402" s="4" t="s">
        <v>1847</v>
      </c>
      <c r="AB402" s="4" t="s">
        <v>1848</v>
      </c>
    </row>
    <row r="403" spans="25:28">
      <c r="Y403" s="4" t="str">
        <f t="shared" si="11"/>
        <v>051-20046819.1.1.43 (2)</v>
      </c>
      <c r="Z403" s="4" t="s">
        <v>668</v>
      </c>
      <c r="AA403" s="4" t="s">
        <v>1849</v>
      </c>
      <c r="AB403" s="4" t="s">
        <v>1850</v>
      </c>
    </row>
    <row r="404" spans="25:28">
      <c r="Y404" s="4" t="str">
        <f t="shared" si="11"/>
        <v>051-20046819.1.1.44</v>
      </c>
      <c r="Z404" s="4" t="s">
        <v>668</v>
      </c>
      <c r="AA404" s="4" t="s">
        <v>1851</v>
      </c>
      <c r="AB404" s="4" t="s">
        <v>1852</v>
      </c>
    </row>
    <row r="405" spans="25:28">
      <c r="Y405" s="4" t="str">
        <f t="shared" si="11"/>
        <v>051-20046819.1.1.5</v>
      </c>
      <c r="Z405" s="4" t="s">
        <v>668</v>
      </c>
      <c r="AA405" s="4" t="s">
        <v>1853</v>
      </c>
      <c r="AB405" s="4" t="s">
        <v>1854</v>
      </c>
    </row>
    <row r="406" spans="25:28">
      <c r="Y406" s="4" t="str">
        <f t="shared" si="11"/>
        <v>051-20046819.1.1.6</v>
      </c>
      <c r="Z406" s="4" t="s">
        <v>668</v>
      </c>
      <c r="AA406" s="4" t="s">
        <v>1855</v>
      </c>
      <c r="AB406" s="4" t="s">
        <v>1856</v>
      </c>
    </row>
    <row r="407" spans="25:28">
      <c r="Y407" s="4" t="str">
        <f t="shared" si="11"/>
        <v>051-20046819.1.1.7</v>
      </c>
      <c r="Z407" s="4" t="s">
        <v>668</v>
      </c>
      <c r="AA407" s="4" t="s">
        <v>1857</v>
      </c>
      <c r="AB407" s="4" t="s">
        <v>1858</v>
      </c>
    </row>
    <row r="408" spans="25:28">
      <c r="Y408" s="4" t="str">
        <f t="shared" si="11"/>
        <v>051-20046819.1.1.8</v>
      </c>
      <c r="Z408" s="4" t="s">
        <v>668</v>
      </c>
      <c r="AA408" s="4" t="s">
        <v>1859</v>
      </c>
      <c r="AB408" s="4" t="s">
        <v>1860</v>
      </c>
    </row>
    <row r="409" spans="25:28">
      <c r="Y409" s="4" t="str">
        <f t="shared" si="11"/>
        <v>051-20046819.1.1.9</v>
      </c>
      <c r="Z409" s="4" t="s">
        <v>668</v>
      </c>
      <c r="AA409" s="4" t="s">
        <v>1861</v>
      </c>
      <c r="AB409" s="4" t="s">
        <v>1862</v>
      </c>
    </row>
    <row r="410" spans="25:28">
      <c r="Y410" s="4" t="str">
        <f t="shared" si="11"/>
        <v>051-20046819.1.1.10</v>
      </c>
      <c r="Z410" s="4" t="s">
        <v>668</v>
      </c>
      <c r="AA410" s="4" t="s">
        <v>1863</v>
      </c>
      <c r="AB410" s="4" t="s">
        <v>1864</v>
      </c>
    </row>
    <row r="411" spans="25:28">
      <c r="Y411" s="4" t="str">
        <f t="shared" si="11"/>
        <v>051-20046819.1.1.11</v>
      </c>
      <c r="Z411" s="4" t="s">
        <v>668</v>
      </c>
      <c r="AA411" s="4" t="s">
        <v>1865</v>
      </c>
      <c r="AB411" s="4" t="s">
        <v>1866</v>
      </c>
    </row>
    <row r="412" spans="25:28">
      <c r="Y412" s="4" t="str">
        <f t="shared" si="11"/>
        <v>051-20046819.1.1.12</v>
      </c>
      <c r="Z412" s="4" t="s">
        <v>668</v>
      </c>
      <c r="AA412" s="4" t="s">
        <v>1867</v>
      </c>
      <c r="AB412" s="4" t="s">
        <v>1868</v>
      </c>
    </row>
    <row r="413" spans="25:28">
      <c r="Y413" s="4" t="str">
        <f t="shared" si="11"/>
        <v>051-20046819.1.1.13</v>
      </c>
      <c r="Z413" s="4" t="s">
        <v>668</v>
      </c>
      <c r="AA413" s="4" t="s">
        <v>1869</v>
      </c>
      <c r="AB413" s="4" t="s">
        <v>1870</v>
      </c>
    </row>
    <row r="414" spans="25:28">
      <c r="Y414" s="4" t="str">
        <f t="shared" si="11"/>
        <v>051-20046819.1.1.14</v>
      </c>
      <c r="Z414" s="4" t="s">
        <v>668</v>
      </c>
      <c r="AA414" s="4" t="s">
        <v>1871</v>
      </c>
      <c r="AB414" s="4" t="s">
        <v>1872</v>
      </c>
    </row>
    <row r="415" spans="25:28">
      <c r="Y415" s="4" t="str">
        <f t="shared" si="11"/>
        <v>051-20046819.1.1.15</v>
      </c>
      <c r="Z415" s="4" t="s">
        <v>668</v>
      </c>
      <c r="AA415" s="4" t="s">
        <v>1873</v>
      </c>
      <c r="AB415" s="4" t="s">
        <v>1874</v>
      </c>
    </row>
    <row r="416" spans="25:28">
      <c r="Y416" s="4" t="str">
        <f t="shared" si="11"/>
        <v>051-20046819.1.1.16</v>
      </c>
      <c r="Z416" s="4" t="s">
        <v>668</v>
      </c>
      <c r="AA416" s="4" t="s">
        <v>1875</v>
      </c>
      <c r="AB416" s="4" t="s">
        <v>1876</v>
      </c>
    </row>
    <row r="417" spans="25:28">
      <c r="Y417" s="4" t="str">
        <f t="shared" si="11"/>
        <v>051-20046819.1.1.17</v>
      </c>
      <c r="Z417" s="4" t="s">
        <v>668</v>
      </c>
      <c r="AA417" s="4" t="s">
        <v>1877</v>
      </c>
      <c r="AB417" s="4" t="s">
        <v>1878</v>
      </c>
    </row>
    <row r="418" spans="25:28">
      <c r="Y418" s="4" t="str">
        <f t="shared" si="11"/>
        <v>051-20046819.1.1.18</v>
      </c>
      <c r="Z418" s="4" t="s">
        <v>668</v>
      </c>
      <c r="AA418" s="4" t="s">
        <v>1879</v>
      </c>
      <c r="AB418" s="4" t="s">
        <v>1880</v>
      </c>
    </row>
    <row r="419" spans="25:28">
      <c r="Y419" s="4" t="str">
        <f t="shared" si="11"/>
        <v>051-20046819.1.1.19</v>
      </c>
      <c r="Z419" s="4" t="s">
        <v>668</v>
      </c>
      <c r="AA419" s="4" t="s">
        <v>1881</v>
      </c>
      <c r="AB419" s="4" t="s">
        <v>1882</v>
      </c>
    </row>
    <row r="420" spans="25:28">
      <c r="Y420" s="4" t="str">
        <f t="shared" si="11"/>
        <v>051-20046819.1.1.20</v>
      </c>
      <c r="Z420" s="4" t="s">
        <v>668</v>
      </c>
      <c r="AA420" s="4" t="s">
        <v>1883</v>
      </c>
      <c r="AB420" s="4" t="s">
        <v>1884</v>
      </c>
    </row>
    <row r="421" spans="25:28">
      <c r="Y421" s="4" t="str">
        <f t="shared" si="11"/>
        <v>051-20046915.1.0.2.1</v>
      </c>
      <c r="Z421" s="4" t="s">
        <v>965</v>
      </c>
      <c r="AA421" s="4" t="s">
        <v>1885</v>
      </c>
      <c r="AB421" s="4" t="s">
        <v>1886</v>
      </c>
    </row>
    <row r="422" spans="25:28">
      <c r="Y422" s="4" t="str">
        <f t="shared" si="11"/>
        <v>051-20046915.1.0.2.2</v>
      </c>
      <c r="Z422" s="4" t="s">
        <v>965</v>
      </c>
      <c r="AA422" s="4" t="s">
        <v>1887</v>
      </c>
      <c r="AB422" s="4" t="s">
        <v>1888</v>
      </c>
    </row>
    <row r="423" spans="25:28">
      <c r="Y423" s="4" t="str">
        <f t="shared" si="11"/>
        <v>051-20046915.1.0.3.3</v>
      </c>
      <c r="Z423" s="4" t="s">
        <v>965</v>
      </c>
      <c r="AA423" s="4" t="s">
        <v>1889</v>
      </c>
      <c r="AB423" s="4" t="s">
        <v>1890</v>
      </c>
    </row>
    <row r="424" spans="25:28">
      <c r="Y424" s="4" t="str">
        <f t="shared" si="11"/>
        <v>051-20046915.1.0.4.4.</v>
      </c>
      <c r="Z424" s="4" t="s">
        <v>965</v>
      </c>
      <c r="AA424" s="4" t="s">
        <v>1891</v>
      </c>
      <c r="AB424" s="4" t="s">
        <v>1892</v>
      </c>
    </row>
    <row r="425" spans="25:28">
      <c r="Y425" s="4" t="str">
        <f t="shared" si="11"/>
        <v>051-20046924.1.0.1.4</v>
      </c>
      <c r="Z425" s="4" t="s">
        <v>953</v>
      </c>
      <c r="AA425" s="4" t="s">
        <v>1893</v>
      </c>
      <c r="AB425" s="4" t="s">
        <v>1894</v>
      </c>
    </row>
    <row r="426" spans="25:28">
      <c r="Y426" s="4" t="str">
        <f t="shared" si="11"/>
        <v>051-20046924.1.0.2.5</v>
      </c>
      <c r="Z426" s="4" t="s">
        <v>953</v>
      </c>
      <c r="AA426" s="4" t="s">
        <v>1895</v>
      </c>
      <c r="AB426" s="4" t="s">
        <v>1896</v>
      </c>
    </row>
    <row r="427" spans="25:28">
      <c r="Y427" s="4" t="str">
        <f t="shared" si="11"/>
        <v>051-20046924.1.0.2.6</v>
      </c>
      <c r="Z427" s="4" t="s">
        <v>953</v>
      </c>
      <c r="AA427" s="4" t="s">
        <v>1897</v>
      </c>
      <c r="AB427" s="4" t="s">
        <v>1896</v>
      </c>
    </row>
    <row r="428" spans="25:28">
      <c r="Y428" s="4" t="str">
        <f t="shared" si="11"/>
        <v>051-20046931.2.0.1.23</v>
      </c>
      <c r="Z428" s="4" t="s">
        <v>1069</v>
      </c>
      <c r="AA428" s="4" t="s">
        <v>1898</v>
      </c>
      <c r="AB428" s="4" t="s">
        <v>1899</v>
      </c>
    </row>
    <row r="429" spans="25:28">
      <c r="Y429" s="4" t="str">
        <f t="shared" si="11"/>
        <v>051-20046931.2.0.2.13</v>
      </c>
      <c r="Z429" s="4" t="s">
        <v>1069</v>
      </c>
      <c r="AA429" s="4" t="s">
        <v>1900</v>
      </c>
      <c r="AB429" s="4" t="s">
        <v>1901</v>
      </c>
    </row>
    <row r="430" spans="25:28">
      <c r="Y430" s="4" t="str">
        <f t="shared" si="11"/>
        <v>051-20046931.2.0.3.23</v>
      </c>
      <c r="Z430" s="4" t="s">
        <v>1069</v>
      </c>
      <c r="AA430" s="4" t="s">
        <v>1902</v>
      </c>
      <c r="AB430" s="4" t="s">
        <v>1903</v>
      </c>
    </row>
    <row r="431" spans="25:28">
      <c r="Y431" s="4" t="str">
        <f t="shared" si="11"/>
        <v>051-20046931.2.0.4.23</v>
      </c>
      <c r="Z431" s="4" t="s">
        <v>1069</v>
      </c>
      <c r="AA431" s="4" t="s">
        <v>1904</v>
      </c>
      <c r="AB431" s="4" t="s">
        <v>1905</v>
      </c>
    </row>
    <row r="432" spans="25:28">
      <c r="Y432" s="4" t="str">
        <f t="shared" si="11"/>
        <v>051-20046931.2.0.5.23</v>
      </c>
      <c r="Z432" s="4" t="s">
        <v>1069</v>
      </c>
      <c r="AA432" s="4" t="s">
        <v>1906</v>
      </c>
      <c r="AB432" s="4" t="s">
        <v>1907</v>
      </c>
    </row>
    <row r="433" spans="25:28">
      <c r="Y433" s="4" t="str">
        <f t="shared" si="11"/>
        <v>051-20046931.2.0.6.23</v>
      </c>
      <c r="Z433" s="4" t="s">
        <v>1069</v>
      </c>
      <c r="AA433" s="4" t="s">
        <v>1908</v>
      </c>
      <c r="AB433" s="4" t="s">
        <v>1909</v>
      </c>
    </row>
    <row r="434" spans="25:28">
      <c r="Y434" s="4" t="str">
        <f t="shared" si="11"/>
        <v>051-20046931.2.0.7.23</v>
      </c>
      <c r="Z434" s="4" t="s">
        <v>1069</v>
      </c>
      <c r="AA434" s="4" t="s">
        <v>1910</v>
      </c>
      <c r="AB434" s="4" t="s">
        <v>1911</v>
      </c>
    </row>
    <row r="435" spans="25:28">
      <c r="Y435" s="4" t="str">
        <f t="shared" si="11"/>
        <v>051-20046931.2.0.8.23</v>
      </c>
      <c r="Z435" s="4" t="s">
        <v>1069</v>
      </c>
      <c r="AA435" s="4" t="s">
        <v>1912</v>
      </c>
      <c r="AB435" s="4" t="s">
        <v>1913</v>
      </c>
    </row>
    <row r="436" spans="25:28">
      <c r="Y436" s="4" t="str">
        <f t="shared" si="11"/>
        <v>051-20046931.2.0.9.23</v>
      </c>
      <c r="Z436" s="4" t="s">
        <v>1069</v>
      </c>
      <c r="AA436" s="4" t="s">
        <v>1914</v>
      </c>
      <c r="AB436" s="4" t="s">
        <v>1915</v>
      </c>
    </row>
    <row r="437" spans="25:28">
      <c r="Y437" s="4" t="str">
        <f t="shared" si="11"/>
        <v>051-20046931.2.0.11.23</v>
      </c>
      <c r="Z437" s="4" t="s">
        <v>1069</v>
      </c>
      <c r="AA437" s="4" t="s">
        <v>1916</v>
      </c>
      <c r="AB437" s="4" t="s">
        <v>1917</v>
      </c>
    </row>
    <row r="438" spans="25:28">
      <c r="Y438" s="4" t="str">
        <f t="shared" si="11"/>
        <v>051-20046931.2.0.12.13</v>
      </c>
      <c r="Z438" s="4" t="s">
        <v>1069</v>
      </c>
      <c r="AA438" s="4" t="s">
        <v>1918</v>
      </c>
      <c r="AB438" s="4" t="s">
        <v>1919</v>
      </c>
    </row>
    <row r="439" spans="25:28">
      <c r="Y439" s="4" t="str">
        <f t="shared" si="11"/>
        <v>051-20046931.2.0.13.23</v>
      </c>
      <c r="Z439" s="4" t="s">
        <v>1069</v>
      </c>
      <c r="AA439" s="4" t="s">
        <v>1920</v>
      </c>
      <c r="AB439" s="4" t="s">
        <v>1921</v>
      </c>
    </row>
    <row r="440" spans="25:28">
      <c r="Y440" s="4" t="str">
        <f t="shared" si="11"/>
        <v>051-20046931.2.0.14.23</v>
      </c>
      <c r="Z440" s="4" t="s">
        <v>1069</v>
      </c>
      <c r="AA440" s="4" t="s">
        <v>1922</v>
      </c>
      <c r="AB440" s="4" t="s">
        <v>1923</v>
      </c>
    </row>
    <row r="441" spans="25:28">
      <c r="Y441" s="4" t="str">
        <f t="shared" si="11"/>
        <v>051-20046931.2.0.15.23</v>
      </c>
      <c r="Z441" s="4" t="s">
        <v>1069</v>
      </c>
      <c r="AA441" s="4" t="s">
        <v>1924</v>
      </c>
      <c r="AB441" s="4" t="s">
        <v>1925</v>
      </c>
    </row>
    <row r="442" spans="25:28">
      <c r="Y442" s="4" t="str">
        <f t="shared" si="11"/>
        <v>051-20046931.2.0.16.23</v>
      </c>
      <c r="Z442" s="4" t="s">
        <v>1069</v>
      </c>
      <c r="AA442" s="4" t="s">
        <v>1926</v>
      </c>
      <c r="AB442" s="4" t="s">
        <v>1927</v>
      </c>
    </row>
    <row r="443" spans="25:28">
      <c r="Y443" s="4" t="str">
        <f t="shared" si="11"/>
        <v>051-20046931.2.0.18.23</v>
      </c>
      <c r="Z443" s="4" t="s">
        <v>1069</v>
      </c>
      <c r="AA443" s="4" t="s">
        <v>1928</v>
      </c>
      <c r="AB443" s="4" t="s">
        <v>1929</v>
      </c>
    </row>
    <row r="444" spans="25:28">
      <c r="Y444" s="4" t="str">
        <f t="shared" si="11"/>
        <v>051-20046931.2.0.20.23</v>
      </c>
      <c r="Z444" s="4" t="s">
        <v>1069</v>
      </c>
      <c r="AA444" s="4" t="s">
        <v>1930</v>
      </c>
      <c r="AB444" s="4" t="s">
        <v>1931</v>
      </c>
    </row>
    <row r="445" spans="25:28">
      <c r="Y445" s="4" t="str">
        <f t="shared" si="11"/>
        <v>051-20046931.2.0.21.23</v>
      </c>
      <c r="Z445" s="4" t="s">
        <v>1069</v>
      </c>
      <c r="AA445" s="4" t="s">
        <v>1932</v>
      </c>
      <c r="AB445" s="4" t="s">
        <v>1933</v>
      </c>
    </row>
    <row r="446" spans="25:28">
      <c r="Y446" s="4" t="str">
        <f t="shared" si="11"/>
        <v>051-20046931.2.0.22.13</v>
      </c>
      <c r="Z446" s="4" t="s">
        <v>1069</v>
      </c>
      <c r="AA446" s="4" t="s">
        <v>1934</v>
      </c>
      <c r="AB446" s="4" t="s">
        <v>1935</v>
      </c>
    </row>
    <row r="447" spans="25:28">
      <c r="Y447" s="4" t="str">
        <f t="shared" si="11"/>
        <v>051-20046931.2.0.23.26</v>
      </c>
      <c r="Z447" s="4" t="s">
        <v>1069</v>
      </c>
      <c r="AA447" s="4" t="s">
        <v>1936</v>
      </c>
      <c r="AB447" s="4" t="s">
        <v>1937</v>
      </c>
    </row>
    <row r="448" spans="25:28">
      <c r="Y448" s="4" t="str">
        <f t="shared" si="11"/>
        <v>051-20046931.2.0.24.26</v>
      </c>
      <c r="Z448" s="4" t="s">
        <v>1069</v>
      </c>
      <c r="AA448" s="4" t="s">
        <v>1938</v>
      </c>
      <c r="AB448" s="4" t="s">
        <v>1939</v>
      </c>
    </row>
    <row r="449" spans="25:28">
      <c r="Y449" s="4" t="str">
        <f t="shared" si="11"/>
        <v>051-20046931.2.0.25.26</v>
      </c>
      <c r="Z449" s="4" t="s">
        <v>1069</v>
      </c>
      <c r="AA449" s="4" t="s">
        <v>1940</v>
      </c>
      <c r="AB449" s="4" t="s">
        <v>1941</v>
      </c>
    </row>
    <row r="450" spans="25:28">
      <c r="Y450" s="4" t="str">
        <f t="shared" si="11"/>
        <v>051-20046931.2.0.26.26</v>
      </c>
      <c r="Z450" s="4" t="s">
        <v>1069</v>
      </c>
      <c r="AA450" s="4" t="s">
        <v>1942</v>
      </c>
      <c r="AB450" s="4" t="s">
        <v>1943</v>
      </c>
    </row>
    <row r="451" spans="25:28">
      <c r="Y451" s="4" t="str">
        <f t="shared" si="11"/>
        <v>051-20046941.1.7.1.25</v>
      </c>
      <c r="Z451" s="4" t="s">
        <v>1057</v>
      </c>
      <c r="AA451" s="4" t="s">
        <v>1944</v>
      </c>
      <c r="AB451" s="4" t="s">
        <v>1945</v>
      </c>
    </row>
    <row r="452" spans="25:28">
      <c r="Y452" s="4" t="str">
        <f t="shared" si="11"/>
        <v>051-20046941.1.7.3.25</v>
      </c>
      <c r="Z452" s="4" t="s">
        <v>1057</v>
      </c>
      <c r="AA452" s="4" t="s">
        <v>1946</v>
      </c>
      <c r="AB452" s="4" t="s">
        <v>1947</v>
      </c>
    </row>
    <row r="453" spans="25:28">
      <c r="Y453" s="4" t="str">
        <f t="shared" si="11"/>
        <v>051-20050905.4.1АВ.2</v>
      </c>
      <c r="Z453" s="4" t="s">
        <v>959</v>
      </c>
      <c r="AA453" s="4" t="s">
        <v>1948</v>
      </c>
      <c r="AB453" s="4" t="s">
        <v>1949</v>
      </c>
    </row>
    <row r="454" spans="25:28">
      <c r="Y454" s="4" t="str">
        <f t="shared" si="11"/>
        <v>051-20051023.1.1C.1</v>
      </c>
      <c r="Z454" s="4" t="s">
        <v>737</v>
      </c>
      <c r="AA454" s="4" t="s">
        <v>1950</v>
      </c>
      <c r="AB454" s="4" t="s">
        <v>1951</v>
      </c>
    </row>
    <row r="455" spans="25:28">
      <c r="Y455" s="4" t="str">
        <f t="shared" ref="Y455:Y518" si="12">CONCATENATE(Z455,AA455)</f>
        <v>051-20051914.1.0.7.1</v>
      </c>
      <c r="Z455" s="4" t="s">
        <v>963</v>
      </c>
      <c r="AA455" s="4" t="s">
        <v>1952</v>
      </c>
      <c r="AB455" s="4" t="s">
        <v>1953</v>
      </c>
    </row>
    <row r="456" spans="25:28">
      <c r="Y456" s="4" t="str">
        <f t="shared" si="12"/>
        <v>051-20051914.1.0.7.2</v>
      </c>
      <c r="Z456" s="4" t="s">
        <v>963</v>
      </c>
      <c r="AA456" s="4" t="s">
        <v>1954</v>
      </c>
      <c r="AB456" s="4" t="s">
        <v>1955</v>
      </c>
    </row>
    <row r="457" spans="25:28">
      <c r="Y457" s="4" t="str">
        <f t="shared" si="12"/>
        <v>051-20051914.1.0.7.3</v>
      </c>
      <c r="Z457" s="4" t="s">
        <v>963</v>
      </c>
      <c r="AA457" s="4" t="s">
        <v>1956</v>
      </c>
      <c r="AB457" s="4" t="s">
        <v>1957</v>
      </c>
    </row>
    <row r="458" spans="25:28">
      <c r="Y458" s="4" t="str">
        <f t="shared" si="12"/>
        <v>051-20051993.8.0.1(2)</v>
      </c>
      <c r="Z458" s="4" t="s">
        <v>753</v>
      </c>
      <c r="AA458" s="4" t="s">
        <v>1958</v>
      </c>
      <c r="AB458" s="4" t="s">
        <v>1959</v>
      </c>
    </row>
    <row r="459" spans="25:28">
      <c r="Y459" s="4" t="str">
        <f t="shared" si="12"/>
        <v>051-20051993.8.0.2(2)</v>
      </c>
      <c r="Z459" s="4" t="s">
        <v>753</v>
      </c>
      <c r="AA459" s="4" t="s">
        <v>1960</v>
      </c>
      <c r="AB459" s="4" t="s">
        <v>1961</v>
      </c>
    </row>
    <row r="460" spans="25:28">
      <c r="Y460" s="4" t="str">
        <f t="shared" si="12"/>
        <v>051-20051993.8.0.3(2)</v>
      </c>
      <c r="Z460" s="4" t="s">
        <v>753</v>
      </c>
      <c r="AA460" s="4" t="s">
        <v>1962</v>
      </c>
      <c r="AB460" s="4" t="s">
        <v>1963</v>
      </c>
    </row>
    <row r="461" spans="25:28">
      <c r="Y461" s="4" t="str">
        <f t="shared" si="12"/>
        <v>051-20051993.8.0.4(2)</v>
      </c>
      <c r="Z461" s="4" t="s">
        <v>753</v>
      </c>
      <c r="AA461" s="4" t="s">
        <v>1964</v>
      </c>
      <c r="AB461" s="4" t="s">
        <v>1965</v>
      </c>
    </row>
    <row r="462" spans="25:28">
      <c r="Y462" s="4" t="str">
        <f t="shared" si="12"/>
        <v>051-20051993.8.0.5(2)</v>
      </c>
      <c r="Z462" s="4" t="s">
        <v>753</v>
      </c>
      <c r="AA462" s="4" t="s">
        <v>1966</v>
      </c>
      <c r="AB462" s="4" t="s">
        <v>1967</v>
      </c>
    </row>
    <row r="463" spans="25:28">
      <c r="Y463" s="4" t="str">
        <f t="shared" si="12"/>
        <v>051-20051993.8.0.6</v>
      </c>
      <c r="Z463" s="4" t="s">
        <v>753</v>
      </c>
      <c r="AA463" s="4" t="s">
        <v>1968</v>
      </c>
      <c r="AB463" s="4" t="s">
        <v>1969</v>
      </c>
    </row>
    <row r="464" spans="25:28">
      <c r="Y464" s="4" t="str">
        <f t="shared" si="12"/>
        <v>051-20051993.8.0.7</v>
      </c>
      <c r="Z464" s="4" t="s">
        <v>753</v>
      </c>
      <c r="AA464" s="4" t="s">
        <v>1970</v>
      </c>
      <c r="AB464" s="4" t="s">
        <v>1971</v>
      </c>
    </row>
    <row r="465" spans="25:28">
      <c r="Y465" s="4" t="str">
        <f t="shared" si="12"/>
        <v>051-20051993.8.0.8</v>
      </c>
      <c r="Z465" s="4" t="s">
        <v>753</v>
      </c>
      <c r="AA465" s="4" t="s">
        <v>1972</v>
      </c>
      <c r="AB465" s="4" t="s">
        <v>1973</v>
      </c>
    </row>
    <row r="466" spans="25:28">
      <c r="Y466" s="4" t="str">
        <f t="shared" si="12"/>
        <v>051-20051993.8.0.9</v>
      </c>
      <c r="Z466" s="4" t="s">
        <v>753</v>
      </c>
      <c r="AA466" s="4" t="s">
        <v>1974</v>
      </c>
      <c r="AB466" s="4" t="s">
        <v>1975</v>
      </c>
    </row>
    <row r="467" spans="25:28">
      <c r="Y467" s="4" t="str">
        <f t="shared" si="12"/>
        <v>051-20052611.8.0.1(2)</v>
      </c>
      <c r="Z467" s="4" t="s">
        <v>1079</v>
      </c>
      <c r="AA467" s="4" t="s">
        <v>1976</v>
      </c>
      <c r="AB467" s="4" t="s">
        <v>1977</v>
      </c>
    </row>
    <row r="468" spans="25:28">
      <c r="Y468" s="4" t="str">
        <f t="shared" si="12"/>
        <v>051-20052611.8.0.2</v>
      </c>
      <c r="Z468" s="4" t="s">
        <v>1079</v>
      </c>
      <c r="AA468" s="4" t="s">
        <v>1978</v>
      </c>
      <c r="AB468" s="4" t="s">
        <v>1979</v>
      </c>
    </row>
    <row r="469" spans="25:28">
      <c r="Y469" s="4" t="str">
        <f t="shared" si="12"/>
        <v>051-20052611.8.0.3</v>
      </c>
      <c r="Z469" s="4" t="s">
        <v>1079</v>
      </c>
      <c r="AA469" s="4" t="s">
        <v>1980</v>
      </c>
      <c r="AB469" s="4" t="s">
        <v>1981</v>
      </c>
    </row>
    <row r="470" spans="25:28">
      <c r="Y470" s="4" t="str">
        <f t="shared" si="12"/>
        <v>051-200527720.2.22.1</v>
      </c>
      <c r="Z470" s="4" t="s">
        <v>969</v>
      </c>
      <c r="AA470" s="4" t="s">
        <v>1982</v>
      </c>
      <c r="AB470" s="4" t="s">
        <v>1983</v>
      </c>
    </row>
    <row r="471" spans="25:28">
      <c r="Y471" s="4" t="str">
        <f t="shared" si="12"/>
        <v>051-200527720.2.22.2</v>
      </c>
      <c r="Z471" s="4" t="s">
        <v>969</v>
      </c>
      <c r="AA471" s="4" t="s">
        <v>1984</v>
      </c>
      <c r="AB471" s="4" t="s">
        <v>1985</v>
      </c>
    </row>
    <row r="472" spans="25:28">
      <c r="Y472" s="4" t="str">
        <f t="shared" si="12"/>
        <v>051-200527720.2.22.3</v>
      </c>
      <c r="Z472" s="4" t="s">
        <v>969</v>
      </c>
      <c r="AA472" s="4" t="s">
        <v>1986</v>
      </c>
      <c r="AB472" s="4" t="s">
        <v>1987</v>
      </c>
    </row>
    <row r="473" spans="25:28">
      <c r="Y473" s="4" t="str">
        <f t="shared" si="12"/>
        <v>051-200535315.1.0.11</v>
      </c>
      <c r="Z473" s="4" t="s">
        <v>890</v>
      </c>
      <c r="AA473" s="4" t="s">
        <v>1988</v>
      </c>
      <c r="AB473" s="4" t="s">
        <v>1989</v>
      </c>
    </row>
    <row r="474" spans="25:28">
      <c r="Y474" s="4" t="str">
        <f t="shared" si="12"/>
        <v>051-200535315.1.0.12</v>
      </c>
      <c r="Z474" s="4" t="s">
        <v>890</v>
      </c>
      <c r="AA474" s="4" t="s">
        <v>1990</v>
      </c>
      <c r="AB474" s="4" t="s">
        <v>1989</v>
      </c>
    </row>
    <row r="475" spans="25:28">
      <c r="Y475" s="4" t="str">
        <f t="shared" si="12"/>
        <v>051-200535315.1.0.4.25</v>
      </c>
      <c r="Z475" s="4" t="s">
        <v>890</v>
      </c>
      <c r="AA475" s="4" t="s">
        <v>1991</v>
      </c>
      <c r="AB475" s="4" t="s">
        <v>1989</v>
      </c>
    </row>
    <row r="476" spans="25:28">
      <c r="Y476" s="4" t="str">
        <f t="shared" si="12"/>
        <v>051-200535415.1.0.2.26</v>
      </c>
      <c r="Z476" s="4" t="s">
        <v>884</v>
      </c>
      <c r="AA476" s="4" t="s">
        <v>1992</v>
      </c>
      <c r="AB476" s="4" t="s">
        <v>1993</v>
      </c>
    </row>
    <row r="477" spans="25:28">
      <c r="Y477" s="4" t="str">
        <f t="shared" si="12"/>
        <v>051-200535415.1.0.3.26</v>
      </c>
      <c r="Z477" s="4" t="s">
        <v>884</v>
      </c>
      <c r="AA477" s="4" t="s">
        <v>1994</v>
      </c>
      <c r="AB477" s="4" t="s">
        <v>1993</v>
      </c>
    </row>
    <row r="478" spans="25:28">
      <c r="Y478" s="4" t="str">
        <f t="shared" si="12"/>
        <v>051-200535415.1.0.4.26</v>
      </c>
      <c r="Z478" s="4" t="s">
        <v>884</v>
      </c>
      <c r="AA478" s="4" t="s">
        <v>1995</v>
      </c>
      <c r="AB478" s="4" t="s">
        <v>1993</v>
      </c>
    </row>
    <row r="479" spans="25:28">
      <c r="Y479" s="4" t="str">
        <f t="shared" si="12"/>
        <v>051-200535415.1.0.5.26</v>
      </c>
      <c r="Z479" s="4" t="s">
        <v>884</v>
      </c>
      <c r="AA479" s="4" t="s">
        <v>1996</v>
      </c>
      <c r="AB479" s="4" t="s">
        <v>1997</v>
      </c>
    </row>
    <row r="480" spans="25:28">
      <c r="Y480" s="4" t="str">
        <f t="shared" si="12"/>
        <v>051-200535415.1.0.6.26</v>
      </c>
      <c r="Z480" s="4" t="s">
        <v>884</v>
      </c>
      <c r="AA480" s="4" t="s">
        <v>1998</v>
      </c>
      <c r="AB480" s="4" t="s">
        <v>1997</v>
      </c>
    </row>
    <row r="481" spans="25:28">
      <c r="Y481" s="4" t="str">
        <f t="shared" si="12"/>
        <v>051-200535415.1.0.7.26</v>
      </c>
      <c r="Z481" s="4" t="s">
        <v>884</v>
      </c>
      <c r="AA481" s="4" t="s">
        <v>1999</v>
      </c>
      <c r="AB481" s="4" t="s">
        <v>1997</v>
      </c>
    </row>
    <row r="482" spans="25:28">
      <c r="Y482" s="4" t="str">
        <f t="shared" si="12"/>
        <v>051-200535415.1.0.8.26</v>
      </c>
      <c r="Z482" s="4" t="s">
        <v>884</v>
      </c>
      <c r="AA482" s="4" t="s">
        <v>2000</v>
      </c>
      <c r="AB482" s="4" t="s">
        <v>2001</v>
      </c>
    </row>
    <row r="483" spans="25:28">
      <c r="Y483" s="4" t="str">
        <f t="shared" si="12"/>
        <v>051-200535415.1.0.9.26</v>
      </c>
      <c r="Z483" s="4" t="s">
        <v>884</v>
      </c>
      <c r="AA483" s="4" t="s">
        <v>2002</v>
      </c>
      <c r="AB483" s="4" t="s">
        <v>2001</v>
      </c>
    </row>
    <row r="484" spans="25:28">
      <c r="Y484" s="4" t="str">
        <f t="shared" si="12"/>
        <v>051-200535415.1.0.10.26</v>
      </c>
      <c r="Z484" s="4" t="s">
        <v>884</v>
      </c>
      <c r="AA484" s="4" t="s">
        <v>2003</v>
      </c>
      <c r="AB484" s="4" t="s">
        <v>2004</v>
      </c>
    </row>
    <row r="485" spans="25:28">
      <c r="Y485" s="4" t="str">
        <f t="shared" si="12"/>
        <v>051-200535415.1.0.11.26</v>
      </c>
      <c r="Z485" s="4" t="s">
        <v>884</v>
      </c>
      <c r="AA485" s="4" t="s">
        <v>2005</v>
      </c>
      <c r="AB485" s="4" t="s">
        <v>2004</v>
      </c>
    </row>
    <row r="486" spans="25:28">
      <c r="Y486" s="4" t="str">
        <f t="shared" si="12"/>
        <v>051-200535515.1.0.12.26</v>
      </c>
      <c r="Z486" s="4" t="s">
        <v>886</v>
      </c>
      <c r="AA486" s="4" t="s">
        <v>2006</v>
      </c>
      <c r="AB486" s="4" t="s">
        <v>2007</v>
      </c>
    </row>
    <row r="487" spans="25:28">
      <c r="Y487" s="4" t="str">
        <f t="shared" si="12"/>
        <v>051-200535515.1.0.13.26</v>
      </c>
      <c r="Z487" s="4" t="s">
        <v>886</v>
      </c>
      <c r="AA487" s="4" t="s">
        <v>2008</v>
      </c>
      <c r="AB487" s="4" t="s">
        <v>2009</v>
      </c>
    </row>
    <row r="488" spans="25:28">
      <c r="Y488" s="4" t="str">
        <f t="shared" si="12"/>
        <v>051-20053704.8.0.1.1</v>
      </c>
      <c r="Z488" s="4" t="s">
        <v>967</v>
      </c>
      <c r="AA488" s="4" t="s">
        <v>2010</v>
      </c>
      <c r="AB488" s="4" t="s">
        <v>2011</v>
      </c>
    </row>
    <row r="489" spans="25:28">
      <c r="Y489" s="4" t="str">
        <f t="shared" si="12"/>
        <v>051-20053704.8.0.1.2</v>
      </c>
      <c r="Z489" s="4" t="s">
        <v>967</v>
      </c>
      <c r="AA489" s="4" t="s">
        <v>2012</v>
      </c>
      <c r="AB489" s="4" t="s">
        <v>2013</v>
      </c>
    </row>
    <row r="490" spans="25:28">
      <c r="Y490" s="4" t="str">
        <f t="shared" si="12"/>
        <v>051-20053704.8.0.1.3</v>
      </c>
      <c r="Z490" s="4" t="s">
        <v>967</v>
      </c>
      <c r="AA490" s="4" t="s">
        <v>2014</v>
      </c>
      <c r="AB490" s="4" t="s">
        <v>2015</v>
      </c>
    </row>
    <row r="491" spans="25:28">
      <c r="Y491" s="4" t="str">
        <f t="shared" si="12"/>
        <v>051-20053704.8.0.1.4</v>
      </c>
      <c r="Z491" s="4" t="s">
        <v>967</v>
      </c>
      <c r="AA491" s="4" t="s">
        <v>2016</v>
      </c>
      <c r="AB491" s="4" t="s">
        <v>2017</v>
      </c>
    </row>
    <row r="492" spans="25:28">
      <c r="Y492" s="4" t="str">
        <f t="shared" si="12"/>
        <v>051-20053704.8.0.1.5</v>
      </c>
      <c r="Z492" s="4" t="s">
        <v>967</v>
      </c>
      <c r="AA492" s="4" t="s">
        <v>2018</v>
      </c>
      <c r="AB492" s="4" t="s">
        <v>2019</v>
      </c>
    </row>
    <row r="493" spans="25:28">
      <c r="Y493" s="4" t="str">
        <f t="shared" si="12"/>
        <v>051-20053704.8.0.1.6</v>
      </c>
      <c r="Z493" s="4" t="s">
        <v>967</v>
      </c>
      <c r="AA493" s="4" t="s">
        <v>2020</v>
      </c>
      <c r="AB493" s="4" t="s">
        <v>2021</v>
      </c>
    </row>
    <row r="494" spans="25:28">
      <c r="Y494" s="4" t="str">
        <f t="shared" si="12"/>
        <v>051-20053704.8.0.1.7</v>
      </c>
      <c r="Z494" s="4" t="s">
        <v>967</v>
      </c>
      <c r="AA494" s="4" t="s">
        <v>2022</v>
      </c>
      <c r="AB494" s="4" t="s">
        <v>2023</v>
      </c>
    </row>
    <row r="495" spans="25:28">
      <c r="Y495" s="4" t="str">
        <f t="shared" si="12"/>
        <v>051-20053704.8.0.1.8</v>
      </c>
      <c r="Z495" s="4" t="s">
        <v>967</v>
      </c>
      <c r="AA495" s="4" t="s">
        <v>2024</v>
      </c>
      <c r="AB495" s="4" t="s">
        <v>2025</v>
      </c>
    </row>
    <row r="496" spans="25:28">
      <c r="Y496" s="4" t="str">
        <f t="shared" si="12"/>
        <v>051-20053704.8.0.1.9</v>
      </c>
      <c r="Z496" s="4" t="s">
        <v>967</v>
      </c>
      <c r="AA496" s="4" t="s">
        <v>2026</v>
      </c>
      <c r="AB496" s="4" t="s">
        <v>2027</v>
      </c>
    </row>
    <row r="497" spans="25:28">
      <c r="Y497" s="4" t="str">
        <f t="shared" si="12"/>
        <v>051-20053704.8.0.1.10</v>
      </c>
      <c r="Z497" s="4" t="s">
        <v>967</v>
      </c>
      <c r="AA497" s="4" t="s">
        <v>2028</v>
      </c>
      <c r="AB497" s="4" t="s">
        <v>2029</v>
      </c>
    </row>
    <row r="498" spans="25:28">
      <c r="Y498" s="4" t="str">
        <f t="shared" si="12"/>
        <v>051-20054742.1.1В.5</v>
      </c>
      <c r="Z498" s="4" t="s">
        <v>1059</v>
      </c>
      <c r="AA498" s="4" t="s">
        <v>2030</v>
      </c>
      <c r="AB498" s="4" t="s">
        <v>2031</v>
      </c>
    </row>
    <row r="499" spans="25:28">
      <c r="Y499" s="4" t="str">
        <f t="shared" si="12"/>
        <v>051-20054751.6.0.1</v>
      </c>
      <c r="Z499" s="4" t="s">
        <v>1071</v>
      </c>
      <c r="AA499" s="4" t="s">
        <v>2032</v>
      </c>
      <c r="AB499" s="4" t="s">
        <v>2033</v>
      </c>
    </row>
    <row r="500" spans="25:28">
      <c r="Y500" s="4" t="str">
        <f t="shared" si="12"/>
        <v>051-20054751.6.0.2</v>
      </c>
      <c r="Z500" s="4" t="s">
        <v>1071</v>
      </c>
      <c r="AA500" s="4" t="s">
        <v>2034</v>
      </c>
      <c r="AB500" s="4" t="s">
        <v>2035</v>
      </c>
    </row>
    <row r="501" spans="25:28">
      <c r="Y501" s="4" t="str">
        <f t="shared" si="12"/>
        <v>051-20054751.6.0.3</v>
      </c>
      <c r="Z501" s="4" t="s">
        <v>1071</v>
      </c>
      <c r="AA501" s="4" t="s">
        <v>2036</v>
      </c>
      <c r="AB501" s="4" t="s">
        <v>2037</v>
      </c>
    </row>
    <row r="502" spans="25:28">
      <c r="Y502" s="4" t="str">
        <f t="shared" si="12"/>
        <v>051-200548215.2.0.1</v>
      </c>
      <c r="Z502" s="4" t="s">
        <v>888</v>
      </c>
      <c r="AA502" s="4" t="s">
        <v>2038</v>
      </c>
      <c r="AB502" s="4" t="s">
        <v>2039</v>
      </c>
    </row>
    <row r="503" spans="25:28">
      <c r="Y503" s="4" t="str">
        <f t="shared" si="12"/>
        <v>051-200548215.3.0.4</v>
      </c>
      <c r="Z503" s="4" t="s">
        <v>888</v>
      </c>
      <c r="AA503" s="4" t="s">
        <v>2040</v>
      </c>
      <c r="AB503" s="4" t="s">
        <v>2039</v>
      </c>
    </row>
    <row r="504" spans="25:28">
      <c r="Y504" s="4" t="str">
        <f t="shared" si="12"/>
        <v>051-20054953.2.0.1</v>
      </c>
      <c r="Z504" s="4" t="s">
        <v>741</v>
      </c>
      <c r="AA504" s="4" t="s">
        <v>2041</v>
      </c>
      <c r="AB504" s="4" t="s">
        <v>2042</v>
      </c>
    </row>
    <row r="505" spans="25:28">
      <c r="Y505" s="4" t="str">
        <f t="shared" si="12"/>
        <v>051-20054953.2.0.2</v>
      </c>
      <c r="Z505" s="4" t="s">
        <v>741</v>
      </c>
      <c r="AA505" s="4" t="s">
        <v>2043</v>
      </c>
      <c r="AB505" s="4" t="s">
        <v>2044</v>
      </c>
    </row>
    <row r="506" spans="25:28">
      <c r="Y506" s="4" t="str">
        <f t="shared" si="12"/>
        <v>051-20054953.2.0.3</v>
      </c>
      <c r="Z506" s="4" t="s">
        <v>741</v>
      </c>
      <c r="AA506" s="4" t="s">
        <v>2045</v>
      </c>
      <c r="AB506" s="4" t="s">
        <v>2046</v>
      </c>
    </row>
    <row r="507" spans="25:28">
      <c r="Y507" s="4" t="str">
        <f t="shared" si="12"/>
        <v>051-20054953.2.0.4</v>
      </c>
      <c r="Z507" s="4" t="s">
        <v>741</v>
      </c>
      <c r="AA507" s="4" t="s">
        <v>2047</v>
      </c>
      <c r="AB507" s="4" t="s">
        <v>2048</v>
      </c>
    </row>
    <row r="508" spans="25:28">
      <c r="Y508" s="4" t="str">
        <f t="shared" si="12"/>
        <v>051-20054953.2.0.5</v>
      </c>
      <c r="Z508" s="4" t="s">
        <v>741</v>
      </c>
      <c r="AA508" s="4" t="s">
        <v>2049</v>
      </c>
      <c r="AB508" s="4" t="s">
        <v>2050</v>
      </c>
    </row>
    <row r="509" spans="25:28">
      <c r="Y509" s="4" t="str">
        <f t="shared" si="12"/>
        <v>051-20054953.2.0.6</v>
      </c>
      <c r="Z509" s="4" t="s">
        <v>741</v>
      </c>
      <c r="AA509" s="4" t="s">
        <v>2051</v>
      </c>
      <c r="AB509" s="4" t="s">
        <v>2052</v>
      </c>
    </row>
    <row r="510" spans="25:28">
      <c r="Y510" s="4" t="str">
        <f t="shared" si="12"/>
        <v>051-20054953.2.0.7</v>
      </c>
      <c r="Z510" s="4" t="s">
        <v>741</v>
      </c>
      <c r="AA510" s="4" t="s">
        <v>2053</v>
      </c>
      <c r="AB510" s="4" t="s">
        <v>2054</v>
      </c>
    </row>
    <row r="511" spans="25:28">
      <c r="Y511" s="4" t="str">
        <f t="shared" si="12"/>
        <v>051-20056778.4.1.4</v>
      </c>
      <c r="Z511" s="4" t="s">
        <v>1105</v>
      </c>
      <c r="AA511" s="4" t="s">
        <v>2055</v>
      </c>
      <c r="AB511" s="4" t="s">
        <v>2056</v>
      </c>
    </row>
    <row r="512" spans="25:28">
      <c r="Y512" s="4" t="str">
        <f t="shared" si="12"/>
        <v>051-20056778.6.1.1</v>
      </c>
      <c r="Z512" s="4" t="s">
        <v>1105</v>
      </c>
      <c r="AA512" s="4" t="s">
        <v>2057</v>
      </c>
      <c r="AB512" s="4" t="s">
        <v>2058</v>
      </c>
    </row>
    <row r="513" spans="25:28">
      <c r="Y513" s="4" t="str">
        <f t="shared" si="12"/>
        <v>051-200568511.4.1.1</v>
      </c>
      <c r="Z513" s="4" t="s">
        <v>821</v>
      </c>
      <c r="AA513" s="4" t="s">
        <v>2059</v>
      </c>
      <c r="AB513" s="4" t="s">
        <v>2060</v>
      </c>
    </row>
    <row r="514" spans="25:28">
      <c r="Y514" s="4" t="str">
        <f t="shared" si="12"/>
        <v>051-200568611.5.1.1</v>
      </c>
      <c r="Z514" s="4" t="s">
        <v>823</v>
      </c>
      <c r="AA514" s="4" t="s">
        <v>2061</v>
      </c>
      <c r="AB514" s="4" t="s">
        <v>2062</v>
      </c>
    </row>
    <row r="515" spans="25:28">
      <c r="Y515" s="4" t="str">
        <f t="shared" si="12"/>
        <v>051-2005689П.8.1.1</v>
      </c>
      <c r="Z515" s="4" t="s">
        <v>944</v>
      </c>
      <c r="AA515" s="4" t="s">
        <v>2063</v>
      </c>
      <c r="AB515" s="4" t="s">
        <v>2064</v>
      </c>
    </row>
    <row r="516" spans="25:28">
      <c r="Y516" s="4" t="str">
        <f t="shared" si="12"/>
        <v>051-20056903.8.0.1</v>
      </c>
      <c r="Z516" s="4" t="s">
        <v>747</v>
      </c>
      <c r="AA516" s="4" t="s">
        <v>2065</v>
      </c>
      <c r="AB516" s="4" t="s">
        <v>2066</v>
      </c>
    </row>
    <row r="517" spans="25:28">
      <c r="Y517" s="4" t="str">
        <f t="shared" si="12"/>
        <v>051-20056903.8.0.2</v>
      </c>
      <c r="Z517" s="4" t="s">
        <v>747</v>
      </c>
      <c r="AA517" s="4" t="s">
        <v>2067</v>
      </c>
      <c r="AB517" s="4" t="s">
        <v>2068</v>
      </c>
    </row>
    <row r="518" spans="25:28">
      <c r="Y518" s="4" t="str">
        <f t="shared" si="12"/>
        <v>051-20056903.8.0.3</v>
      </c>
      <c r="Z518" s="4" t="s">
        <v>747</v>
      </c>
      <c r="AA518" s="4" t="s">
        <v>2069</v>
      </c>
      <c r="AB518" s="4" t="s">
        <v>2070</v>
      </c>
    </row>
    <row r="519" spans="25:28">
      <c r="Y519" s="4" t="str">
        <f t="shared" ref="Y519:Y582" si="13">CONCATENATE(Z519,AA519)</f>
        <v>051-20056903.8.0.4</v>
      </c>
      <c r="Z519" s="4" t="s">
        <v>747</v>
      </c>
      <c r="AA519" s="4" t="s">
        <v>2071</v>
      </c>
      <c r="AB519" s="4" t="s">
        <v>2072</v>
      </c>
    </row>
    <row r="520" spans="25:28">
      <c r="Y520" s="4" t="str">
        <f t="shared" si="13"/>
        <v>051-20056903.8.0.5</v>
      </c>
      <c r="Z520" s="4" t="s">
        <v>747</v>
      </c>
      <c r="AA520" s="4" t="s">
        <v>2073</v>
      </c>
      <c r="AB520" s="4" t="s">
        <v>2074</v>
      </c>
    </row>
    <row r="521" spans="25:28">
      <c r="Y521" s="4" t="str">
        <f t="shared" si="13"/>
        <v>051-20056929.4.1.3</v>
      </c>
      <c r="Z521" s="4" t="s">
        <v>672</v>
      </c>
      <c r="AA521" s="4" t="s">
        <v>2075</v>
      </c>
      <c r="AB521" s="4" t="s">
        <v>2076</v>
      </c>
    </row>
    <row r="522" spans="25:28">
      <c r="Y522" s="4" t="str">
        <f t="shared" si="13"/>
        <v>051-20056943.4.1.1</v>
      </c>
      <c r="Z522" s="4" t="s">
        <v>739</v>
      </c>
      <c r="AA522" s="4" t="s">
        <v>2077</v>
      </c>
      <c r="AB522" s="4" t="s">
        <v>2078</v>
      </c>
    </row>
    <row r="523" spans="25:28">
      <c r="Y523" s="4" t="str">
        <f t="shared" si="13"/>
        <v>051-20056953.3.1.2</v>
      </c>
      <c r="Z523" s="4" t="s">
        <v>743</v>
      </c>
      <c r="AA523" s="4" t="s">
        <v>2079</v>
      </c>
      <c r="AB523" s="4" t="s">
        <v>2080</v>
      </c>
    </row>
    <row r="524" spans="25:28">
      <c r="Y524" s="4" t="str">
        <f t="shared" si="13"/>
        <v>051-20056953.3.2.1(2)</v>
      </c>
      <c r="Z524" s="4" t="s">
        <v>743</v>
      </c>
      <c r="AA524" s="4" t="s">
        <v>2081</v>
      </c>
      <c r="AB524" s="4" t="s">
        <v>2082</v>
      </c>
    </row>
    <row r="525" spans="25:28">
      <c r="Y525" s="4" t="str">
        <f t="shared" si="13"/>
        <v>051-20056953.3.3.2</v>
      </c>
      <c r="Z525" s="4" t="s">
        <v>743</v>
      </c>
      <c r="AA525" s="4" t="s">
        <v>2083</v>
      </c>
      <c r="AB525" s="4" t="s">
        <v>2084</v>
      </c>
    </row>
    <row r="526" spans="25:28">
      <c r="Y526" s="4" t="str">
        <f t="shared" si="13"/>
        <v>051-20056953.3.0.1</v>
      </c>
      <c r="Z526" s="4" t="s">
        <v>743</v>
      </c>
      <c r="AA526" s="4" t="s">
        <v>2085</v>
      </c>
      <c r="AB526" s="4" t="s">
        <v>2086</v>
      </c>
    </row>
    <row r="527" spans="25:28">
      <c r="Y527" s="4" t="str">
        <f t="shared" si="13"/>
        <v>051-20056963.8.0.1(3)</v>
      </c>
      <c r="Z527" s="4" t="s">
        <v>755</v>
      </c>
      <c r="AA527" s="4" t="s">
        <v>2087</v>
      </c>
      <c r="AB527" s="4" t="s">
        <v>2088</v>
      </c>
    </row>
    <row r="528" spans="25:28">
      <c r="Y528" s="4" t="str">
        <f t="shared" si="13"/>
        <v>051-20056963.8.0.2(3)</v>
      </c>
      <c r="Z528" s="4" t="s">
        <v>755</v>
      </c>
      <c r="AA528" s="4" t="s">
        <v>2089</v>
      </c>
      <c r="AB528" s="4" t="s">
        <v>2090</v>
      </c>
    </row>
    <row r="529" spans="25:28">
      <c r="Y529" s="4" t="str">
        <f t="shared" si="13"/>
        <v>051-20056963.8.0.3(3)</v>
      </c>
      <c r="Z529" s="4" t="s">
        <v>755</v>
      </c>
      <c r="AA529" s="4" t="s">
        <v>2091</v>
      </c>
      <c r="AB529" s="4" t="s">
        <v>2092</v>
      </c>
    </row>
    <row r="530" spans="25:28">
      <c r="Y530" s="4" t="str">
        <f t="shared" si="13"/>
        <v>051-20056963.8.0.6(2)</v>
      </c>
      <c r="Z530" s="4" t="s">
        <v>755</v>
      </c>
      <c r="AA530" s="4" t="s">
        <v>2093</v>
      </c>
      <c r="AB530" s="4" t="s">
        <v>2094</v>
      </c>
    </row>
    <row r="531" spans="25:28">
      <c r="Y531" s="4" t="str">
        <f t="shared" si="13"/>
        <v>051-20056972.3.1В.14</v>
      </c>
      <c r="Z531" s="4" t="s">
        <v>1075</v>
      </c>
      <c r="AA531" s="4" t="s">
        <v>2095</v>
      </c>
      <c r="AB531" s="4" t="s">
        <v>1076</v>
      </c>
    </row>
    <row r="532" spans="25:28">
      <c r="Y532" s="4" t="str">
        <f t="shared" si="13"/>
        <v>051-20056972.3.1В.15(2)</v>
      </c>
      <c r="Z532" s="4" t="s">
        <v>1075</v>
      </c>
      <c r="AA532" s="4" t="s">
        <v>2096</v>
      </c>
      <c r="AB532" s="4" t="s">
        <v>2097</v>
      </c>
    </row>
    <row r="533" spans="25:28">
      <c r="Y533" s="4" t="str">
        <f t="shared" si="13"/>
        <v>051-20056981.6.9.1</v>
      </c>
      <c r="Z533" s="4" t="s">
        <v>1073</v>
      </c>
      <c r="AA533" s="4" t="s">
        <v>2098</v>
      </c>
      <c r="AB533" s="4" t="s">
        <v>2099</v>
      </c>
    </row>
    <row r="534" spans="25:28">
      <c r="Y534" s="4" t="str">
        <f t="shared" si="13"/>
        <v>051-20056981.6.9.2</v>
      </c>
      <c r="Z534" s="4" t="s">
        <v>1073</v>
      </c>
      <c r="AA534" s="4" t="s">
        <v>2100</v>
      </c>
      <c r="AB534" s="4" t="s">
        <v>2101</v>
      </c>
    </row>
    <row r="535" spans="25:28">
      <c r="Y535" s="4" t="str">
        <f t="shared" si="13"/>
        <v>051-20056981.6.9.3</v>
      </c>
      <c r="Z535" s="4" t="s">
        <v>1073</v>
      </c>
      <c r="AA535" s="4" t="s">
        <v>2102</v>
      </c>
      <c r="AB535" s="4" t="s">
        <v>2103</v>
      </c>
    </row>
    <row r="536" spans="25:28">
      <c r="Y536" s="4" t="str">
        <f t="shared" si="13"/>
        <v>051-20056993.6.0.1</v>
      </c>
      <c r="Z536" s="4" t="s">
        <v>749</v>
      </c>
      <c r="AA536" s="4" t="s">
        <v>2104</v>
      </c>
      <c r="AB536" s="4" t="s">
        <v>2105</v>
      </c>
    </row>
    <row r="537" spans="25:28">
      <c r="Y537" s="4" t="str">
        <f t="shared" si="13"/>
        <v>051-20056993.6.0.2</v>
      </c>
      <c r="Z537" s="4" t="s">
        <v>749</v>
      </c>
      <c r="AA537" s="4" t="s">
        <v>2106</v>
      </c>
      <c r="AB537" s="4" t="s">
        <v>2107</v>
      </c>
    </row>
    <row r="538" spans="25:28">
      <c r="Y538" s="4" t="str">
        <f t="shared" si="13"/>
        <v>051-20056993.6.0.3.25</v>
      </c>
      <c r="Z538" s="4" t="s">
        <v>749</v>
      </c>
      <c r="AA538" s="4" t="s">
        <v>2108</v>
      </c>
      <c r="AB538" s="4" t="s">
        <v>2109</v>
      </c>
    </row>
    <row r="539" spans="25:28">
      <c r="Y539" s="4" t="str">
        <f t="shared" si="13"/>
        <v>051-200570019.3.1В.1</v>
      </c>
      <c r="Z539" s="4" t="s">
        <v>751</v>
      </c>
      <c r="AA539" s="4" t="s">
        <v>2110</v>
      </c>
      <c r="AB539" s="4" t="s">
        <v>2111</v>
      </c>
    </row>
    <row r="540" spans="25:28">
      <c r="Y540" s="4" t="str">
        <f t="shared" si="13"/>
        <v>051-200570019.3.1В.4</v>
      </c>
      <c r="Z540" s="4" t="s">
        <v>751</v>
      </c>
      <c r="AA540" s="4" t="s">
        <v>2112</v>
      </c>
      <c r="AB540" s="4" t="s">
        <v>2113</v>
      </c>
    </row>
    <row r="541" spans="25:28">
      <c r="Y541" s="4" t="str">
        <f t="shared" si="13"/>
        <v>051-200570019.3.1В.7</v>
      </c>
      <c r="Z541" s="4" t="s">
        <v>751</v>
      </c>
      <c r="AA541" s="4" t="s">
        <v>2114</v>
      </c>
      <c r="AB541" s="4" t="s">
        <v>2115</v>
      </c>
    </row>
    <row r="542" spans="25:28">
      <c r="Y542" s="4" t="str">
        <f t="shared" si="13"/>
        <v>051-200570019.3.2В.1</v>
      </c>
      <c r="Z542" s="4" t="s">
        <v>751</v>
      </c>
      <c r="AA542" s="4" t="s">
        <v>2116</v>
      </c>
      <c r="AB542" s="4" t="s">
        <v>2117</v>
      </c>
    </row>
    <row r="543" spans="25:28">
      <c r="Y543" s="4" t="str">
        <f t="shared" si="13"/>
        <v>051-200570019.3.2В.3</v>
      </c>
      <c r="Z543" s="4" t="s">
        <v>751</v>
      </c>
      <c r="AA543" s="4" t="s">
        <v>2118</v>
      </c>
      <c r="AB543" s="4" t="s">
        <v>2119</v>
      </c>
    </row>
    <row r="544" spans="25:28">
      <c r="Y544" s="4" t="str">
        <f t="shared" si="13"/>
        <v>051-200570019.3.2В.6.24</v>
      </c>
      <c r="Z544" s="4" t="s">
        <v>751</v>
      </c>
      <c r="AA544" s="4" t="s">
        <v>2120</v>
      </c>
      <c r="AB544" s="4" t="s">
        <v>2121</v>
      </c>
    </row>
    <row r="545" spans="25:28">
      <c r="Y545" s="4" t="str">
        <f t="shared" si="13"/>
        <v>051-20057016.4.0.1</v>
      </c>
      <c r="Z545" s="4" t="s">
        <v>837</v>
      </c>
      <c r="AA545" s="4" t="s">
        <v>2122</v>
      </c>
      <c r="AB545" s="4" t="s">
        <v>838</v>
      </c>
    </row>
    <row r="546" spans="25:28">
      <c r="Y546" s="4" t="str">
        <f t="shared" si="13"/>
        <v>051-20057026.1.0.3</v>
      </c>
      <c r="Z546" s="4" t="s">
        <v>841</v>
      </c>
      <c r="AA546" s="4" t="s">
        <v>2123</v>
      </c>
      <c r="AB546" s="4" t="s">
        <v>2124</v>
      </c>
    </row>
    <row r="547" spans="25:28">
      <c r="Y547" s="4" t="str">
        <f t="shared" si="13"/>
        <v>051-20057026.1.0.4</v>
      </c>
      <c r="Z547" s="4" t="s">
        <v>841</v>
      </c>
      <c r="AA547" s="4" t="s">
        <v>2125</v>
      </c>
      <c r="AB547" s="4" t="s">
        <v>2124</v>
      </c>
    </row>
    <row r="548" spans="25:28">
      <c r="Y548" s="4" t="str">
        <f t="shared" si="13"/>
        <v>051-20057026.1.0.5</v>
      </c>
      <c r="Z548" s="4" t="s">
        <v>841</v>
      </c>
      <c r="AA548" s="4" t="s">
        <v>2126</v>
      </c>
      <c r="AB548" s="4" t="s">
        <v>2127</v>
      </c>
    </row>
    <row r="549" spans="25:28">
      <c r="Y549" s="4" t="str">
        <f t="shared" si="13"/>
        <v>051-20057036.2.0.1</v>
      </c>
      <c r="Z549" s="4" t="s">
        <v>839</v>
      </c>
      <c r="AA549" s="4" t="s">
        <v>2128</v>
      </c>
      <c r="AB549" s="4" t="s">
        <v>2129</v>
      </c>
    </row>
    <row r="550" spans="25:28">
      <c r="Y550" s="4" t="str">
        <f t="shared" si="13"/>
        <v>051-20057036.2.0.1.25</v>
      </c>
      <c r="Z550" s="4" t="s">
        <v>839</v>
      </c>
      <c r="AA550" s="4" t="s">
        <v>2130</v>
      </c>
      <c r="AB550" s="4" t="s">
        <v>2131</v>
      </c>
    </row>
    <row r="551" spans="25:28">
      <c r="Y551" s="4" t="str">
        <f t="shared" si="13"/>
        <v>051-20057036.2.0.2.25</v>
      </c>
      <c r="Z551" s="4" t="s">
        <v>839</v>
      </c>
      <c r="AA551" s="4" t="s">
        <v>2132</v>
      </c>
      <c r="AB551" s="4" t="s">
        <v>2133</v>
      </c>
    </row>
    <row r="552" spans="25:28">
      <c r="Y552" s="4" t="str">
        <f t="shared" si="13"/>
        <v>051-20057036.2.0.3.25</v>
      </c>
      <c r="Z552" s="4" t="s">
        <v>839</v>
      </c>
      <c r="AA552" s="4" t="s">
        <v>2134</v>
      </c>
      <c r="AB552" s="4" t="s">
        <v>2135</v>
      </c>
    </row>
    <row r="553" spans="25:28">
      <c r="Y553" s="4" t="str">
        <f t="shared" si="13"/>
        <v>051-20057036.2.0.4.25</v>
      </c>
      <c r="Z553" s="4" t="s">
        <v>839</v>
      </c>
      <c r="AA553" s="4" t="s">
        <v>2136</v>
      </c>
      <c r="AB553" s="4" t="s">
        <v>2137</v>
      </c>
    </row>
    <row r="554" spans="25:28">
      <c r="Y554" s="4" t="str">
        <f t="shared" si="13"/>
        <v>051-20057069.6.1.1</v>
      </c>
      <c r="Z554" s="4" t="s">
        <v>670</v>
      </c>
      <c r="AA554" s="4" t="s">
        <v>2138</v>
      </c>
      <c r="AB554" s="4" t="s">
        <v>2139</v>
      </c>
    </row>
    <row r="555" spans="25:28">
      <c r="Y555" s="4" t="str">
        <f t="shared" si="13"/>
        <v>051-20057088.2.0.1</v>
      </c>
      <c r="Z555" s="4" t="s">
        <v>1107</v>
      </c>
      <c r="AA555" s="4" t="s">
        <v>2140</v>
      </c>
      <c r="AB555" s="4" t="s">
        <v>2141</v>
      </c>
    </row>
    <row r="556" spans="25:28">
      <c r="Y556" s="4" t="str">
        <f t="shared" si="13"/>
        <v>051-20057088.2.0.1(2)</v>
      </c>
      <c r="Z556" s="4" t="s">
        <v>1107</v>
      </c>
      <c r="AA556" s="4" t="s">
        <v>2142</v>
      </c>
      <c r="AB556" s="4" t="s">
        <v>2143</v>
      </c>
    </row>
    <row r="557" spans="25:28">
      <c r="Y557" s="4" t="str">
        <f t="shared" si="13"/>
        <v>051-20057088.2.0.1(3)</v>
      </c>
      <c r="Z557" s="4" t="s">
        <v>1107</v>
      </c>
      <c r="AA557" s="4" t="s">
        <v>2144</v>
      </c>
      <c r="AB557" s="4" t="s">
        <v>2145</v>
      </c>
    </row>
    <row r="558" spans="25:28">
      <c r="Y558" s="4" t="str">
        <f t="shared" si="13"/>
        <v>051-20057088.2.0.1(4)</v>
      </c>
      <c r="Z558" s="4" t="s">
        <v>1107</v>
      </c>
      <c r="AA558" s="4" t="s">
        <v>2146</v>
      </c>
      <c r="AB558" s="4" t="s">
        <v>2147</v>
      </c>
    </row>
    <row r="559" spans="25:28">
      <c r="Y559" s="4" t="str">
        <f t="shared" si="13"/>
        <v>051-20057088.2.0.2.24</v>
      </c>
      <c r="Z559" s="4" t="s">
        <v>1107</v>
      </c>
      <c r="AA559" s="4" t="s">
        <v>2148</v>
      </c>
      <c r="AB559" s="4" t="s">
        <v>2149</v>
      </c>
    </row>
    <row r="560" spans="25:28">
      <c r="Y560" s="4" t="str">
        <f t="shared" si="13"/>
        <v>051-20057088.2.0.2.24(2)</v>
      </c>
      <c r="Z560" s="4" t="s">
        <v>1107</v>
      </c>
      <c r="AA560" s="4" t="s">
        <v>2150</v>
      </c>
      <c r="AB560" s="4" t="s">
        <v>2151</v>
      </c>
    </row>
    <row r="561" spans="25:28">
      <c r="Y561" s="4" t="str">
        <f t="shared" si="13"/>
        <v>051-20057088.2.0.2.24(3)</v>
      </c>
      <c r="Z561" s="4" t="s">
        <v>1107</v>
      </c>
      <c r="AA561" s="4" t="s">
        <v>2152</v>
      </c>
      <c r="AB561" s="4" t="s">
        <v>2153</v>
      </c>
    </row>
    <row r="562" spans="25:28">
      <c r="Y562" s="4" t="str">
        <f t="shared" si="13"/>
        <v>051-20057088.2.0.2.24(4)</v>
      </c>
      <c r="Z562" s="4" t="s">
        <v>1107</v>
      </c>
      <c r="AA562" s="4" t="s">
        <v>2154</v>
      </c>
      <c r="AB562" s="4" t="s">
        <v>2155</v>
      </c>
    </row>
    <row r="563" spans="25:28">
      <c r="Y563" s="4" t="str">
        <f t="shared" si="13"/>
        <v>051-200571515.1.0.13</v>
      </c>
      <c r="Z563" s="4" t="s">
        <v>892</v>
      </c>
      <c r="AA563" s="4" t="s">
        <v>2156</v>
      </c>
      <c r="AB563" s="4" t="s">
        <v>2157</v>
      </c>
    </row>
    <row r="564" spans="25:28">
      <c r="Y564" s="4" t="str">
        <f t="shared" si="13"/>
        <v>051-200571515.1.0.5.23</v>
      </c>
      <c r="Z564" s="4" t="s">
        <v>892</v>
      </c>
      <c r="AA564" s="4" t="s">
        <v>2158</v>
      </c>
      <c r="AB564" s="4" t="s">
        <v>2157</v>
      </c>
    </row>
    <row r="565" spans="25:28">
      <c r="Y565" s="4" t="str">
        <f t="shared" si="13"/>
        <v>051-20058532.3.1В.15(3)</v>
      </c>
      <c r="Z565" s="4" t="s">
        <v>1077</v>
      </c>
      <c r="AA565" s="4" t="s">
        <v>2159</v>
      </c>
      <c r="AB565" s="4" t="s">
        <v>1078</v>
      </c>
    </row>
    <row r="566" spans="25:28">
      <c r="Y566" s="4" t="str">
        <f t="shared" si="13"/>
        <v>051-20058532.3.1В.16.25</v>
      </c>
      <c r="Z566" s="4" t="s">
        <v>1077</v>
      </c>
      <c r="AA566" s="4" t="s">
        <v>2160</v>
      </c>
      <c r="AB566" s="4" t="s">
        <v>2161</v>
      </c>
    </row>
    <row r="567" spans="25:28">
      <c r="Y567" s="4" t="str">
        <f t="shared" si="13"/>
        <v>051-20059775.1.0.8.2</v>
      </c>
      <c r="Z567" s="4" t="s">
        <v>955</v>
      </c>
      <c r="AA567" s="4" t="s">
        <v>2162</v>
      </c>
      <c r="AB567" s="4" t="s">
        <v>2163</v>
      </c>
    </row>
    <row r="568" spans="25:28">
      <c r="Y568" s="4" t="str">
        <f t="shared" si="13"/>
        <v>051-20059775.1.0.8.3</v>
      </c>
      <c r="Z568" s="4" t="s">
        <v>955</v>
      </c>
      <c r="AA568" s="4" t="s">
        <v>2164</v>
      </c>
      <c r="AB568" s="4" t="s">
        <v>2163</v>
      </c>
    </row>
    <row r="569" spans="25:28">
      <c r="Y569" s="4" t="str">
        <f t="shared" si="13"/>
        <v>051-20059775.1.0.8.4</v>
      </c>
      <c r="Z569" s="4" t="s">
        <v>955</v>
      </c>
      <c r="AA569" s="4" t="s">
        <v>2165</v>
      </c>
      <c r="AB569" s="4" t="s">
        <v>2163</v>
      </c>
    </row>
    <row r="570" spans="25:28">
      <c r="Y570" s="4" t="str">
        <f t="shared" si="13"/>
        <v>051-20059775.1.0.8.5</v>
      </c>
      <c r="Z570" s="4" t="s">
        <v>955</v>
      </c>
      <c r="AA570" s="4" t="s">
        <v>2166</v>
      </c>
      <c r="AB570" s="4" t="s">
        <v>2163</v>
      </c>
    </row>
    <row r="571" spans="25:28">
      <c r="Y571" s="4" t="str">
        <f t="shared" si="13"/>
        <v>051-20059775.1.0.8.6</v>
      </c>
      <c r="Z571" s="4" t="s">
        <v>955</v>
      </c>
      <c r="AA571" s="4" t="s">
        <v>2167</v>
      </c>
      <c r="AB571" s="4" t="s">
        <v>2163</v>
      </c>
    </row>
    <row r="572" spans="25:28">
      <c r="Y572" s="4" t="str">
        <f t="shared" si="13"/>
        <v>051-20059774.1.0.8.7</v>
      </c>
      <c r="Z572" s="4" t="s">
        <v>955</v>
      </c>
      <c r="AA572" s="4" t="s">
        <v>2168</v>
      </c>
      <c r="AB572" s="4" t="s">
        <v>1896</v>
      </c>
    </row>
    <row r="573" spans="25:28">
      <c r="Y573" s="4" t="str">
        <f t="shared" si="13"/>
        <v>051-20059774.1.0.8.8</v>
      </c>
      <c r="Z573" s="4" t="s">
        <v>955</v>
      </c>
      <c r="AA573" s="4" t="s">
        <v>2169</v>
      </c>
      <c r="AB573" s="4" t="s">
        <v>1896</v>
      </c>
    </row>
    <row r="574" spans="25:28">
      <c r="Y574" s="4" t="str">
        <f t="shared" si="13"/>
        <v>051-20059774.1.0.8.9</v>
      </c>
      <c r="Z574" s="4" t="s">
        <v>955</v>
      </c>
      <c r="AA574" s="4" t="s">
        <v>2170</v>
      </c>
      <c r="AB574" s="4" t="s">
        <v>1896</v>
      </c>
    </row>
    <row r="575" spans="25:28">
      <c r="Y575" s="4" t="str">
        <f t="shared" si="13"/>
        <v>051-20059775.1.0.8.8</v>
      </c>
      <c r="Z575" s="4" t="s">
        <v>955</v>
      </c>
      <c r="AA575" s="4" t="s">
        <v>2171</v>
      </c>
      <c r="AB575" s="4" t="s">
        <v>2172</v>
      </c>
    </row>
    <row r="576" spans="25:28">
      <c r="Y576" s="4" t="str">
        <f t="shared" si="13"/>
        <v>051-20059775.1.0.8.9</v>
      </c>
      <c r="Z576" s="4" t="s">
        <v>955</v>
      </c>
      <c r="AA576" s="4" t="s">
        <v>2173</v>
      </c>
      <c r="AB576" s="4" t="s">
        <v>2172</v>
      </c>
    </row>
    <row r="577" spans="25:28">
      <c r="Y577" s="4" t="str">
        <f t="shared" si="13"/>
        <v>051-20059775.1.0.8.10</v>
      </c>
      <c r="Z577" s="4" t="s">
        <v>955</v>
      </c>
      <c r="AA577" s="4" t="s">
        <v>2174</v>
      </c>
      <c r="AB577" s="4" t="s">
        <v>2172</v>
      </c>
    </row>
    <row r="578" spans="25:28">
      <c r="Y578" s="4" t="str">
        <f t="shared" si="13"/>
        <v>051-20059775.1.0.8.11</v>
      </c>
      <c r="Z578" s="4" t="s">
        <v>955</v>
      </c>
      <c r="AA578" s="4" t="s">
        <v>2175</v>
      </c>
      <c r="AB578" s="4" t="s">
        <v>2172</v>
      </c>
    </row>
    <row r="579" spans="25:28">
      <c r="Y579" s="4" t="str">
        <f t="shared" si="13"/>
        <v>051-20059775.1.0.8.12</v>
      </c>
      <c r="Z579" s="4" t="s">
        <v>955</v>
      </c>
      <c r="AA579" s="4" t="s">
        <v>2176</v>
      </c>
      <c r="AB579" s="4" t="s">
        <v>2172</v>
      </c>
    </row>
    <row r="580" spans="25:28">
      <c r="Y580" s="4" t="str">
        <f t="shared" si="13"/>
        <v>051-20059774.1.0.8.13</v>
      </c>
      <c r="Z580" s="4" t="s">
        <v>955</v>
      </c>
      <c r="AA580" s="4" t="s">
        <v>2177</v>
      </c>
      <c r="AB580" s="4" t="s">
        <v>1894</v>
      </c>
    </row>
    <row r="581" spans="25:28">
      <c r="Y581" s="4" t="str">
        <f t="shared" si="13"/>
        <v>051-20059774.1.0.8.14</v>
      </c>
      <c r="Z581" s="4" t="s">
        <v>955</v>
      </c>
      <c r="AA581" s="4" t="s">
        <v>2178</v>
      </c>
      <c r="AB581" s="4" t="s">
        <v>1894</v>
      </c>
    </row>
    <row r="582" spans="25:28">
      <c r="Y582" s="4" t="str">
        <f t="shared" si="13"/>
        <v>051-20059774.1.0.8.15</v>
      </c>
      <c r="Z582" s="4" t="s">
        <v>955</v>
      </c>
      <c r="AA582" s="4" t="s">
        <v>2179</v>
      </c>
      <c r="AB582" s="4" t="s">
        <v>2180</v>
      </c>
    </row>
    <row r="583" spans="25:28">
      <c r="Y583" s="4" t="str">
        <f t="shared" ref="Y583:Y646" si="14">CONCATENATE(Z583,AA583)</f>
        <v>051-20059774.1.0.8.16</v>
      </c>
      <c r="Z583" s="4" t="s">
        <v>955</v>
      </c>
      <c r="AA583" s="4" t="s">
        <v>2181</v>
      </c>
      <c r="AB583" s="4" t="s">
        <v>2180</v>
      </c>
    </row>
    <row r="584" spans="25:28">
      <c r="Y584" s="4" t="str">
        <f t="shared" si="14"/>
        <v>051-20059785.4.1АВ.3</v>
      </c>
      <c r="Z584" s="4" t="s">
        <v>961</v>
      </c>
      <c r="AA584" s="4" t="s">
        <v>2182</v>
      </c>
      <c r="AB584" s="4" t="s">
        <v>2183</v>
      </c>
    </row>
    <row r="585" spans="25:28">
      <c r="Y585" s="4" t="str">
        <f t="shared" si="14"/>
        <v>051-20059784.4.16.2</v>
      </c>
      <c r="Z585" s="4" t="s">
        <v>961</v>
      </c>
      <c r="AA585" s="4" t="s">
        <v>2184</v>
      </c>
      <c r="AB585" s="4" t="s">
        <v>2185</v>
      </c>
    </row>
    <row r="586" spans="25:28">
      <c r="Y586" s="4" t="str">
        <f t="shared" si="14"/>
        <v>051-20059785.4.2В.2</v>
      </c>
      <c r="Z586" s="4" t="s">
        <v>961</v>
      </c>
      <c r="AA586" s="4" t="s">
        <v>2186</v>
      </c>
      <c r="AB586" s="4" t="s">
        <v>2187</v>
      </c>
    </row>
    <row r="587" spans="25:28">
      <c r="Y587" s="4" t="str">
        <f t="shared" si="14"/>
        <v>051-20059785.4.8В.2</v>
      </c>
      <c r="Z587" s="4" t="s">
        <v>961</v>
      </c>
      <c r="AA587" s="4" t="s">
        <v>2188</v>
      </c>
      <c r="AB587" s="4" t="s">
        <v>2189</v>
      </c>
    </row>
    <row r="588" spans="25:28">
      <c r="Y588" s="4" t="str">
        <f t="shared" si="14"/>
        <v>051-20059784.4.2.2</v>
      </c>
      <c r="Z588" s="4" t="s">
        <v>961</v>
      </c>
      <c r="AA588" s="4" t="s">
        <v>2190</v>
      </c>
      <c r="AB588" s="4" t="s">
        <v>2191</v>
      </c>
    </row>
    <row r="589" spans="25:28">
      <c r="Y589" s="4" t="str">
        <f t="shared" si="14"/>
        <v>051-20059784.4.5.2</v>
      </c>
      <c r="Z589" s="4" t="s">
        <v>961</v>
      </c>
      <c r="AA589" s="4" t="s">
        <v>2192</v>
      </c>
      <c r="AB589" s="4" t="s">
        <v>2193</v>
      </c>
    </row>
    <row r="590" spans="25:28">
      <c r="Y590" s="4" t="str">
        <f t="shared" si="14"/>
        <v>051-20059784.4.8.2</v>
      </c>
      <c r="Z590" s="4" t="s">
        <v>961</v>
      </c>
      <c r="AA590" s="4" t="s">
        <v>2194</v>
      </c>
      <c r="AB590" s="4" t="s">
        <v>2195</v>
      </c>
    </row>
    <row r="591" spans="25:28">
      <c r="Y591" s="4" t="str">
        <f t="shared" si="14"/>
        <v>051-200598421.3.1.2</v>
      </c>
      <c r="Z591" s="4" t="s">
        <v>783</v>
      </c>
      <c r="AA591" s="4" t="s">
        <v>2196</v>
      </c>
      <c r="AB591" s="4" t="s">
        <v>2197</v>
      </c>
    </row>
    <row r="592" spans="25:28">
      <c r="Y592" s="4" t="str">
        <f t="shared" si="14"/>
        <v>051-200598421.3.1.3</v>
      </c>
      <c r="Z592" s="4" t="s">
        <v>783</v>
      </c>
      <c r="AA592" s="4" t="s">
        <v>2198</v>
      </c>
      <c r="AB592" s="4" t="s">
        <v>2199</v>
      </c>
    </row>
    <row r="593" spans="25:28">
      <c r="Y593" s="4" t="str">
        <f t="shared" si="14"/>
        <v>051-200598421.3.1.4</v>
      </c>
      <c r="Z593" s="4" t="s">
        <v>783</v>
      </c>
      <c r="AA593" s="4" t="s">
        <v>2200</v>
      </c>
      <c r="AB593" s="4" t="s">
        <v>2201</v>
      </c>
    </row>
    <row r="594" spans="25:28">
      <c r="Y594" s="4" t="str">
        <f t="shared" si="14"/>
        <v>051-200598421.3.1.5</v>
      </c>
      <c r="Z594" s="4" t="s">
        <v>783</v>
      </c>
      <c r="AA594" s="4" t="s">
        <v>2202</v>
      </c>
      <c r="AB594" s="4" t="s">
        <v>2203</v>
      </c>
    </row>
    <row r="595" spans="25:28">
      <c r="Y595" s="4" t="str">
        <f t="shared" si="14"/>
        <v>051-200598421.3.1.6</v>
      </c>
      <c r="Z595" s="4" t="s">
        <v>783</v>
      </c>
      <c r="AA595" s="4" t="s">
        <v>2204</v>
      </c>
      <c r="AB595" s="4" t="s">
        <v>2205</v>
      </c>
    </row>
    <row r="596" spans="25:28">
      <c r="Y596" s="4" t="str">
        <f t="shared" si="14"/>
        <v>051-200598421.3.1.7</v>
      </c>
      <c r="Z596" s="4" t="s">
        <v>783</v>
      </c>
      <c r="AA596" s="4" t="s">
        <v>2206</v>
      </c>
      <c r="AB596" s="4" t="s">
        <v>2207</v>
      </c>
    </row>
    <row r="597" spans="25:28">
      <c r="Y597" s="4" t="str">
        <f t="shared" si="14"/>
        <v>051-200598421.3.1.1.26</v>
      </c>
      <c r="Z597" s="4" t="s">
        <v>783</v>
      </c>
      <c r="AA597" s="4" t="s">
        <v>2208</v>
      </c>
      <c r="AB597" s="4" t="s">
        <v>2197</v>
      </c>
    </row>
    <row r="598" spans="25:28">
      <c r="Y598" s="4" t="str">
        <f t="shared" si="14"/>
        <v>051-20060213.5.0.1</v>
      </c>
      <c r="Z598" s="4" t="s">
        <v>745</v>
      </c>
      <c r="AA598" s="4" t="s">
        <v>2209</v>
      </c>
      <c r="AB598" s="4" t="s">
        <v>2210</v>
      </c>
    </row>
    <row r="599" spans="25:28">
      <c r="Y599" s="4" t="str">
        <f t="shared" si="14"/>
        <v>051-20060213.5.0.2</v>
      </c>
      <c r="Z599" s="4" t="s">
        <v>745</v>
      </c>
      <c r="AA599" s="4" t="s">
        <v>2211</v>
      </c>
      <c r="AB599" s="4" t="s">
        <v>2212</v>
      </c>
    </row>
    <row r="600" spans="25:28">
      <c r="Y600" s="4" t="str">
        <f t="shared" si="14"/>
        <v>051-20060213.5.0.3</v>
      </c>
      <c r="Z600" s="4" t="s">
        <v>745</v>
      </c>
      <c r="AA600" s="4" t="s">
        <v>2213</v>
      </c>
      <c r="AB600" s="4" t="s">
        <v>2214</v>
      </c>
    </row>
    <row r="601" spans="25:28">
      <c r="Y601" s="4" t="str">
        <f t="shared" si="14"/>
        <v>051-20060221.6.1В.1</v>
      </c>
      <c r="Z601" s="4" t="s">
        <v>1081</v>
      </c>
      <c r="AA601" s="4" t="s">
        <v>2215</v>
      </c>
      <c r="AB601" s="4" t="s">
        <v>2216</v>
      </c>
    </row>
    <row r="602" spans="25:28">
      <c r="Y602" s="4" t="str">
        <f t="shared" si="14"/>
        <v>051-20060221.6.1В.3</v>
      </c>
      <c r="Z602" s="4" t="s">
        <v>1081</v>
      </c>
      <c r="AA602" s="4" t="s">
        <v>2217</v>
      </c>
      <c r="AB602" s="4" t="s">
        <v>2218</v>
      </c>
    </row>
    <row r="603" spans="25:28">
      <c r="Y603" s="4" t="str">
        <f t="shared" si="14"/>
        <v>051-200617420.3.22.1</v>
      </c>
      <c r="Z603" s="4" t="s">
        <v>971</v>
      </c>
      <c r="AA603" s="4" t="s">
        <v>2219</v>
      </c>
      <c r="AB603" s="4" t="s">
        <v>2220</v>
      </c>
    </row>
    <row r="604" spans="25:28">
      <c r="Y604" s="4" t="str">
        <f t="shared" si="14"/>
        <v>051-200617420.3.22.2</v>
      </c>
      <c r="Z604" s="4" t="s">
        <v>971</v>
      </c>
      <c r="AA604" s="4" t="s">
        <v>2221</v>
      </c>
      <c r="AB604" s="4" t="s">
        <v>2222</v>
      </c>
    </row>
    <row r="605" spans="25:28">
      <c r="Y605" s="4" t="str">
        <f t="shared" si="14"/>
        <v>051-20061889.1.1.1</v>
      </c>
      <c r="Z605" s="4" t="s">
        <v>674</v>
      </c>
      <c r="AA605" s="4" t="s">
        <v>2223</v>
      </c>
      <c r="AB605" s="4" t="s">
        <v>2224</v>
      </c>
    </row>
    <row r="606" spans="25:28">
      <c r="Y606" s="4" t="str">
        <f t="shared" si="14"/>
        <v>051-20061889.1.1.2</v>
      </c>
      <c r="Z606" s="4" t="s">
        <v>674</v>
      </c>
      <c r="AA606" s="4" t="s">
        <v>2225</v>
      </c>
      <c r="AB606" s="4" t="s">
        <v>2226</v>
      </c>
    </row>
    <row r="607" spans="25:28">
      <c r="Y607" s="4" t="str">
        <f t="shared" si="14"/>
        <v>051-20061889.1.1.3</v>
      </c>
      <c r="Z607" s="4" t="s">
        <v>674</v>
      </c>
      <c r="AA607" s="4" t="s">
        <v>2227</v>
      </c>
      <c r="AB607" s="4" t="s">
        <v>2228</v>
      </c>
    </row>
    <row r="608" spans="25:28">
      <c r="Y608" s="4" t="str">
        <f t="shared" si="14"/>
        <v>051-20061889.1.1.4</v>
      </c>
      <c r="Z608" s="4" t="s">
        <v>674</v>
      </c>
      <c r="AA608" s="4" t="s">
        <v>2229</v>
      </c>
      <c r="AB608" s="4" t="s">
        <v>2230</v>
      </c>
    </row>
    <row r="609" spans="25:28">
      <c r="Y609" s="4" t="str">
        <f t="shared" si="14"/>
        <v>051-200627821.3.1.8</v>
      </c>
      <c r="Z609" s="4" t="s">
        <v>785</v>
      </c>
      <c r="AA609" s="4" t="s">
        <v>2231</v>
      </c>
      <c r="AB609" s="4" t="s">
        <v>2232</v>
      </c>
    </row>
    <row r="610" spans="25:28">
      <c r="Y610" s="4" t="str">
        <f t="shared" si="14"/>
        <v>051-200627821.3.1.9</v>
      </c>
      <c r="Z610" s="4" t="s">
        <v>785</v>
      </c>
      <c r="AA610" s="4" t="s">
        <v>2233</v>
      </c>
      <c r="AB610" s="4" t="s">
        <v>2234</v>
      </c>
    </row>
    <row r="611" spans="25:28">
      <c r="Y611" s="4" t="str">
        <f t="shared" si="14"/>
        <v>051-200627821.3.1.10</v>
      </c>
      <c r="Z611" s="4" t="s">
        <v>785</v>
      </c>
      <c r="AA611" s="4" t="s">
        <v>2235</v>
      </c>
      <c r="AB611" s="4" t="s">
        <v>2234</v>
      </c>
    </row>
    <row r="612" spans="25:28">
      <c r="Y612" s="4" t="str">
        <f t="shared" si="14"/>
        <v>051-200627821.3.1.11</v>
      </c>
      <c r="Z612" s="4" t="s">
        <v>785</v>
      </c>
      <c r="AA612" s="4" t="s">
        <v>2236</v>
      </c>
      <c r="AB612" s="4" t="s">
        <v>2237</v>
      </c>
    </row>
    <row r="613" spans="25:28">
      <c r="Y613" s="4" t="str">
        <f t="shared" si="14"/>
        <v>051-200634023.1.1.2.23</v>
      </c>
      <c r="Z613" s="4" t="s">
        <v>867</v>
      </c>
      <c r="AA613" s="4" t="s">
        <v>2238</v>
      </c>
      <c r="AB613" s="4" t="s">
        <v>2239</v>
      </c>
    </row>
    <row r="614" spans="25:28">
      <c r="Y614" s="4" t="str">
        <f t="shared" si="14"/>
        <v>051-200634111.1.1.11.23</v>
      </c>
      <c r="Z614" s="4" t="s">
        <v>825</v>
      </c>
      <c r="AA614" s="4" t="s">
        <v>2240</v>
      </c>
      <c r="AB614" s="4" t="s">
        <v>2239</v>
      </c>
    </row>
    <row r="615" spans="25:28">
      <c r="Y615" s="4" t="str">
        <f t="shared" si="14"/>
        <v>051-200634111.1.1.12.23</v>
      </c>
      <c r="Z615" s="4" t="s">
        <v>825</v>
      </c>
      <c r="AA615" s="4" t="s">
        <v>2241</v>
      </c>
      <c r="AB615" s="4" t="s">
        <v>2239</v>
      </c>
    </row>
    <row r="616" spans="25:28">
      <c r="Y616" s="4" t="str">
        <f t="shared" si="14"/>
        <v>051-20063429.8.0.2.24</v>
      </c>
      <c r="Z616" s="4" t="s">
        <v>678</v>
      </c>
      <c r="AA616" s="4" t="s">
        <v>2242</v>
      </c>
      <c r="AB616" s="4" t="s">
        <v>2243</v>
      </c>
    </row>
    <row r="617" spans="25:28">
      <c r="Y617" s="4" t="str">
        <f t="shared" si="14"/>
        <v>051-200634324.8.0.1.23</v>
      </c>
      <c r="Z617" s="4" t="s">
        <v>831</v>
      </c>
      <c r="AA617" s="4" t="s">
        <v>2244</v>
      </c>
      <c r="AB617" s="4" t="s">
        <v>2245</v>
      </c>
    </row>
    <row r="618" spans="25:28">
      <c r="Y618" s="4" t="str">
        <f t="shared" si="14"/>
        <v>051-200643726.2.3.1.24</v>
      </c>
      <c r="Z618" s="4" t="s">
        <v>793</v>
      </c>
      <c r="AA618" s="4" t="s">
        <v>2246</v>
      </c>
      <c r="AB618" s="4" t="s">
        <v>2247</v>
      </c>
    </row>
    <row r="619" spans="25:28">
      <c r="Y619" s="4" t="str">
        <f t="shared" si="14"/>
        <v>051-200643726.2.3.2.24</v>
      </c>
      <c r="Z619" s="4" t="s">
        <v>793</v>
      </c>
      <c r="AA619" s="4" t="s">
        <v>2248</v>
      </c>
      <c r="AB619" s="4" t="s">
        <v>2249</v>
      </c>
    </row>
    <row r="620" spans="25:28">
      <c r="Y620" s="4" t="str">
        <f t="shared" si="14"/>
        <v>051-200643726.2.3.3.24</v>
      </c>
      <c r="Z620" s="4" t="s">
        <v>793</v>
      </c>
      <c r="AA620" s="4" t="s">
        <v>2250</v>
      </c>
      <c r="AB620" s="4" t="s">
        <v>2251</v>
      </c>
    </row>
    <row r="621" spans="25:28">
      <c r="Y621" s="4" t="str">
        <f t="shared" si="14"/>
        <v>051-200643726.2.3.4.24</v>
      </c>
      <c r="Z621" s="4" t="s">
        <v>793</v>
      </c>
      <c r="AA621" s="4" t="s">
        <v>2252</v>
      </c>
      <c r="AB621" s="4" t="s">
        <v>2253</v>
      </c>
    </row>
    <row r="622" spans="25:28">
      <c r="Y622" s="4" t="str">
        <f t="shared" si="14"/>
        <v>051-200643726.8.3.6.24</v>
      </c>
      <c r="Z622" s="4" t="s">
        <v>793</v>
      </c>
      <c r="AA622" s="4" t="s">
        <v>2254</v>
      </c>
      <c r="AB622" s="4" t="s">
        <v>2255</v>
      </c>
    </row>
    <row r="623" spans="25:28">
      <c r="Y623" s="4" t="str">
        <f t="shared" si="14"/>
        <v>051-200643726.2.3.7.24</v>
      </c>
      <c r="Z623" s="4" t="s">
        <v>793</v>
      </c>
      <c r="AA623" s="4" t="s">
        <v>2256</v>
      </c>
      <c r="AB623" s="4" t="s">
        <v>2257</v>
      </c>
    </row>
    <row r="624" spans="25:28">
      <c r="Y624" s="4" t="str">
        <f t="shared" si="14"/>
        <v>051-200643726.6.3.8.24</v>
      </c>
      <c r="Z624" s="4" t="s">
        <v>793</v>
      </c>
      <c r="AA624" s="4" t="s">
        <v>2258</v>
      </c>
      <c r="AB624" s="4" t="s">
        <v>2259</v>
      </c>
    </row>
    <row r="625" spans="25:28">
      <c r="Y625" s="4" t="str">
        <f t="shared" si="14"/>
        <v>051-200643726.6.3.9.24</v>
      </c>
      <c r="Z625" s="4" t="s">
        <v>793</v>
      </c>
      <c r="AA625" s="4" t="s">
        <v>2260</v>
      </c>
      <c r="AB625" s="4" t="s">
        <v>2261</v>
      </c>
    </row>
    <row r="626" spans="25:28">
      <c r="Y626" s="4" t="str">
        <f t="shared" si="14"/>
        <v>051-200643726.7.3.17.24</v>
      </c>
      <c r="Z626" s="4" t="s">
        <v>793</v>
      </c>
      <c r="AA626" s="4" t="s">
        <v>2262</v>
      </c>
      <c r="AB626" s="4" t="s">
        <v>2263</v>
      </c>
    </row>
    <row r="627" spans="25:28">
      <c r="Y627" s="4" t="str">
        <f t="shared" si="14"/>
        <v>051-200643726.7.3.18.24</v>
      </c>
      <c r="Z627" s="4" t="s">
        <v>793</v>
      </c>
      <c r="AA627" s="4" t="s">
        <v>2264</v>
      </c>
      <c r="AB627" s="4" t="s">
        <v>2265</v>
      </c>
    </row>
    <row r="628" spans="25:28">
      <c r="Y628" s="4" t="str">
        <f t="shared" si="14"/>
        <v>051-200643726.7.3.19.24</v>
      </c>
      <c r="Z628" s="4" t="s">
        <v>793</v>
      </c>
      <c r="AA628" s="4" t="s">
        <v>2266</v>
      </c>
      <c r="AB628" s="4" t="s">
        <v>2267</v>
      </c>
    </row>
    <row r="629" spans="25:28">
      <c r="Y629" s="4" t="str">
        <f t="shared" si="14"/>
        <v>051-200643726.7.3.20.24</v>
      </c>
      <c r="Z629" s="4" t="s">
        <v>793</v>
      </c>
      <c r="AA629" s="4" t="s">
        <v>2268</v>
      </c>
      <c r="AB629" s="4" t="s">
        <v>2269</v>
      </c>
    </row>
    <row r="630" spans="25:28">
      <c r="Y630" s="4" t="str">
        <f t="shared" si="14"/>
        <v>051-200643726.7.3.21.24</v>
      </c>
      <c r="Z630" s="4" t="s">
        <v>793</v>
      </c>
      <c r="AA630" s="4" t="s">
        <v>2270</v>
      </c>
      <c r="AB630" s="4" t="s">
        <v>2271</v>
      </c>
    </row>
    <row r="631" spans="25:28">
      <c r="Y631" s="4" t="str">
        <f t="shared" si="14"/>
        <v>051-200643726.8.3.22.24</v>
      </c>
      <c r="Z631" s="4" t="s">
        <v>793</v>
      </c>
      <c r="AA631" s="4" t="s">
        <v>2272</v>
      </c>
      <c r="AB631" s="4" t="s">
        <v>2273</v>
      </c>
    </row>
    <row r="632" spans="25:28">
      <c r="Y632" s="4" t="str">
        <f t="shared" si="14"/>
        <v>051-200643921.3.1.13</v>
      </c>
      <c r="Z632" s="4" t="s">
        <v>789</v>
      </c>
      <c r="AA632" s="4" t="s">
        <v>2274</v>
      </c>
      <c r="AB632" s="4" t="s">
        <v>2275</v>
      </c>
    </row>
    <row r="633" spans="25:28">
      <c r="Y633" s="4" t="str">
        <f t="shared" si="14"/>
        <v>051-200643921.3.1.14</v>
      </c>
      <c r="Z633" s="4" t="s">
        <v>789</v>
      </c>
      <c r="AA633" s="4" t="s">
        <v>2276</v>
      </c>
      <c r="AB633" s="4" t="s">
        <v>2277</v>
      </c>
    </row>
    <row r="634" spans="25:28">
      <c r="Y634" s="4" t="str">
        <f t="shared" si="14"/>
        <v>051-200643921.3.1.15</v>
      </c>
      <c r="Z634" s="4" t="s">
        <v>789</v>
      </c>
      <c r="AA634" s="4" t="s">
        <v>2278</v>
      </c>
      <c r="AB634" s="4" t="s">
        <v>2232</v>
      </c>
    </row>
    <row r="635" spans="25:28">
      <c r="Y635" s="4" t="str">
        <f t="shared" si="14"/>
        <v>051-20064464.3.0.2.1</v>
      </c>
      <c r="Z635" s="4" t="s">
        <v>975</v>
      </c>
      <c r="AA635" s="4" t="s">
        <v>2279</v>
      </c>
      <c r="AB635" s="4" t="s">
        <v>2280</v>
      </c>
    </row>
    <row r="636" spans="25:28">
      <c r="Y636" s="4" t="str">
        <f t="shared" si="14"/>
        <v>051-20064464.3.0.2.2</v>
      </c>
      <c r="Z636" s="4" t="s">
        <v>975</v>
      </c>
      <c r="AA636" s="4" t="s">
        <v>2281</v>
      </c>
      <c r="AB636" s="4" t="s">
        <v>2282</v>
      </c>
    </row>
    <row r="637" spans="25:28">
      <c r="Y637" s="4" t="str">
        <f t="shared" si="14"/>
        <v>051-20064464.3.0.2.3</v>
      </c>
      <c r="Z637" s="4" t="s">
        <v>975</v>
      </c>
      <c r="AA637" s="4" t="s">
        <v>2283</v>
      </c>
      <c r="AB637" s="4" t="s">
        <v>2284</v>
      </c>
    </row>
    <row r="638" spans="25:28">
      <c r="Y638" s="4" t="str">
        <f t="shared" si="14"/>
        <v>051-20064464.3.0.2.4</v>
      </c>
      <c r="Z638" s="4" t="s">
        <v>975</v>
      </c>
      <c r="AA638" s="4" t="s">
        <v>2285</v>
      </c>
      <c r="AB638" s="4" t="s">
        <v>2286</v>
      </c>
    </row>
    <row r="639" spans="25:28">
      <c r="Y639" s="4" t="str">
        <f t="shared" si="14"/>
        <v>051-20064464.3.0.2.5</v>
      </c>
      <c r="Z639" s="4" t="s">
        <v>975</v>
      </c>
      <c r="AA639" s="4" t="s">
        <v>2287</v>
      </c>
      <c r="AB639" s="4" t="s">
        <v>2288</v>
      </c>
    </row>
    <row r="640" spans="25:28">
      <c r="Y640" s="4" t="str">
        <f t="shared" si="14"/>
        <v>051-20064484.3.0.2.6.1</v>
      </c>
      <c r="Z640" s="4" t="s">
        <v>977</v>
      </c>
      <c r="AA640" s="4" t="s">
        <v>2289</v>
      </c>
      <c r="AB640" s="4" t="s">
        <v>2290</v>
      </c>
    </row>
    <row r="641" spans="25:28">
      <c r="Y641" s="4" t="str">
        <f t="shared" si="14"/>
        <v>051-20064484.3.0.2.6.2</v>
      </c>
      <c r="Z641" s="4" t="s">
        <v>977</v>
      </c>
      <c r="AA641" s="4" t="s">
        <v>2291</v>
      </c>
      <c r="AB641" s="4" t="s">
        <v>2292</v>
      </c>
    </row>
    <row r="642" spans="25:28">
      <c r="Y642" s="4" t="str">
        <f t="shared" si="14"/>
        <v>051-20064484.3.0.2.7.1</v>
      </c>
      <c r="Z642" s="4" t="s">
        <v>977</v>
      </c>
      <c r="AA642" s="4" t="s">
        <v>2293</v>
      </c>
      <c r="AB642" s="4" t="s">
        <v>2294</v>
      </c>
    </row>
    <row r="643" spans="25:28">
      <c r="Y643" s="4" t="str">
        <f t="shared" si="14"/>
        <v>051-20064484.3.0.2.7.2</v>
      </c>
      <c r="Z643" s="4" t="s">
        <v>977</v>
      </c>
      <c r="AA643" s="4" t="s">
        <v>2295</v>
      </c>
      <c r="AB643" s="4" t="s">
        <v>2296</v>
      </c>
    </row>
    <row r="644" spans="25:28">
      <c r="Y644" s="4" t="str">
        <f t="shared" si="14"/>
        <v>051-200644915.1.0.3.24</v>
      </c>
      <c r="Z644" s="4" t="s">
        <v>874</v>
      </c>
      <c r="AA644" s="4" t="s">
        <v>2297</v>
      </c>
      <c r="AB644" s="4" t="s">
        <v>1390</v>
      </c>
    </row>
    <row r="645" spans="25:28">
      <c r="Y645" s="4" t="str">
        <f t="shared" si="14"/>
        <v>051-200644915.1.0.3.25</v>
      </c>
      <c r="Z645" s="4" t="s">
        <v>874</v>
      </c>
      <c r="AA645" s="4" t="s">
        <v>2298</v>
      </c>
      <c r="AB645" s="4" t="s">
        <v>1390</v>
      </c>
    </row>
    <row r="646" spans="25:28">
      <c r="Y646" s="4" t="str">
        <f t="shared" si="14"/>
        <v>051-200644915.1.0.1.26</v>
      </c>
      <c r="Z646" s="4" t="s">
        <v>874</v>
      </c>
      <c r="AA646" s="4" t="s">
        <v>2299</v>
      </c>
      <c r="AB646" s="4" t="s">
        <v>1390</v>
      </c>
    </row>
    <row r="647" spans="25:28">
      <c r="Y647" s="4" t="str">
        <f t="shared" ref="Y647:Y710" si="15">CONCATENATE(Z647,AA647)</f>
        <v>051-200645015.1.0.3.23</v>
      </c>
      <c r="Z647" s="4" t="s">
        <v>880</v>
      </c>
      <c r="AA647" s="4" t="s">
        <v>2300</v>
      </c>
      <c r="AB647" s="4" t="s">
        <v>2301</v>
      </c>
    </row>
    <row r="648" spans="25:28">
      <c r="Y648" s="4" t="str">
        <f t="shared" si="15"/>
        <v>051-200645115.3.10.1.23</v>
      </c>
      <c r="Z648" s="4" t="s">
        <v>894</v>
      </c>
      <c r="AA648" s="4" t="s">
        <v>2302</v>
      </c>
      <c r="AB648" s="4" t="s">
        <v>2303</v>
      </c>
    </row>
    <row r="649" spans="25:28">
      <c r="Y649" s="4" t="str">
        <f t="shared" si="15"/>
        <v>051-200646525.8.0.1.23</v>
      </c>
      <c r="Z649" s="4" t="s">
        <v>1007</v>
      </c>
      <c r="AA649" s="4" t="s">
        <v>2304</v>
      </c>
      <c r="AB649" s="4" t="s">
        <v>2305</v>
      </c>
    </row>
    <row r="650" spans="25:28">
      <c r="Y650" s="4" t="str">
        <f t="shared" si="15"/>
        <v>051-200650917.4.0.1.23</v>
      </c>
      <c r="Z650" s="4" t="s">
        <v>707</v>
      </c>
      <c r="AA650" s="4" t="s">
        <v>2306</v>
      </c>
      <c r="AB650" s="4" t="s">
        <v>2307</v>
      </c>
    </row>
    <row r="651" spans="25:28">
      <c r="Y651" s="4" t="str">
        <f t="shared" si="15"/>
        <v>051-200651017.4.0.2.23</v>
      </c>
      <c r="Z651" s="4" t="s">
        <v>709</v>
      </c>
      <c r="AA651" s="4" t="s">
        <v>2308</v>
      </c>
      <c r="AB651" s="4" t="s">
        <v>2309</v>
      </c>
    </row>
    <row r="652" spans="25:28">
      <c r="Y652" s="4" t="str">
        <f t="shared" si="15"/>
        <v>051-200651017.4.0.3.23</v>
      </c>
      <c r="Z652" s="4" t="s">
        <v>709</v>
      </c>
      <c r="AA652" s="4" t="s">
        <v>2310</v>
      </c>
      <c r="AB652" s="4" t="s">
        <v>2311</v>
      </c>
    </row>
    <row r="653" spans="25:28">
      <c r="Y653" s="4" t="str">
        <f t="shared" si="15"/>
        <v>051-200651017.4.0.4.23</v>
      </c>
      <c r="Z653" s="4" t="s">
        <v>709</v>
      </c>
      <c r="AA653" s="4" t="s">
        <v>2312</v>
      </c>
      <c r="AB653" s="4" t="s">
        <v>2313</v>
      </c>
    </row>
    <row r="654" spans="25:28">
      <c r="Y654" s="4" t="str">
        <f t="shared" si="15"/>
        <v>051-20065139.4.1.1.23</v>
      </c>
      <c r="Z654" s="4" t="s">
        <v>676</v>
      </c>
      <c r="AA654" s="4" t="s">
        <v>2314</v>
      </c>
      <c r="AB654" s="4" t="s">
        <v>2315</v>
      </c>
    </row>
    <row r="655" spans="25:28">
      <c r="Y655" s="4" t="str">
        <f t="shared" si="15"/>
        <v>051-20065139.4.1.1.26</v>
      </c>
      <c r="Z655" s="4" t="s">
        <v>676</v>
      </c>
      <c r="AA655" s="4" t="s">
        <v>2316</v>
      </c>
      <c r="AB655" s="4" t="s">
        <v>2317</v>
      </c>
    </row>
    <row r="656" spans="25:28">
      <c r="Y656" s="4" t="str">
        <f t="shared" si="15"/>
        <v>051-20065139.4.1.2.26</v>
      </c>
      <c r="Z656" s="4" t="s">
        <v>676</v>
      </c>
      <c r="AA656" s="4" t="s">
        <v>2318</v>
      </c>
      <c r="AB656" s="4" t="s">
        <v>2317</v>
      </c>
    </row>
    <row r="657" spans="25:28">
      <c r="Y657" s="4" t="str">
        <f t="shared" si="15"/>
        <v>051-20065139.4.1.2.23</v>
      </c>
      <c r="Z657" s="4" t="s">
        <v>676</v>
      </c>
      <c r="AA657" s="4" t="s">
        <v>2319</v>
      </c>
      <c r="AB657" s="4" t="s">
        <v>2320</v>
      </c>
    </row>
    <row r="658" spans="25:28">
      <c r="Y658" s="4" t="str">
        <f t="shared" si="15"/>
        <v>051-20065139.4.2.1.23</v>
      </c>
      <c r="Z658" s="4" t="s">
        <v>676</v>
      </c>
      <c r="AA658" s="4" t="s">
        <v>2321</v>
      </c>
      <c r="AB658" s="4" t="s">
        <v>2322</v>
      </c>
    </row>
    <row r="659" spans="25:28">
      <c r="Y659" s="4" t="str">
        <f t="shared" si="15"/>
        <v>051-20065139.4.2.2.23</v>
      </c>
      <c r="Z659" s="4" t="s">
        <v>676</v>
      </c>
      <c r="AA659" s="4" t="s">
        <v>2323</v>
      </c>
      <c r="AB659" s="4" t="s">
        <v>2324</v>
      </c>
    </row>
    <row r="660" spans="25:28">
      <c r="Y660" s="4" t="str">
        <f t="shared" si="15"/>
        <v>051-200651411.1.0.1.23</v>
      </c>
      <c r="Z660" s="4" t="s">
        <v>819</v>
      </c>
      <c r="AA660" s="4" t="s">
        <v>2325</v>
      </c>
      <c r="AB660" s="4" t="s">
        <v>2326</v>
      </c>
    </row>
    <row r="661" spans="25:28">
      <c r="Y661" s="4" t="str">
        <f t="shared" si="15"/>
        <v>051-200651411.1.0.2.23</v>
      </c>
      <c r="Z661" s="4" t="s">
        <v>819</v>
      </c>
      <c r="AA661" s="4" t="s">
        <v>2327</v>
      </c>
      <c r="AB661" s="4" t="s">
        <v>2326</v>
      </c>
    </row>
    <row r="662" spans="25:28">
      <c r="Y662" s="4" t="str">
        <f t="shared" si="15"/>
        <v>051-200651411.1.0.3.23</v>
      </c>
      <c r="Z662" s="4" t="s">
        <v>819</v>
      </c>
      <c r="AA662" s="4" t="s">
        <v>2328</v>
      </c>
      <c r="AB662" s="4" t="s">
        <v>2326</v>
      </c>
    </row>
    <row r="663" spans="25:28">
      <c r="Y663" s="4" t="str">
        <f t="shared" si="15"/>
        <v>051-200651512.1.0.1.23</v>
      </c>
      <c r="Z663" s="4" t="s">
        <v>729</v>
      </c>
      <c r="AA663" s="4" t="s">
        <v>2329</v>
      </c>
      <c r="AB663" s="4" t="s">
        <v>2326</v>
      </c>
    </row>
    <row r="664" spans="25:28">
      <c r="Y664" s="4" t="str">
        <f t="shared" si="15"/>
        <v>051-200651512.1.0.2.23</v>
      </c>
      <c r="Z664" s="4" t="s">
        <v>729</v>
      </c>
      <c r="AA664" s="4" t="s">
        <v>2330</v>
      </c>
      <c r="AB664" s="4" t="s">
        <v>2326</v>
      </c>
    </row>
    <row r="665" spans="25:28">
      <c r="Y665" s="4" t="str">
        <f t="shared" si="15"/>
        <v>051-200651712.4.1.1.23</v>
      </c>
      <c r="Z665" s="4" t="s">
        <v>733</v>
      </c>
      <c r="AA665" s="4" t="s">
        <v>2331</v>
      </c>
      <c r="AB665" s="4" t="s">
        <v>2332</v>
      </c>
    </row>
    <row r="666" spans="25:28">
      <c r="Y666" s="4" t="str">
        <f t="shared" si="15"/>
        <v>051-200651813.1.0.1.23</v>
      </c>
      <c r="Z666" s="4" t="s">
        <v>711</v>
      </c>
      <c r="AA666" s="4" t="s">
        <v>2333</v>
      </c>
      <c r="AB666" s="4" t="s">
        <v>2326</v>
      </c>
    </row>
    <row r="667" spans="25:28">
      <c r="Y667" s="4" t="str">
        <f t="shared" si="15"/>
        <v>051-200651813.1.0.2.23</v>
      </c>
      <c r="Z667" s="4" t="s">
        <v>711</v>
      </c>
      <c r="AA667" s="4" t="s">
        <v>2334</v>
      </c>
      <c r="AB667" s="4" t="s">
        <v>2326</v>
      </c>
    </row>
    <row r="668" spans="25:28">
      <c r="Y668" s="4" t="str">
        <f t="shared" si="15"/>
        <v>051-200651813.1.0.3.23</v>
      </c>
      <c r="Z668" s="4" t="s">
        <v>711</v>
      </c>
      <c r="AA668" s="4" t="s">
        <v>2335</v>
      </c>
      <c r="AB668" s="4" t="s">
        <v>2336</v>
      </c>
    </row>
    <row r="669" spans="25:28">
      <c r="Y669" s="4" t="str">
        <f t="shared" si="15"/>
        <v>051-200651914.1.0.1.23</v>
      </c>
      <c r="Z669" s="4" t="s">
        <v>723</v>
      </c>
      <c r="AA669" s="4" t="s">
        <v>2337</v>
      </c>
      <c r="AB669" s="4" t="s">
        <v>2326</v>
      </c>
    </row>
    <row r="670" spans="25:28">
      <c r="Y670" s="4" t="str">
        <f t="shared" si="15"/>
        <v>051-200651914.1.0.2.23</v>
      </c>
      <c r="Z670" s="4" t="s">
        <v>723</v>
      </c>
      <c r="AA670" s="4" t="s">
        <v>2338</v>
      </c>
      <c r="AB670" s="4" t="s">
        <v>2326</v>
      </c>
    </row>
    <row r="671" spans="25:28">
      <c r="Y671" s="4" t="str">
        <f t="shared" si="15"/>
        <v>051-200651914.1.0.3.23</v>
      </c>
      <c r="Z671" s="4" t="s">
        <v>723</v>
      </c>
      <c r="AA671" s="4" t="s">
        <v>2339</v>
      </c>
      <c r="AB671" s="4" t="s">
        <v>2326</v>
      </c>
    </row>
    <row r="672" spans="25:28">
      <c r="Y672" s="4" t="str">
        <f t="shared" si="15"/>
        <v>051-200652123.1.0.1.23</v>
      </c>
      <c r="Z672" s="4" t="s">
        <v>863</v>
      </c>
      <c r="AA672" s="4" t="s">
        <v>2340</v>
      </c>
      <c r="AB672" s="4" t="s">
        <v>2341</v>
      </c>
    </row>
    <row r="673" spans="25:28">
      <c r="Y673" s="4" t="str">
        <f t="shared" si="15"/>
        <v>051-200652123.1.0.2.23</v>
      </c>
      <c r="Z673" s="4" t="s">
        <v>863</v>
      </c>
      <c r="AA673" s="4" t="s">
        <v>2342</v>
      </c>
      <c r="AB673" s="4" t="s">
        <v>2341</v>
      </c>
    </row>
    <row r="674" spans="25:28">
      <c r="Y674" s="4" t="str">
        <f t="shared" si="15"/>
        <v>051-200652311.4.1.2.23</v>
      </c>
      <c r="Z674" s="4" t="s">
        <v>817</v>
      </c>
      <c r="AA674" s="4" t="s">
        <v>2343</v>
      </c>
      <c r="AB674" s="4" t="s">
        <v>2344</v>
      </c>
    </row>
    <row r="675" spans="25:28">
      <c r="Y675" s="4" t="str">
        <f t="shared" si="15"/>
        <v>051-200652311.4.1.4.23</v>
      </c>
      <c r="Z675" s="4" t="s">
        <v>817</v>
      </c>
      <c r="AA675" s="4" t="s">
        <v>2345</v>
      </c>
      <c r="AB675" s="4" t="s">
        <v>2346</v>
      </c>
    </row>
    <row r="676" spans="25:28">
      <c r="Y676" s="4" t="str">
        <f t="shared" si="15"/>
        <v>051-200652311.4.1.5.23</v>
      </c>
      <c r="Z676" s="4" t="s">
        <v>817</v>
      </c>
      <c r="AA676" s="4" t="s">
        <v>2347</v>
      </c>
      <c r="AB676" s="4" t="s">
        <v>2348</v>
      </c>
    </row>
    <row r="677" spans="25:28">
      <c r="Y677" s="4" t="str">
        <f t="shared" si="15"/>
        <v>051-200652311.4.1.6.23</v>
      </c>
      <c r="Z677" s="4" t="s">
        <v>817</v>
      </c>
      <c r="AA677" s="4" t="s">
        <v>2349</v>
      </c>
      <c r="AB677" s="4" t="s">
        <v>2350</v>
      </c>
    </row>
    <row r="678" spans="25:28">
      <c r="Y678" s="4" t="str">
        <f t="shared" si="15"/>
        <v>051-200652422.1.3.2.25</v>
      </c>
      <c r="Z678" s="4" t="s">
        <v>1015</v>
      </c>
      <c r="AA678" s="4" t="s">
        <v>2351</v>
      </c>
      <c r="AB678" s="4" t="s">
        <v>2352</v>
      </c>
    </row>
    <row r="679" spans="25:28">
      <c r="Y679" s="4" t="str">
        <f t="shared" si="15"/>
        <v>051-200652422.1.3.1.25</v>
      </c>
      <c r="Z679" s="4" t="s">
        <v>1015</v>
      </c>
      <c r="AA679" s="4" t="s">
        <v>2353</v>
      </c>
      <c r="AB679" s="4" t="s">
        <v>2354</v>
      </c>
    </row>
    <row r="680" spans="25:28">
      <c r="Y680" s="4" t="str">
        <f t="shared" si="15"/>
        <v>051-200652422.3.2.8.23</v>
      </c>
      <c r="Z680" s="4" t="s">
        <v>1015</v>
      </c>
      <c r="AA680" s="4" t="s">
        <v>2355</v>
      </c>
      <c r="AB680" s="4" t="s">
        <v>2356</v>
      </c>
    </row>
    <row r="681" spans="25:28">
      <c r="Y681" s="4" t="str">
        <f t="shared" si="15"/>
        <v>051-200652422.3.3.10.23</v>
      </c>
      <c r="Z681" s="4" t="s">
        <v>1015</v>
      </c>
      <c r="AA681" s="4" t="s">
        <v>2357</v>
      </c>
      <c r="AB681" s="4" t="s">
        <v>2358</v>
      </c>
    </row>
    <row r="682" spans="25:28">
      <c r="Y682" s="4" t="str">
        <f t="shared" si="15"/>
        <v>051-200652422.3.3.18.23</v>
      </c>
      <c r="Z682" s="4" t="s">
        <v>1015</v>
      </c>
      <c r="AA682" s="4" t="s">
        <v>2359</v>
      </c>
      <c r="AB682" s="4" t="s">
        <v>2360</v>
      </c>
    </row>
    <row r="683" spans="25:28">
      <c r="Y683" s="4" t="str">
        <f t="shared" si="15"/>
        <v>051-200652422.3.3.1.25</v>
      </c>
      <c r="Z683" s="4" t="s">
        <v>1015</v>
      </c>
      <c r="AA683" s="4" t="s">
        <v>2361</v>
      </c>
      <c r="AB683" s="4" t="s">
        <v>2362</v>
      </c>
    </row>
    <row r="684" spans="25:28">
      <c r="Y684" s="4" t="str">
        <f t="shared" si="15"/>
        <v>051-20065709.6.2.1.23</v>
      </c>
      <c r="Z684" s="4" t="s">
        <v>682</v>
      </c>
      <c r="AA684" s="4" t="s">
        <v>2363</v>
      </c>
      <c r="AB684" s="4" t="s">
        <v>2364</v>
      </c>
    </row>
    <row r="685" spans="25:28">
      <c r="Y685" s="4" t="str">
        <f t="shared" si="15"/>
        <v>051-20065719.8.1.1.23</v>
      </c>
      <c r="Z685" s="4" t="s">
        <v>680</v>
      </c>
      <c r="AA685" s="4" t="s">
        <v>2365</v>
      </c>
      <c r="AB685" s="4" t="s">
        <v>681</v>
      </c>
    </row>
    <row r="686" spans="25:28">
      <c r="Y686" s="4" t="str">
        <f t="shared" si="15"/>
        <v>051-20065723.4.2.1</v>
      </c>
      <c r="Z686" s="4" t="s">
        <v>757</v>
      </c>
      <c r="AA686" s="4" t="s">
        <v>2366</v>
      </c>
      <c r="AB686" s="4" t="s">
        <v>2367</v>
      </c>
    </row>
    <row r="687" spans="25:28">
      <c r="Y687" s="4" t="str">
        <f t="shared" si="15"/>
        <v>051-20065723.4.3.1</v>
      </c>
      <c r="Z687" s="4" t="s">
        <v>757</v>
      </c>
      <c r="AA687" s="4" t="s">
        <v>2368</v>
      </c>
      <c r="AB687" s="4" t="s">
        <v>2369</v>
      </c>
    </row>
    <row r="688" spans="25:28">
      <c r="Y688" s="4" t="str">
        <f t="shared" si="15"/>
        <v>051-20065731.1.1.3.25</v>
      </c>
      <c r="Z688" s="4" t="s">
        <v>1061</v>
      </c>
      <c r="AA688" s="4" t="s">
        <v>2370</v>
      </c>
      <c r="AB688" s="4" t="s">
        <v>2371</v>
      </c>
    </row>
    <row r="689" spans="25:28">
      <c r="Y689" s="4" t="str">
        <f t="shared" si="15"/>
        <v>051-20065731.1.2.1.25</v>
      </c>
      <c r="Z689" s="4" t="s">
        <v>1061</v>
      </c>
      <c r="AA689" s="4" t="s">
        <v>2372</v>
      </c>
      <c r="AB689" s="4" t="s">
        <v>2373</v>
      </c>
    </row>
    <row r="690" spans="25:28">
      <c r="Y690" s="4" t="str">
        <f t="shared" si="15"/>
        <v>051-20065731.1.2.2.25</v>
      </c>
      <c r="Z690" s="4" t="s">
        <v>1061</v>
      </c>
      <c r="AA690" s="4" t="s">
        <v>2374</v>
      </c>
      <c r="AB690" s="4" t="s">
        <v>2375</v>
      </c>
    </row>
    <row r="691" spans="25:28">
      <c r="Y691" s="4" t="str">
        <f t="shared" si="15"/>
        <v>051-20065731.1.3.1.25</v>
      </c>
      <c r="Z691" s="4" t="s">
        <v>1061</v>
      </c>
      <c r="AA691" s="4" t="s">
        <v>2376</v>
      </c>
      <c r="AB691" s="4" t="s">
        <v>2377</v>
      </c>
    </row>
    <row r="692" spans="25:28">
      <c r="Y692" s="4" t="str">
        <f t="shared" si="15"/>
        <v>051-20065731.1.3.2.25</v>
      </c>
      <c r="Z692" s="4" t="s">
        <v>1061</v>
      </c>
      <c r="AA692" s="4" t="s">
        <v>2378</v>
      </c>
      <c r="AB692" s="4" t="s">
        <v>2379</v>
      </c>
    </row>
    <row r="693" spans="25:28">
      <c r="Y693" s="4" t="str">
        <f t="shared" si="15"/>
        <v>051-20065731.1.3.1.25(2)</v>
      </c>
      <c r="Z693" s="4" t="s">
        <v>1061</v>
      </c>
      <c r="AA693" s="4" t="s">
        <v>2380</v>
      </c>
      <c r="AB693" s="4" t="s">
        <v>2381</v>
      </c>
    </row>
    <row r="694" spans="25:28">
      <c r="Y694" s="4" t="str">
        <f t="shared" si="15"/>
        <v>051-20065731.1.5.1.25</v>
      </c>
      <c r="Z694" s="4" t="s">
        <v>1061</v>
      </c>
      <c r="AA694" s="4" t="s">
        <v>2382</v>
      </c>
      <c r="AB694" s="4" t="s">
        <v>2383</v>
      </c>
    </row>
    <row r="695" spans="25:28">
      <c r="Y695" s="4" t="str">
        <f t="shared" si="15"/>
        <v>051-20065731.1.7.2.25</v>
      </c>
      <c r="Z695" s="4" t="s">
        <v>1061</v>
      </c>
      <c r="AA695" s="4" t="s">
        <v>2384</v>
      </c>
      <c r="AB695" s="4" t="s">
        <v>2385</v>
      </c>
    </row>
    <row r="696" spans="25:28">
      <c r="Y696" s="4" t="str">
        <f t="shared" si="15"/>
        <v>051-20065732.1.0.1.24</v>
      </c>
      <c r="Z696" s="4" t="s">
        <v>1061</v>
      </c>
      <c r="AA696" s="4" t="s">
        <v>2386</v>
      </c>
      <c r="AB696" s="4" t="s">
        <v>2387</v>
      </c>
    </row>
    <row r="697" spans="25:28">
      <c r="Y697" s="4" t="str">
        <f t="shared" si="15"/>
        <v>051-20065732.1.0.1.26</v>
      </c>
      <c r="Z697" s="4" t="s">
        <v>1061</v>
      </c>
      <c r="AA697" s="4" t="s">
        <v>2388</v>
      </c>
      <c r="AB697" s="4" t="s">
        <v>2389</v>
      </c>
    </row>
    <row r="698" spans="25:28">
      <c r="Y698" s="4" t="str">
        <f t="shared" si="15"/>
        <v>051-200658414.4.1.1.23</v>
      </c>
      <c r="Z698" s="4" t="s">
        <v>725</v>
      </c>
      <c r="AA698" s="4" t="s">
        <v>2390</v>
      </c>
      <c r="AB698" s="4" t="s">
        <v>2060</v>
      </c>
    </row>
    <row r="699" spans="25:28">
      <c r="Y699" s="4" t="str">
        <f t="shared" si="15"/>
        <v>051-20065856.7.1.1.23</v>
      </c>
      <c r="Z699" s="4" t="s">
        <v>843</v>
      </c>
      <c r="AA699" s="4" t="s">
        <v>2391</v>
      </c>
      <c r="AB699" s="4" t="s">
        <v>844</v>
      </c>
    </row>
    <row r="700" spans="25:28">
      <c r="Y700" s="4" t="str">
        <f t="shared" si="15"/>
        <v>051-20065866.7.1.2.23</v>
      </c>
      <c r="Z700" s="4" t="s">
        <v>845</v>
      </c>
      <c r="AA700" s="4" t="s">
        <v>2392</v>
      </c>
      <c r="AB700" s="4" t="s">
        <v>846</v>
      </c>
    </row>
    <row r="701" spans="25:28">
      <c r="Y701" s="4" t="str">
        <f t="shared" si="15"/>
        <v>051-200696222.1.3.25.24</v>
      </c>
      <c r="Z701" s="4" t="s">
        <v>1017</v>
      </c>
      <c r="AA701" s="4" t="s">
        <v>2393</v>
      </c>
      <c r="AB701" s="4" t="s">
        <v>2394</v>
      </c>
    </row>
    <row r="702" spans="25:28">
      <c r="Y702" s="4" t="str">
        <f t="shared" si="15"/>
        <v>051-200696222.3.3.19.24</v>
      </c>
      <c r="Z702" s="4" t="s">
        <v>1017</v>
      </c>
      <c r="AA702" s="4" t="s">
        <v>2395</v>
      </c>
      <c r="AB702" s="4" t="s">
        <v>2396</v>
      </c>
    </row>
    <row r="703" spans="25:28">
      <c r="Y703" s="4" t="str">
        <f t="shared" si="15"/>
        <v>051-200696222.3.3.23.24</v>
      </c>
      <c r="Z703" s="4" t="s">
        <v>1017</v>
      </c>
      <c r="AA703" s="4" t="s">
        <v>2397</v>
      </c>
      <c r="AB703" s="4" t="s">
        <v>2398</v>
      </c>
    </row>
    <row r="704" spans="25:28">
      <c r="Y704" s="4" t="str">
        <f t="shared" si="15"/>
        <v>051-200696222.3.3.2.25</v>
      </c>
      <c r="Z704" s="4" t="s">
        <v>1017</v>
      </c>
      <c r="AA704" s="4" t="s">
        <v>2399</v>
      </c>
      <c r="AB704" s="4" t="s">
        <v>2400</v>
      </c>
    </row>
    <row r="705" spans="25:28">
      <c r="Y705" s="4" t="str">
        <f t="shared" si="15"/>
        <v>051-200696222.3.3.3.25</v>
      </c>
      <c r="Z705" s="4" t="s">
        <v>1017</v>
      </c>
      <c r="AA705" s="4" t="s">
        <v>2401</v>
      </c>
      <c r="AB705" s="4" t="s">
        <v>2402</v>
      </c>
    </row>
    <row r="706" spans="25:28">
      <c r="Y706" s="4" t="str">
        <f t="shared" si="15"/>
        <v>051-200696222.3.3.4.25</v>
      </c>
      <c r="Z706" s="4" t="s">
        <v>1017</v>
      </c>
      <c r="AA706" s="4" t="s">
        <v>2403</v>
      </c>
      <c r="AB706" s="4" t="s">
        <v>2404</v>
      </c>
    </row>
    <row r="707" spans="25:28">
      <c r="Y707" s="4" t="str">
        <f t="shared" si="15"/>
        <v>051-200696222.3.3.27.24</v>
      </c>
      <c r="Z707" s="4" t="s">
        <v>1017</v>
      </c>
      <c r="AA707" s="4" t="s">
        <v>2405</v>
      </c>
      <c r="AB707" s="4" t="s">
        <v>2406</v>
      </c>
    </row>
    <row r="708" spans="25:28">
      <c r="Y708" s="4" t="str">
        <f t="shared" si="15"/>
        <v>051-200696222.3.3.29.24</v>
      </c>
      <c r="Z708" s="4" t="s">
        <v>1017</v>
      </c>
      <c r="AA708" s="4" t="s">
        <v>2407</v>
      </c>
      <c r="AB708" s="4" t="s">
        <v>2408</v>
      </c>
    </row>
    <row r="709" spans="25:28">
      <c r="Y709" s="4" t="str">
        <f t="shared" si="15"/>
        <v>051-200696222.3.3.30.24</v>
      </c>
      <c r="Z709" s="4" t="s">
        <v>1017</v>
      </c>
      <c r="AA709" s="4" t="s">
        <v>2409</v>
      </c>
      <c r="AB709" s="4" t="s">
        <v>2410</v>
      </c>
    </row>
    <row r="710" spans="25:28">
      <c r="Y710" s="4" t="str">
        <f t="shared" si="15"/>
        <v>051-200696222.3.3.31.24</v>
      </c>
      <c r="Z710" s="4" t="s">
        <v>1017</v>
      </c>
      <c r="AA710" s="4" t="s">
        <v>2411</v>
      </c>
      <c r="AB710" s="4" t="s">
        <v>2412</v>
      </c>
    </row>
    <row r="711" spans="25:28">
      <c r="Y711" s="4" t="str">
        <f t="shared" ref="Y711:Y774" si="16">CONCATENATE(Z711,AA711)</f>
        <v>051-200696222.3.3.42.24</v>
      </c>
      <c r="Z711" s="4" t="s">
        <v>1017</v>
      </c>
      <c r="AA711" s="4" t="s">
        <v>2413</v>
      </c>
      <c r="AB711" s="4" t="s">
        <v>2414</v>
      </c>
    </row>
    <row r="712" spans="25:28">
      <c r="Y712" s="4" t="str">
        <f t="shared" si="16"/>
        <v>051-200696222.3.3.43.24</v>
      </c>
      <c r="Z712" s="4" t="s">
        <v>1017</v>
      </c>
      <c r="AA712" s="4" t="s">
        <v>2415</v>
      </c>
      <c r="AB712" s="4" t="s">
        <v>2406</v>
      </c>
    </row>
    <row r="713" spans="25:28">
      <c r="Y713" s="4" t="str">
        <f t="shared" si="16"/>
        <v>051-200696222.3.3.45.24</v>
      </c>
      <c r="Z713" s="4" t="s">
        <v>1017</v>
      </c>
      <c r="AA713" s="4" t="s">
        <v>2416</v>
      </c>
      <c r="AB713" s="4" t="s">
        <v>2417</v>
      </c>
    </row>
    <row r="714" spans="25:28">
      <c r="Y714" s="4" t="str">
        <f t="shared" si="16"/>
        <v>051-200696222.3.3.49.24</v>
      </c>
      <c r="Z714" s="4" t="s">
        <v>1017</v>
      </c>
      <c r="AA714" s="4" t="s">
        <v>2418</v>
      </c>
      <c r="AB714" s="4" t="s">
        <v>2419</v>
      </c>
    </row>
    <row r="715" spans="25:28">
      <c r="Y715" s="4" t="str">
        <f t="shared" si="16"/>
        <v>051-200696222.3.3.53.24</v>
      </c>
      <c r="Z715" s="4" t="s">
        <v>1017</v>
      </c>
      <c r="AA715" s="4" t="s">
        <v>2420</v>
      </c>
      <c r="AB715" s="4" t="s">
        <v>2421</v>
      </c>
    </row>
    <row r="716" spans="25:28">
      <c r="Y716" s="4" t="str">
        <f t="shared" si="16"/>
        <v>051-200696222.3.3.5.25</v>
      </c>
      <c r="Z716" s="4" t="s">
        <v>1017</v>
      </c>
      <c r="AA716" s="4" t="s">
        <v>2422</v>
      </c>
      <c r="AB716" s="4" t="s">
        <v>2423</v>
      </c>
    </row>
    <row r="717" spans="25:28">
      <c r="Y717" s="4" t="str">
        <f t="shared" si="16"/>
        <v>051-200696222.3.3.55.24</v>
      </c>
      <c r="Z717" s="4" t="s">
        <v>1017</v>
      </c>
      <c r="AA717" s="4" t="s">
        <v>2424</v>
      </c>
      <c r="AB717" s="4" t="s">
        <v>2425</v>
      </c>
    </row>
    <row r="718" spans="25:28">
      <c r="Y718" s="4" t="str">
        <f t="shared" si="16"/>
        <v>051-200696222.3.3.59.24</v>
      </c>
      <c r="Z718" s="4" t="s">
        <v>1017</v>
      </c>
      <c r="AA718" s="4" t="s">
        <v>2426</v>
      </c>
      <c r="AB718" s="4" t="s">
        <v>2427</v>
      </c>
    </row>
    <row r="719" spans="25:28">
      <c r="Y719" s="4" t="str">
        <f t="shared" si="16"/>
        <v>051-200696222.3.3.6.25</v>
      </c>
      <c r="Z719" s="4" t="s">
        <v>1017</v>
      </c>
      <c r="AA719" s="4" t="s">
        <v>2428</v>
      </c>
      <c r="AB719" s="4" t="s">
        <v>2429</v>
      </c>
    </row>
    <row r="720" spans="25:28">
      <c r="Y720" s="4" t="str">
        <f t="shared" si="16"/>
        <v>051-200696222.3.3.7.25</v>
      </c>
      <c r="Z720" s="4" t="s">
        <v>1017</v>
      </c>
      <c r="AA720" s="4" t="s">
        <v>2430</v>
      </c>
      <c r="AB720" s="4" t="s">
        <v>2431</v>
      </c>
    </row>
    <row r="721" spans="25:28">
      <c r="Y721" s="4" t="str">
        <f t="shared" si="16"/>
        <v>051-200696222.3.3.8.26</v>
      </c>
      <c r="Z721" s="4" t="s">
        <v>1017</v>
      </c>
      <c r="AA721" s="4" t="s">
        <v>2432</v>
      </c>
      <c r="AB721" s="4" t="s">
        <v>2433</v>
      </c>
    </row>
    <row r="722" spans="25:28">
      <c r="Y722" s="4" t="str">
        <f t="shared" si="16"/>
        <v>051-200696222.3.3.9.26</v>
      </c>
      <c r="Z722" s="4" t="s">
        <v>1017</v>
      </c>
      <c r="AA722" s="4" t="s">
        <v>2434</v>
      </c>
      <c r="AB722" s="4" t="s">
        <v>2435</v>
      </c>
    </row>
    <row r="723" spans="25:28">
      <c r="Y723" s="4" t="str">
        <f t="shared" si="16"/>
        <v>051-200696222.3.3.10.26</v>
      </c>
      <c r="Z723" s="4" t="s">
        <v>1017</v>
      </c>
      <c r="AA723" s="4" t="s">
        <v>2436</v>
      </c>
      <c r="AB723" s="4" t="s">
        <v>2437</v>
      </c>
    </row>
    <row r="724" spans="25:28">
      <c r="Y724" s="4" t="str">
        <f t="shared" si="16"/>
        <v>051-200696222.3.3.11.26</v>
      </c>
      <c r="Z724" s="4" t="s">
        <v>1017</v>
      </c>
      <c r="AA724" s="4" t="s">
        <v>2438</v>
      </c>
      <c r="AB724" s="4" t="s">
        <v>2439</v>
      </c>
    </row>
    <row r="725" spans="25:28">
      <c r="Y725" s="4" t="str">
        <f t="shared" si="16"/>
        <v>051-200696222.4.3.74.24</v>
      </c>
      <c r="Z725" s="4" t="s">
        <v>1017</v>
      </c>
      <c r="AA725" s="4" t="s">
        <v>2440</v>
      </c>
      <c r="AB725" s="4" t="s">
        <v>2441</v>
      </c>
    </row>
    <row r="726" spans="25:28">
      <c r="Y726" s="4" t="str">
        <f t="shared" si="16"/>
        <v>051-200696222.4.3.9.25</v>
      </c>
      <c r="Z726" s="4" t="s">
        <v>1017</v>
      </c>
      <c r="AA726" s="4" t="s">
        <v>2442</v>
      </c>
      <c r="AB726" s="4" t="s">
        <v>2443</v>
      </c>
    </row>
    <row r="727" spans="25:28">
      <c r="Y727" s="4" t="str">
        <f t="shared" si="16"/>
        <v>051-200696222.4.3.10.25</v>
      </c>
      <c r="Z727" s="4" t="s">
        <v>1017</v>
      </c>
      <c r="AA727" s="4" t="s">
        <v>2444</v>
      </c>
      <c r="AB727" s="4" t="s">
        <v>2445</v>
      </c>
    </row>
    <row r="728" spans="25:28">
      <c r="Y728" s="4" t="str">
        <f t="shared" si="16"/>
        <v>051-200696222.4.3.13.25</v>
      </c>
      <c r="Z728" s="4" t="s">
        <v>1017</v>
      </c>
      <c r="AA728" s="4" t="s">
        <v>2446</v>
      </c>
      <c r="AB728" s="4" t="s">
        <v>2447</v>
      </c>
    </row>
    <row r="729" spans="25:28">
      <c r="Y729" s="4" t="str">
        <f t="shared" si="16"/>
        <v>051-200696222.4.3.14.25</v>
      </c>
      <c r="Z729" s="4" t="s">
        <v>1017</v>
      </c>
      <c r="AA729" s="4" t="s">
        <v>2448</v>
      </c>
      <c r="AB729" s="4" t="s">
        <v>2449</v>
      </c>
    </row>
    <row r="730" spans="25:28">
      <c r="Y730" s="4" t="str">
        <f t="shared" si="16"/>
        <v>051-200696222.4.3.15.25</v>
      </c>
      <c r="Z730" s="4" t="s">
        <v>1017</v>
      </c>
      <c r="AA730" s="4" t="s">
        <v>2450</v>
      </c>
      <c r="AB730" s="4" t="s">
        <v>2451</v>
      </c>
    </row>
    <row r="731" spans="25:28">
      <c r="Y731" s="4" t="str">
        <f t="shared" si="16"/>
        <v>051-200696222.4.3.17.25</v>
      </c>
      <c r="Z731" s="4" t="s">
        <v>1017</v>
      </c>
      <c r="AA731" s="4" t="s">
        <v>2452</v>
      </c>
      <c r="AB731" s="4" t="s">
        <v>2453</v>
      </c>
    </row>
    <row r="732" spans="25:28">
      <c r="Y732" s="4" t="str">
        <f t="shared" si="16"/>
        <v>051-200696222.4.3.18.25</v>
      </c>
      <c r="Z732" s="4" t="s">
        <v>1017</v>
      </c>
      <c r="AA732" s="4" t="s">
        <v>2454</v>
      </c>
      <c r="AB732" s="4" t="s">
        <v>2455</v>
      </c>
    </row>
    <row r="733" spans="25:28">
      <c r="Y733" s="4" t="str">
        <f t="shared" si="16"/>
        <v>051-20069656.3.1.1.24</v>
      </c>
      <c r="Z733" s="4" t="s">
        <v>847</v>
      </c>
      <c r="AA733" s="4" t="s">
        <v>2456</v>
      </c>
      <c r="AB733" s="4" t="s">
        <v>2457</v>
      </c>
    </row>
    <row r="734" spans="25:28">
      <c r="Y734" s="4" t="str">
        <f t="shared" si="16"/>
        <v>051-20069656.3.3.1.24</v>
      </c>
      <c r="Z734" s="4" t="s">
        <v>847</v>
      </c>
      <c r="AA734" s="4" t="s">
        <v>2458</v>
      </c>
      <c r="AB734" s="4" t="s">
        <v>2459</v>
      </c>
    </row>
    <row r="735" spans="25:28">
      <c r="Y735" s="4" t="str">
        <f t="shared" si="16"/>
        <v>051-20069656.3.4.1.24</v>
      </c>
      <c r="Z735" s="4" t="s">
        <v>847</v>
      </c>
      <c r="AA735" s="4" t="s">
        <v>2460</v>
      </c>
      <c r="AB735" s="4" t="s">
        <v>2461</v>
      </c>
    </row>
    <row r="736" spans="25:28">
      <c r="Y736" s="4" t="str">
        <f t="shared" si="16"/>
        <v>051-20069656.3.6.1.24</v>
      </c>
      <c r="Z736" s="4" t="s">
        <v>847</v>
      </c>
      <c r="AA736" s="4" t="s">
        <v>2462</v>
      </c>
      <c r="AB736" s="4" t="s">
        <v>2463</v>
      </c>
    </row>
    <row r="737" spans="25:28">
      <c r="Y737" s="4" t="str">
        <f t="shared" si="16"/>
        <v>051-20069656.3.8.1.24</v>
      </c>
      <c r="Z737" s="4" t="s">
        <v>847</v>
      </c>
      <c r="AA737" s="4" t="s">
        <v>2464</v>
      </c>
      <c r="AB737" s="4" t="s">
        <v>2465</v>
      </c>
    </row>
    <row r="738" spans="25:28">
      <c r="Y738" s="4" t="str">
        <f t="shared" si="16"/>
        <v>051-20069656.3.9.1.24</v>
      </c>
      <c r="Z738" s="4" t="s">
        <v>847</v>
      </c>
      <c r="AA738" s="4" t="s">
        <v>2466</v>
      </c>
      <c r="AB738" s="4" t="s">
        <v>2467</v>
      </c>
    </row>
    <row r="739" spans="25:28">
      <c r="Y739" s="4" t="str">
        <f t="shared" si="16"/>
        <v>051-20069656.3.1.2.24</v>
      </c>
      <c r="Z739" s="4" t="s">
        <v>847</v>
      </c>
      <c r="AA739" s="4" t="s">
        <v>2468</v>
      </c>
      <c r="AB739" s="4" t="s">
        <v>2469</v>
      </c>
    </row>
    <row r="740" spans="25:28">
      <c r="Y740" s="4" t="str">
        <f t="shared" si="16"/>
        <v>051-20069656.3.3.2.24</v>
      </c>
      <c r="Z740" s="4" t="s">
        <v>847</v>
      </c>
      <c r="AA740" s="4" t="s">
        <v>2470</v>
      </c>
      <c r="AB740" s="4" t="s">
        <v>2471</v>
      </c>
    </row>
    <row r="741" spans="25:28">
      <c r="Y741" s="4" t="str">
        <f t="shared" si="16"/>
        <v>051-20069656.3.4.2.24</v>
      </c>
      <c r="Z741" s="4" t="s">
        <v>847</v>
      </c>
      <c r="AA741" s="4" t="s">
        <v>2472</v>
      </c>
      <c r="AB741" s="4" t="s">
        <v>2473</v>
      </c>
    </row>
    <row r="742" spans="25:28">
      <c r="Y742" s="4" t="str">
        <f t="shared" si="16"/>
        <v>051-20069656.3.6.2.24</v>
      </c>
      <c r="Z742" s="4" t="s">
        <v>847</v>
      </c>
      <c r="AA742" s="4" t="s">
        <v>2474</v>
      </c>
      <c r="AB742" s="4" t="s">
        <v>2475</v>
      </c>
    </row>
    <row r="743" spans="25:28">
      <c r="Y743" s="4" t="str">
        <f t="shared" si="16"/>
        <v>051-20069656.3.8.2.24</v>
      </c>
      <c r="Z743" s="4" t="s">
        <v>847</v>
      </c>
      <c r="AA743" s="4" t="s">
        <v>2476</v>
      </c>
      <c r="AB743" s="4" t="s">
        <v>2477</v>
      </c>
    </row>
    <row r="744" spans="25:28">
      <c r="Y744" s="4" t="str">
        <f t="shared" si="16"/>
        <v>051-20069656.3.9.2.24</v>
      </c>
      <c r="Z744" s="4" t="s">
        <v>847</v>
      </c>
      <c r="AA744" s="4" t="s">
        <v>2478</v>
      </c>
      <c r="AB744" s="4" t="s">
        <v>2479</v>
      </c>
    </row>
    <row r="745" spans="25:28">
      <c r="Y745" s="4" t="str">
        <f t="shared" si="16"/>
        <v>051-20069656.4.1.1.24</v>
      </c>
      <c r="Z745" s="4" t="s">
        <v>847</v>
      </c>
      <c r="AA745" s="4" t="s">
        <v>2480</v>
      </c>
      <c r="AB745" s="4" t="s">
        <v>2481</v>
      </c>
    </row>
    <row r="746" spans="25:28">
      <c r="Y746" s="4" t="str">
        <f t="shared" si="16"/>
        <v>051-20069656.4.3.1.24</v>
      </c>
      <c r="Z746" s="4" t="s">
        <v>847</v>
      </c>
      <c r="AA746" s="4" t="s">
        <v>2482</v>
      </c>
      <c r="AB746" s="4" t="s">
        <v>2483</v>
      </c>
    </row>
    <row r="747" spans="25:28">
      <c r="Y747" s="4" t="str">
        <f t="shared" si="16"/>
        <v>051-20069656.4.4.1.24</v>
      </c>
      <c r="Z747" s="4" t="s">
        <v>847</v>
      </c>
      <c r="AA747" s="4" t="s">
        <v>2484</v>
      </c>
      <c r="AB747" s="4" t="s">
        <v>2485</v>
      </c>
    </row>
    <row r="748" spans="25:28">
      <c r="Y748" s="4" t="str">
        <f t="shared" si="16"/>
        <v>051-20069656.4.6.1.24</v>
      </c>
      <c r="Z748" s="4" t="s">
        <v>847</v>
      </c>
      <c r="AA748" s="4" t="s">
        <v>2486</v>
      </c>
      <c r="AB748" s="4" t="s">
        <v>2487</v>
      </c>
    </row>
    <row r="749" spans="25:28">
      <c r="Y749" s="4" t="str">
        <f t="shared" si="16"/>
        <v>051-20069656.4.8.1.24</v>
      </c>
      <c r="Z749" s="4" t="s">
        <v>847</v>
      </c>
      <c r="AA749" s="4" t="s">
        <v>2488</v>
      </c>
      <c r="AB749" s="4" t="s">
        <v>2489</v>
      </c>
    </row>
    <row r="750" spans="25:28">
      <c r="Y750" s="4" t="str">
        <f t="shared" si="16"/>
        <v>051-20069656.4.9.1.24</v>
      </c>
      <c r="Z750" s="4" t="s">
        <v>847</v>
      </c>
      <c r="AA750" s="4" t="s">
        <v>2490</v>
      </c>
      <c r="AB750" s="4" t="s">
        <v>2491</v>
      </c>
    </row>
    <row r="751" spans="25:28">
      <c r="Y751" s="4" t="str">
        <f t="shared" si="16"/>
        <v>051-20069668.3.0.1.24</v>
      </c>
      <c r="Z751" s="4" t="s">
        <v>1109</v>
      </c>
      <c r="AA751" s="4" t="s">
        <v>2492</v>
      </c>
      <c r="AB751" s="4" t="s">
        <v>2493</v>
      </c>
    </row>
    <row r="752" spans="25:28">
      <c r="Y752" s="4" t="str">
        <f t="shared" si="16"/>
        <v>051-20069668.4.0.1.24</v>
      </c>
      <c r="Z752" s="4" t="s">
        <v>1109</v>
      </c>
      <c r="AA752" s="4" t="s">
        <v>2494</v>
      </c>
      <c r="AB752" s="4" t="s">
        <v>2495</v>
      </c>
    </row>
    <row r="753" spans="25:28">
      <c r="Y753" s="4" t="str">
        <f t="shared" si="16"/>
        <v>051-20069679.8.0.1.24</v>
      </c>
      <c r="Z753" s="4" t="s">
        <v>684</v>
      </c>
      <c r="AA753" s="4" t="s">
        <v>2496</v>
      </c>
      <c r="AB753" s="4" t="s">
        <v>685</v>
      </c>
    </row>
    <row r="754" spans="25:28">
      <c r="Y754" s="4" t="str">
        <f t="shared" si="16"/>
        <v>051-20069689.8.2.1.24</v>
      </c>
      <c r="Z754" s="4" t="s">
        <v>686</v>
      </c>
      <c r="AA754" s="4" t="s">
        <v>2497</v>
      </c>
      <c r="AB754" s="4" t="s">
        <v>2498</v>
      </c>
    </row>
    <row r="755" spans="25:28">
      <c r="Y755" s="4" t="str">
        <f t="shared" si="16"/>
        <v>051-200709022.5.3.14.23</v>
      </c>
      <c r="Z755" s="4" t="s">
        <v>1019</v>
      </c>
      <c r="AA755" s="4" t="s">
        <v>2499</v>
      </c>
      <c r="AB755" s="4" t="s">
        <v>2500</v>
      </c>
    </row>
    <row r="756" spans="25:28">
      <c r="Y756" s="4" t="str">
        <f t="shared" si="16"/>
        <v>051-200709022.5.3.3.25</v>
      </c>
      <c r="Z756" s="4" t="s">
        <v>1019</v>
      </c>
      <c r="AA756" s="4" t="s">
        <v>2501</v>
      </c>
      <c r="AB756" s="4" t="s">
        <v>2502</v>
      </c>
    </row>
    <row r="757" spans="25:28">
      <c r="Y757" s="4" t="str">
        <f t="shared" si="16"/>
        <v>051-200709022.5.3.16.23</v>
      </c>
      <c r="Z757" s="4" t="s">
        <v>1019</v>
      </c>
      <c r="AA757" s="4" t="s">
        <v>2503</v>
      </c>
      <c r="AB757" s="4" t="s">
        <v>2504</v>
      </c>
    </row>
    <row r="758" spans="25:28">
      <c r="Y758" s="4" t="str">
        <f t="shared" si="16"/>
        <v>051-200709022.5.3.15.23</v>
      </c>
      <c r="Z758" s="4" t="s">
        <v>1019</v>
      </c>
      <c r="AA758" s="4" t="s">
        <v>2505</v>
      </c>
      <c r="AB758" s="4" t="s">
        <v>2506</v>
      </c>
    </row>
    <row r="759" spans="25:28">
      <c r="Y759" s="4" t="str">
        <f t="shared" si="16"/>
        <v>051-200709022.5.3.13.23</v>
      </c>
      <c r="Z759" s="4" t="s">
        <v>1019</v>
      </c>
      <c r="AA759" s="4" t="s">
        <v>2507</v>
      </c>
      <c r="AB759" s="4" t="s">
        <v>2508</v>
      </c>
    </row>
    <row r="760" spans="25:28">
      <c r="Y760" s="4" t="str">
        <f t="shared" si="16"/>
        <v>051-200709022.5.3.11.23</v>
      </c>
      <c r="Z760" s="4" t="s">
        <v>1019</v>
      </c>
      <c r="AA760" s="4" t="s">
        <v>2509</v>
      </c>
      <c r="AB760" s="4" t="s">
        <v>2510</v>
      </c>
    </row>
    <row r="761" spans="25:28">
      <c r="Y761" s="4" t="str">
        <f t="shared" si="16"/>
        <v>051-200709022.5.3.1.25</v>
      </c>
      <c r="Z761" s="4" t="s">
        <v>1019</v>
      </c>
      <c r="AA761" s="4" t="s">
        <v>2511</v>
      </c>
      <c r="AB761" s="4" t="s">
        <v>2512</v>
      </c>
    </row>
    <row r="762" spans="25:28">
      <c r="Y762" s="4" t="str">
        <f t="shared" si="16"/>
        <v>051-200709022.5.3.2.25</v>
      </c>
      <c r="Z762" s="4" t="s">
        <v>1019</v>
      </c>
      <c r="AA762" s="4" t="s">
        <v>2513</v>
      </c>
      <c r="AB762" s="4" t="s">
        <v>2514</v>
      </c>
    </row>
    <row r="763" spans="25:28">
      <c r="Y763" s="4" t="str">
        <f t="shared" si="16"/>
        <v>051-200709022.6.3.77.24</v>
      </c>
      <c r="Z763" s="4" t="s">
        <v>1019</v>
      </c>
      <c r="AA763" s="4" t="s">
        <v>2515</v>
      </c>
      <c r="AB763" s="4" t="s">
        <v>2516</v>
      </c>
    </row>
    <row r="764" spans="25:28">
      <c r="Y764" s="4" t="str">
        <f t="shared" si="16"/>
        <v>051-200709022.6.3.12.23</v>
      </c>
      <c r="Z764" s="4" t="s">
        <v>1019</v>
      </c>
      <c r="AA764" s="4" t="s">
        <v>2517</v>
      </c>
      <c r="AB764" s="4" t="s">
        <v>2518</v>
      </c>
    </row>
    <row r="765" spans="25:28">
      <c r="Y765" s="4" t="str">
        <f t="shared" si="16"/>
        <v>051-200709022.8.3.76.24</v>
      </c>
      <c r="Z765" s="4" t="s">
        <v>1019</v>
      </c>
      <c r="AA765" s="4" t="s">
        <v>2519</v>
      </c>
      <c r="AB765" s="4" t="s">
        <v>2520</v>
      </c>
    </row>
    <row r="766" spans="25:28">
      <c r="Y766" s="4" t="str">
        <f t="shared" si="16"/>
        <v>051-200709022.8.3.16.23</v>
      </c>
      <c r="Z766" s="4" t="s">
        <v>1019</v>
      </c>
      <c r="AA766" s="4" t="s">
        <v>2521</v>
      </c>
      <c r="AB766" s="4" t="s">
        <v>2522</v>
      </c>
    </row>
    <row r="767" spans="25:28">
      <c r="Y767" s="4" t="str">
        <f t="shared" si="16"/>
        <v>051-200709022.8.3.1.25</v>
      </c>
      <c r="Z767" s="4" t="s">
        <v>1019</v>
      </c>
      <c r="AA767" s="4" t="s">
        <v>2523</v>
      </c>
      <c r="AB767" s="4" t="s">
        <v>2524</v>
      </c>
    </row>
    <row r="768" spans="25:28">
      <c r="Y768" s="4" t="str">
        <f t="shared" si="16"/>
        <v>051-200709022.8.3.17.25</v>
      </c>
      <c r="Z768" s="4" t="s">
        <v>1019</v>
      </c>
      <c r="AA768" s="4" t="s">
        <v>2525</v>
      </c>
      <c r="AB768" s="4" t="s">
        <v>2526</v>
      </c>
    </row>
    <row r="769" spans="25:28">
      <c r="Y769" s="4" t="str">
        <f t="shared" si="16"/>
        <v>051-200709022.8.3.18.25</v>
      </c>
      <c r="Z769" s="4" t="s">
        <v>1019</v>
      </c>
      <c r="AA769" s="4" t="s">
        <v>2527</v>
      </c>
      <c r="AB769" s="4" t="s">
        <v>2528</v>
      </c>
    </row>
    <row r="770" spans="25:28">
      <c r="Y770" s="4" t="str">
        <f t="shared" si="16"/>
        <v>051-200709919.3.1В.1.25</v>
      </c>
      <c r="Z770" s="4" t="s">
        <v>759</v>
      </c>
      <c r="AA770" s="4" t="s">
        <v>2529</v>
      </c>
      <c r="AB770" s="4" t="s">
        <v>2530</v>
      </c>
    </row>
    <row r="771" spans="25:28">
      <c r="Y771" s="4" t="str">
        <f t="shared" si="16"/>
        <v>051-200709919.3.2В.1.25</v>
      </c>
      <c r="Z771" s="4" t="s">
        <v>759</v>
      </c>
      <c r="AA771" s="4" t="s">
        <v>2531</v>
      </c>
      <c r="AB771" s="4" t="s">
        <v>2532</v>
      </c>
    </row>
    <row r="772" spans="25:28">
      <c r="Y772" s="4" t="str">
        <f t="shared" si="16"/>
        <v>051-200710011.3.1.2.25</v>
      </c>
      <c r="Z772" s="4" t="s">
        <v>827</v>
      </c>
      <c r="AA772" s="4" t="s">
        <v>2533</v>
      </c>
      <c r="AB772" s="4" t="s">
        <v>2534</v>
      </c>
    </row>
    <row r="773" spans="25:28">
      <c r="Y773" s="4" t="str">
        <f t="shared" si="16"/>
        <v>051-200710011.8.1.1.25</v>
      </c>
      <c r="Z773" s="4" t="s">
        <v>827</v>
      </c>
      <c r="AA773" s="4" t="s">
        <v>2535</v>
      </c>
      <c r="AB773" s="4" t="s">
        <v>2536</v>
      </c>
    </row>
    <row r="774" spans="25:28">
      <c r="Y774" s="4" t="str">
        <f t="shared" si="16"/>
        <v>051-200710113.2.1.1.25</v>
      </c>
      <c r="Z774" s="4" t="s">
        <v>727</v>
      </c>
      <c r="AA774" s="4" t="s">
        <v>2537</v>
      </c>
      <c r="AB774" s="4" t="s">
        <v>2538</v>
      </c>
    </row>
    <row r="775" spans="25:28">
      <c r="Y775" s="4" t="str">
        <f t="shared" ref="Y775:Y838" si="17">CONCATENATE(Z775,AA775)</f>
        <v>051-200710113.2.1.2.25</v>
      </c>
      <c r="Z775" s="4" t="s">
        <v>727</v>
      </c>
      <c r="AA775" s="4" t="s">
        <v>2539</v>
      </c>
      <c r="AB775" s="4" t="s">
        <v>2540</v>
      </c>
    </row>
    <row r="776" spans="25:28">
      <c r="Y776" s="4" t="str">
        <f t="shared" si="17"/>
        <v>051-200710222.3.3.8.25</v>
      </c>
      <c r="Z776" s="4" t="s">
        <v>1021</v>
      </c>
      <c r="AA776" s="4" t="s">
        <v>2541</v>
      </c>
      <c r="AB776" s="4" t="s">
        <v>2542</v>
      </c>
    </row>
    <row r="777" spans="25:28">
      <c r="Y777" s="4" t="str">
        <f t="shared" si="17"/>
        <v>051-200710222.3.3.9.25</v>
      </c>
      <c r="Z777" s="4" t="s">
        <v>1021</v>
      </c>
      <c r="AA777" s="4" t="s">
        <v>2543</v>
      </c>
      <c r="AB777" s="4" t="s">
        <v>2544</v>
      </c>
    </row>
    <row r="778" spans="25:28">
      <c r="Y778" s="4" t="str">
        <f t="shared" si="17"/>
        <v>051-200710222.3.3.10.25</v>
      </c>
      <c r="Z778" s="4" t="s">
        <v>1021</v>
      </c>
      <c r="AA778" s="4" t="s">
        <v>2545</v>
      </c>
      <c r="AB778" s="4" t="s">
        <v>2546</v>
      </c>
    </row>
    <row r="779" spans="25:28">
      <c r="Y779" s="4" t="str">
        <f t="shared" si="17"/>
        <v>051-200710222.3.3.11.25</v>
      </c>
      <c r="Z779" s="4" t="s">
        <v>1021</v>
      </c>
      <c r="AA779" s="4" t="s">
        <v>2547</v>
      </c>
      <c r="AB779" s="4" t="s">
        <v>2548</v>
      </c>
    </row>
    <row r="780" spans="25:28">
      <c r="Y780" s="4" t="str">
        <f t="shared" si="17"/>
        <v>051-200710222.3.3.12.25</v>
      </c>
      <c r="Z780" s="4" t="s">
        <v>1021</v>
      </c>
      <c r="AA780" s="4" t="s">
        <v>2549</v>
      </c>
      <c r="AB780" s="4" t="s">
        <v>2550</v>
      </c>
    </row>
    <row r="781" spans="25:28">
      <c r="Y781" s="4" t="str">
        <f t="shared" si="17"/>
        <v>051-200710222.3.3.13.25</v>
      </c>
      <c r="Z781" s="4" t="s">
        <v>1021</v>
      </c>
      <c r="AA781" s="4" t="s">
        <v>2551</v>
      </c>
      <c r="AB781" s="4" t="s">
        <v>2552</v>
      </c>
    </row>
    <row r="782" spans="25:28">
      <c r="Y782" s="4" t="str">
        <f t="shared" si="17"/>
        <v>051-200710222.3.3.14.25</v>
      </c>
      <c r="Z782" s="4" t="s">
        <v>1021</v>
      </c>
      <c r="AA782" s="4" t="s">
        <v>2553</v>
      </c>
      <c r="AB782" s="4" t="s">
        <v>2554</v>
      </c>
    </row>
    <row r="783" spans="25:28">
      <c r="Y783" s="4" t="str">
        <f t="shared" si="17"/>
        <v>051-200710222.3.3.15.25</v>
      </c>
      <c r="Z783" s="4" t="s">
        <v>1021</v>
      </c>
      <c r="AA783" s="4" t="s">
        <v>2555</v>
      </c>
      <c r="AB783" s="4" t="s">
        <v>2556</v>
      </c>
    </row>
    <row r="784" spans="25:28">
      <c r="Y784" s="4" t="str">
        <f t="shared" si="17"/>
        <v>051-200710222.3.3.16.25</v>
      </c>
      <c r="Z784" s="4" t="s">
        <v>1021</v>
      </c>
      <c r="AA784" s="4" t="s">
        <v>2557</v>
      </c>
      <c r="AB784" s="4" t="s">
        <v>2546</v>
      </c>
    </row>
    <row r="785" spans="25:28">
      <c r="Y785" s="4" t="str">
        <f t="shared" si="17"/>
        <v>051-200710222.3.3.17.25</v>
      </c>
      <c r="Z785" s="4" t="s">
        <v>1021</v>
      </c>
      <c r="AA785" s="4" t="s">
        <v>2558</v>
      </c>
      <c r="AB785" s="4" t="s">
        <v>2559</v>
      </c>
    </row>
    <row r="786" spans="25:28">
      <c r="Y786" s="4" t="str">
        <f t="shared" si="17"/>
        <v>051-200710222.3.3.18.25</v>
      </c>
      <c r="Z786" s="4" t="s">
        <v>1021</v>
      </c>
      <c r="AA786" s="4" t="s">
        <v>2560</v>
      </c>
      <c r="AB786" s="4" t="s">
        <v>2561</v>
      </c>
    </row>
    <row r="787" spans="25:28">
      <c r="Y787" s="4" t="str">
        <f t="shared" si="17"/>
        <v>051-200710222.3.2.12.25</v>
      </c>
      <c r="Z787" s="4" t="s">
        <v>1021</v>
      </c>
      <c r="AA787" s="4" t="s">
        <v>2562</v>
      </c>
      <c r="AB787" s="4" t="s">
        <v>2563</v>
      </c>
    </row>
    <row r="788" spans="25:28">
      <c r="Y788" s="4" t="str">
        <f t="shared" si="17"/>
        <v>051-200710222.3.2.13.25</v>
      </c>
      <c r="Z788" s="4" t="s">
        <v>1021</v>
      </c>
      <c r="AA788" s="4" t="s">
        <v>2564</v>
      </c>
      <c r="AB788" s="4" t="s">
        <v>2546</v>
      </c>
    </row>
    <row r="789" spans="25:28">
      <c r="Y789" s="4" t="str">
        <f t="shared" si="17"/>
        <v>051-200710222.3.2.14.25</v>
      </c>
      <c r="Z789" s="4" t="s">
        <v>1021</v>
      </c>
      <c r="AA789" s="4" t="s">
        <v>2565</v>
      </c>
      <c r="AB789" s="4" t="s">
        <v>2566</v>
      </c>
    </row>
    <row r="790" spans="25:28">
      <c r="Y790" s="4" t="str">
        <f t="shared" si="17"/>
        <v>051-200710222.3.2.15.25</v>
      </c>
      <c r="Z790" s="4" t="s">
        <v>1021</v>
      </c>
      <c r="AA790" s="4" t="s">
        <v>2567</v>
      </c>
      <c r="AB790" s="4" t="s">
        <v>2568</v>
      </c>
    </row>
    <row r="791" spans="25:28">
      <c r="Y791" s="4" t="str">
        <f t="shared" si="17"/>
        <v>051-200710222.3.2.16.25</v>
      </c>
      <c r="Z791" s="4" t="s">
        <v>1021</v>
      </c>
      <c r="AA791" s="4" t="s">
        <v>2569</v>
      </c>
      <c r="AB791" s="4" t="s">
        <v>2570</v>
      </c>
    </row>
    <row r="792" spans="25:28">
      <c r="Y792" s="4" t="str">
        <f t="shared" si="17"/>
        <v>051-200710222.3.2.17.25</v>
      </c>
      <c r="Z792" s="4" t="s">
        <v>1021</v>
      </c>
      <c r="AA792" s="4" t="s">
        <v>2571</v>
      </c>
      <c r="AB792" s="4" t="s">
        <v>2572</v>
      </c>
    </row>
    <row r="793" spans="25:28">
      <c r="Y793" s="4" t="str">
        <f t="shared" si="17"/>
        <v>051-200710222.4.2.32.25</v>
      </c>
      <c r="Z793" s="4" t="s">
        <v>1021</v>
      </c>
      <c r="AA793" s="4" t="s">
        <v>2573</v>
      </c>
      <c r="AB793" s="4" t="s">
        <v>2546</v>
      </c>
    </row>
    <row r="794" spans="25:28">
      <c r="Y794" s="4" t="str">
        <f t="shared" si="17"/>
        <v>051-200710222.4.2.33.25</v>
      </c>
      <c r="Z794" s="4" t="s">
        <v>1021</v>
      </c>
      <c r="AA794" s="4" t="s">
        <v>2574</v>
      </c>
      <c r="AB794" s="4" t="s">
        <v>2575</v>
      </c>
    </row>
    <row r="795" spans="25:28">
      <c r="Y795" s="4" t="str">
        <f t="shared" si="17"/>
        <v>051-200710222.4.2.34.25</v>
      </c>
      <c r="Z795" s="4" t="s">
        <v>1021</v>
      </c>
      <c r="AA795" s="4" t="s">
        <v>2576</v>
      </c>
      <c r="AB795" s="4" t="s">
        <v>2577</v>
      </c>
    </row>
    <row r="796" spans="25:28">
      <c r="Y796" s="4" t="str">
        <f t="shared" si="17"/>
        <v>051-200710222.8.3.2.25</v>
      </c>
      <c r="Z796" s="4" t="s">
        <v>1021</v>
      </c>
      <c r="AA796" s="4" t="s">
        <v>2578</v>
      </c>
      <c r="AB796" s="4" t="s">
        <v>2579</v>
      </c>
    </row>
    <row r="797" spans="25:28">
      <c r="Y797" s="4" t="str">
        <f t="shared" si="17"/>
        <v>051-200710222.8.3.3.25</v>
      </c>
      <c r="Z797" s="4" t="s">
        <v>1021</v>
      </c>
      <c r="AA797" s="4" t="s">
        <v>2580</v>
      </c>
      <c r="AB797" s="4" t="s">
        <v>2581</v>
      </c>
    </row>
    <row r="798" spans="25:28">
      <c r="Y798" s="4" t="str">
        <f t="shared" si="17"/>
        <v>051-200710222.8.3.4.25</v>
      </c>
      <c r="Z798" s="4" t="s">
        <v>1021</v>
      </c>
      <c r="AA798" s="4" t="s">
        <v>2582</v>
      </c>
      <c r="AB798" s="4" t="s">
        <v>2583</v>
      </c>
    </row>
    <row r="799" spans="25:28">
      <c r="Y799" s="4" t="str">
        <f t="shared" si="17"/>
        <v>051-200710222.8.3.5.25</v>
      </c>
      <c r="Z799" s="4" t="s">
        <v>1021</v>
      </c>
      <c r="AA799" s="4" t="s">
        <v>2584</v>
      </c>
      <c r="AB799" s="4" t="s">
        <v>2585</v>
      </c>
    </row>
    <row r="800" spans="25:28">
      <c r="Y800" s="4" t="str">
        <f t="shared" si="17"/>
        <v>051-200710222.8.3.6.25</v>
      </c>
      <c r="Z800" s="4" t="s">
        <v>1021</v>
      </c>
      <c r="AA800" s="4" t="s">
        <v>2586</v>
      </c>
      <c r="AB800" s="4" t="s">
        <v>2587</v>
      </c>
    </row>
    <row r="801" spans="25:28">
      <c r="Y801" s="4" t="str">
        <f t="shared" si="17"/>
        <v>051-200710222.8.3.7.25</v>
      </c>
      <c r="Z801" s="4" t="s">
        <v>1021</v>
      </c>
      <c r="AA801" s="4" t="s">
        <v>2588</v>
      </c>
      <c r="AB801" s="4" t="s">
        <v>2589</v>
      </c>
    </row>
    <row r="802" spans="25:28">
      <c r="Y802" s="4" t="str">
        <f t="shared" si="17"/>
        <v>051-200710222.8.3.8.25</v>
      </c>
      <c r="Z802" s="4" t="s">
        <v>1021</v>
      </c>
      <c r="AA802" s="4" t="s">
        <v>2590</v>
      </c>
      <c r="AB802" s="4" t="s">
        <v>2591</v>
      </c>
    </row>
    <row r="803" spans="25:28">
      <c r="Y803" s="4" t="str">
        <f t="shared" si="17"/>
        <v>051-200710222.8.3.9.25</v>
      </c>
      <c r="Z803" s="4" t="s">
        <v>1021</v>
      </c>
      <c r="AA803" s="4" t="s">
        <v>2592</v>
      </c>
      <c r="AB803" s="4" t="s">
        <v>2593</v>
      </c>
    </row>
    <row r="804" spans="25:28">
      <c r="Y804" s="4" t="str">
        <f t="shared" si="17"/>
        <v>051-200710222.8.3.10.25</v>
      </c>
      <c r="Z804" s="4" t="s">
        <v>1021</v>
      </c>
      <c r="AA804" s="4" t="s">
        <v>2594</v>
      </c>
      <c r="AB804" s="4" t="s">
        <v>2595</v>
      </c>
    </row>
    <row r="805" spans="25:28">
      <c r="Y805" s="4" t="str">
        <f t="shared" si="17"/>
        <v>051-200710222.8.3.11.25</v>
      </c>
      <c r="Z805" s="4" t="s">
        <v>1021</v>
      </c>
      <c r="AA805" s="4" t="s">
        <v>2596</v>
      </c>
      <c r="AB805" s="4" t="s">
        <v>2597</v>
      </c>
    </row>
    <row r="806" spans="25:28">
      <c r="Y806" s="4" t="str">
        <f t="shared" si="17"/>
        <v>051-200710222.8.3.12.25</v>
      </c>
      <c r="Z806" s="4" t="s">
        <v>1021</v>
      </c>
      <c r="AA806" s="4" t="s">
        <v>2598</v>
      </c>
      <c r="AB806" s="4" t="s">
        <v>2599</v>
      </c>
    </row>
    <row r="807" spans="25:28">
      <c r="Y807" s="4" t="str">
        <f t="shared" si="17"/>
        <v>051-200710222.8.3.13.25</v>
      </c>
      <c r="Z807" s="4" t="s">
        <v>1021</v>
      </c>
      <c r="AA807" s="4" t="s">
        <v>2600</v>
      </c>
      <c r="AB807" s="4" t="s">
        <v>2601</v>
      </c>
    </row>
    <row r="808" spans="25:28">
      <c r="Y808" s="4" t="str">
        <f t="shared" si="17"/>
        <v>051-200710222.8.3.14.25</v>
      </c>
      <c r="Z808" s="4" t="s">
        <v>1021</v>
      </c>
      <c r="AA808" s="4" t="s">
        <v>2602</v>
      </c>
      <c r="AB808" s="4" t="s">
        <v>2546</v>
      </c>
    </row>
    <row r="809" spans="25:28">
      <c r="Y809" s="4" t="str">
        <f t="shared" si="17"/>
        <v>051-200710222.8.3.15.25</v>
      </c>
      <c r="Z809" s="4" t="s">
        <v>1021</v>
      </c>
      <c r="AA809" s="4" t="s">
        <v>2603</v>
      </c>
      <c r="AB809" s="4" t="s">
        <v>2604</v>
      </c>
    </row>
    <row r="810" spans="25:28">
      <c r="Y810" s="4" t="str">
        <f t="shared" si="17"/>
        <v>051-200710222.8.3.16.25</v>
      </c>
      <c r="Z810" s="4" t="s">
        <v>1021</v>
      </c>
      <c r="AA810" s="4" t="s">
        <v>2605</v>
      </c>
      <c r="AB810" s="4" t="s">
        <v>2606</v>
      </c>
    </row>
    <row r="811" spans="25:28">
      <c r="Y811" s="4" t="str">
        <f t="shared" si="17"/>
        <v>051-200710323.3.1.1.25</v>
      </c>
      <c r="Z811" s="4" t="s">
        <v>865</v>
      </c>
      <c r="AA811" s="4" t="s">
        <v>2607</v>
      </c>
      <c r="AB811" s="4" t="s">
        <v>2608</v>
      </c>
    </row>
    <row r="812" spans="25:28">
      <c r="Y812" s="4" t="str">
        <f t="shared" si="17"/>
        <v>051-200710323.3.1.2.25</v>
      </c>
      <c r="Z812" s="4" t="s">
        <v>865</v>
      </c>
      <c r="AA812" s="4" t="s">
        <v>2609</v>
      </c>
      <c r="AB812" s="4" t="s">
        <v>2610</v>
      </c>
    </row>
    <row r="813" spans="25:28">
      <c r="Y813" s="4" t="str">
        <f t="shared" si="17"/>
        <v>051-200710323.3.1.3.25</v>
      </c>
      <c r="Z813" s="4" t="s">
        <v>865</v>
      </c>
      <c r="AA813" s="4" t="s">
        <v>2611</v>
      </c>
      <c r="AB813" s="4" t="s">
        <v>2612</v>
      </c>
    </row>
    <row r="814" spans="25:28">
      <c r="Y814" s="4" t="str">
        <f t="shared" si="17"/>
        <v>051-200710323.3.1.4.25</v>
      </c>
      <c r="Z814" s="4" t="s">
        <v>865</v>
      </c>
      <c r="AA814" s="4" t="s">
        <v>2613</v>
      </c>
      <c r="AB814" s="4" t="s">
        <v>2614</v>
      </c>
    </row>
    <row r="815" spans="25:28">
      <c r="Y815" s="4" t="str">
        <f t="shared" si="17"/>
        <v>051-200710323.3.1.5.25</v>
      </c>
      <c r="Z815" s="4" t="s">
        <v>865</v>
      </c>
      <c r="AA815" s="4" t="s">
        <v>2615</v>
      </c>
      <c r="AB815" s="4" t="s">
        <v>2616</v>
      </c>
    </row>
    <row r="816" spans="25:28">
      <c r="Y816" s="4" t="str">
        <f t="shared" si="17"/>
        <v>051-200710515.3.9.1.25</v>
      </c>
      <c r="Z816" s="4" t="s">
        <v>908</v>
      </c>
      <c r="AA816" s="4" t="s">
        <v>2617</v>
      </c>
      <c r="AB816" s="4" t="s">
        <v>2618</v>
      </c>
    </row>
    <row r="817" spans="25:28">
      <c r="Y817" s="4" t="str">
        <f t="shared" si="17"/>
        <v>051-200710615.3.2.1.25</v>
      </c>
      <c r="Z817" s="4" t="s">
        <v>910</v>
      </c>
      <c r="AA817" s="4" t="s">
        <v>2619</v>
      </c>
      <c r="AB817" s="4" t="s">
        <v>2620</v>
      </c>
    </row>
    <row r="818" spans="25:28">
      <c r="Y818" s="4" t="str">
        <f t="shared" si="17"/>
        <v>051-200710615.3.2.2.25</v>
      </c>
      <c r="Z818" s="4" t="s">
        <v>910</v>
      </c>
      <c r="AA818" s="4" t="s">
        <v>2621</v>
      </c>
      <c r="AB818" s="4" t="s">
        <v>2622</v>
      </c>
    </row>
    <row r="819" spans="25:28">
      <c r="Y819" s="4" t="str">
        <f t="shared" si="17"/>
        <v>051-200710615.3.2.3.25</v>
      </c>
      <c r="Z819" s="4" t="s">
        <v>910</v>
      </c>
      <c r="AA819" s="4" t="s">
        <v>2623</v>
      </c>
      <c r="AB819" s="4" t="s">
        <v>2624</v>
      </c>
    </row>
    <row r="820" spans="25:28">
      <c r="Y820" s="4" t="str">
        <f t="shared" si="17"/>
        <v>051-200710615.3.2.4.25</v>
      </c>
      <c r="Z820" s="4" t="s">
        <v>910</v>
      </c>
      <c r="AA820" s="4" t="s">
        <v>2625</v>
      </c>
      <c r="AB820" s="4" t="s">
        <v>2626</v>
      </c>
    </row>
    <row r="821" spans="25:28">
      <c r="Y821" s="4" t="str">
        <f t="shared" si="17"/>
        <v>051-200710615.3.2.5.25</v>
      </c>
      <c r="Z821" s="4" t="s">
        <v>910</v>
      </c>
      <c r="AA821" s="4" t="s">
        <v>2627</v>
      </c>
      <c r="AB821" s="4" t="s">
        <v>2628</v>
      </c>
    </row>
    <row r="822" spans="25:28">
      <c r="Y822" s="4" t="str">
        <f t="shared" si="17"/>
        <v>051-200710615.3.2.6.25</v>
      </c>
      <c r="Z822" s="4" t="s">
        <v>910</v>
      </c>
      <c r="AA822" s="4" t="s">
        <v>2629</v>
      </c>
      <c r="AB822" s="4" t="s">
        <v>2630</v>
      </c>
    </row>
    <row r="823" spans="25:28">
      <c r="Y823" s="4" t="str">
        <f t="shared" si="17"/>
        <v>051-200710615.3.2.7.25</v>
      </c>
      <c r="Z823" s="4" t="s">
        <v>910</v>
      </c>
      <c r="AA823" s="4" t="s">
        <v>2631</v>
      </c>
      <c r="AB823" s="4" t="s">
        <v>2632</v>
      </c>
    </row>
    <row r="824" spans="25:28">
      <c r="Y824" s="4" t="str">
        <f t="shared" si="17"/>
        <v>051-200710715.3.6.1.25</v>
      </c>
      <c r="Z824" s="4" t="s">
        <v>912</v>
      </c>
      <c r="AA824" s="4" t="s">
        <v>2633</v>
      </c>
      <c r="AB824" s="4" t="s">
        <v>2634</v>
      </c>
    </row>
    <row r="825" spans="25:28">
      <c r="Y825" s="4" t="str">
        <f t="shared" si="17"/>
        <v>051-200710715.3.6.2.25</v>
      </c>
      <c r="Z825" s="4" t="s">
        <v>912</v>
      </c>
      <c r="AA825" s="4" t="s">
        <v>2635</v>
      </c>
      <c r="AB825" s="4" t="s">
        <v>2636</v>
      </c>
    </row>
    <row r="826" spans="25:28">
      <c r="Y826" s="4" t="str">
        <f t="shared" si="17"/>
        <v>051-200710715.3.6.3.25</v>
      </c>
      <c r="Z826" s="4" t="s">
        <v>912</v>
      </c>
      <c r="AA826" s="4" t="s">
        <v>2637</v>
      </c>
      <c r="AB826" s="4" t="s">
        <v>2638</v>
      </c>
    </row>
    <row r="827" spans="25:28">
      <c r="Y827" s="4" t="str">
        <f t="shared" si="17"/>
        <v>051-200710715.3.6.4.25</v>
      </c>
      <c r="Z827" s="4" t="s">
        <v>912</v>
      </c>
      <c r="AA827" s="4" t="s">
        <v>2639</v>
      </c>
      <c r="AB827" s="4" t="s">
        <v>2640</v>
      </c>
    </row>
    <row r="828" spans="25:28">
      <c r="Y828" s="4" t="str">
        <f t="shared" si="17"/>
        <v>051-200710715.3.6.5.25</v>
      </c>
      <c r="Z828" s="4" t="s">
        <v>912</v>
      </c>
      <c r="AA828" s="4" t="s">
        <v>2641</v>
      </c>
      <c r="AB828" s="4" t="s">
        <v>2642</v>
      </c>
    </row>
    <row r="829" spans="25:28">
      <c r="Y829" s="4" t="str">
        <f t="shared" si="17"/>
        <v>051-200710715.3.6.6.25</v>
      </c>
      <c r="Z829" s="4" t="s">
        <v>912</v>
      </c>
      <c r="AA829" s="4" t="s">
        <v>2643</v>
      </c>
      <c r="AB829" s="4" t="s">
        <v>2644</v>
      </c>
    </row>
    <row r="830" spans="25:28">
      <c r="Y830" s="4" t="str">
        <f t="shared" si="17"/>
        <v>051-200710815.3.15.1.25</v>
      </c>
      <c r="Z830" s="4" t="s">
        <v>914</v>
      </c>
      <c r="AA830" s="4" t="s">
        <v>2645</v>
      </c>
      <c r="AB830" s="4" t="s">
        <v>2646</v>
      </c>
    </row>
    <row r="831" spans="25:28">
      <c r="Y831" s="4" t="str">
        <f t="shared" si="17"/>
        <v>051-200710815.3.15.2.25</v>
      </c>
      <c r="Z831" s="4" t="s">
        <v>914</v>
      </c>
      <c r="AA831" s="4" t="s">
        <v>2647</v>
      </c>
      <c r="AB831" s="4" t="s">
        <v>2648</v>
      </c>
    </row>
    <row r="832" spans="25:28">
      <c r="Y832" s="4" t="str">
        <f t="shared" si="17"/>
        <v>051-200710815.3.15.3.25</v>
      </c>
      <c r="Z832" s="4" t="s">
        <v>914</v>
      </c>
      <c r="AA832" s="4" t="s">
        <v>2649</v>
      </c>
      <c r="AB832" s="4" t="s">
        <v>2650</v>
      </c>
    </row>
    <row r="833" spans="25:28">
      <c r="Y833" s="4" t="str">
        <f t="shared" si="17"/>
        <v>051-200710815.3.15.5.25</v>
      </c>
      <c r="Z833" s="4" t="s">
        <v>914</v>
      </c>
      <c r="AA833" s="4" t="s">
        <v>2651</v>
      </c>
      <c r="AB833" s="4" t="s">
        <v>2652</v>
      </c>
    </row>
    <row r="834" spans="25:28">
      <c r="Y834" s="4" t="str">
        <f t="shared" si="17"/>
        <v>051-200710815.3.15.6.25</v>
      </c>
      <c r="Z834" s="4" t="s">
        <v>914</v>
      </c>
      <c r="AA834" s="4" t="s">
        <v>2653</v>
      </c>
      <c r="AB834" s="4" t="s">
        <v>2654</v>
      </c>
    </row>
    <row r="835" spans="25:28">
      <c r="Y835" s="4" t="str">
        <f t="shared" si="17"/>
        <v>051-200710815.3.15.7.25</v>
      </c>
      <c r="Z835" s="4" t="s">
        <v>914</v>
      </c>
      <c r="AA835" s="4" t="s">
        <v>2655</v>
      </c>
      <c r="AB835" s="4" t="s">
        <v>2656</v>
      </c>
    </row>
    <row r="836" spans="25:28">
      <c r="Y836" s="4" t="str">
        <f t="shared" si="17"/>
        <v>051-200710815.3.15.9.25</v>
      </c>
      <c r="Z836" s="4" t="s">
        <v>914</v>
      </c>
      <c r="AA836" s="4" t="s">
        <v>2657</v>
      </c>
      <c r="AB836" s="4" t="s">
        <v>2632</v>
      </c>
    </row>
    <row r="837" spans="25:28">
      <c r="Y837" s="4" t="str">
        <f t="shared" si="17"/>
        <v>051-200713312.2.1.1.25</v>
      </c>
      <c r="Z837" s="4" t="s">
        <v>735</v>
      </c>
      <c r="AA837" s="4" t="s">
        <v>2658</v>
      </c>
      <c r="AB837" s="4" t="s">
        <v>2659</v>
      </c>
    </row>
    <row r="838" spans="25:28">
      <c r="Y838" s="4" t="str">
        <f t="shared" si="17"/>
        <v>051-200713621.3.1.12</v>
      </c>
      <c r="Z838" s="4" t="s">
        <v>787</v>
      </c>
      <c r="AA838" s="4" t="s">
        <v>2660</v>
      </c>
      <c r="AB838" s="4" t="s">
        <v>2661</v>
      </c>
    </row>
    <row r="839" spans="25:28">
      <c r="Y839" s="4" t="str">
        <f t="shared" ref="Y839:Y884" si="18">CONCATENATE(Z839,AA839)</f>
        <v>051-200723813.8.0.1.26</v>
      </c>
      <c r="Z839" s="4" t="s">
        <v>713</v>
      </c>
      <c r="AA839" s="4" t="s">
        <v>2662</v>
      </c>
      <c r="AB839" s="4" t="s">
        <v>2663</v>
      </c>
    </row>
    <row r="840" spans="25:28">
      <c r="Y840" s="4" t="str">
        <f t="shared" si="18"/>
        <v>051-20072889.1.1.1</v>
      </c>
      <c r="Z840" s="4" t="s">
        <v>688</v>
      </c>
      <c r="AA840" s="4" t="s">
        <v>2223</v>
      </c>
      <c r="AB840" s="4" t="s">
        <v>2664</v>
      </c>
    </row>
    <row r="841" spans="25:28">
      <c r="Y841" s="4" t="str">
        <f t="shared" si="18"/>
        <v>051-20072889.1.1.2</v>
      </c>
      <c r="Z841" s="4" t="s">
        <v>688</v>
      </c>
      <c r="AA841" s="4" t="s">
        <v>2225</v>
      </c>
      <c r="AB841" s="4" t="s">
        <v>2664</v>
      </c>
    </row>
    <row r="842" spans="25:28">
      <c r="Y842" s="4" t="str">
        <f t="shared" si="18"/>
        <v>051-20072889.1.1.3</v>
      </c>
      <c r="Z842" s="4" t="s">
        <v>688</v>
      </c>
      <c r="AA842" s="4" t="s">
        <v>2227</v>
      </c>
      <c r="AB842" s="4" t="s">
        <v>2664</v>
      </c>
    </row>
    <row r="843" spans="25:28">
      <c r="Y843" s="4" t="str">
        <f t="shared" si="18"/>
        <v>051-20072891.4.2.1.26</v>
      </c>
      <c r="Z843" s="4" t="s">
        <v>1085</v>
      </c>
      <c r="AA843" s="4" t="s">
        <v>2665</v>
      </c>
      <c r="AB843" s="4" t="s">
        <v>2666</v>
      </c>
    </row>
    <row r="844" spans="25:28">
      <c r="Y844" s="4" t="str">
        <f t="shared" si="18"/>
        <v>051-20072891.4.3.1.26</v>
      </c>
      <c r="Z844" s="4" t="s">
        <v>1085</v>
      </c>
      <c r="AA844" s="4" t="s">
        <v>2667</v>
      </c>
      <c r="AB844" s="4" t="s">
        <v>2668</v>
      </c>
    </row>
    <row r="845" spans="25:28">
      <c r="Y845" s="4" t="str">
        <f t="shared" si="18"/>
        <v>051-20072901.4.4.1.26</v>
      </c>
      <c r="Z845" s="4" t="s">
        <v>1087</v>
      </c>
      <c r="AA845" s="4" t="s">
        <v>2669</v>
      </c>
      <c r="AB845" s="4" t="s">
        <v>2670</v>
      </c>
    </row>
    <row r="846" spans="25:28">
      <c r="Y846" s="4" t="str">
        <f t="shared" si="18"/>
        <v>051-20072901.4.7.1.26</v>
      </c>
      <c r="Z846" s="4" t="s">
        <v>1087</v>
      </c>
      <c r="AA846" s="4" t="s">
        <v>2671</v>
      </c>
      <c r="AB846" s="4" t="s">
        <v>2672</v>
      </c>
    </row>
    <row r="847" spans="25:28">
      <c r="Y847" s="4" t="str">
        <f t="shared" si="18"/>
        <v>051-20072914.4.13.3.26</v>
      </c>
      <c r="Z847" s="4" t="s">
        <v>979</v>
      </c>
      <c r="AA847" s="4" t="s">
        <v>2673</v>
      </c>
      <c r="AB847" s="4" t="s">
        <v>2674</v>
      </c>
    </row>
    <row r="848" spans="25:28">
      <c r="Y848" s="4" t="str">
        <f t="shared" si="18"/>
        <v>051-20072914.4.1.3.26</v>
      </c>
      <c r="Z848" s="4" t="s">
        <v>979</v>
      </c>
      <c r="AA848" s="4" t="s">
        <v>2675</v>
      </c>
      <c r="AB848" s="4" t="s">
        <v>2676</v>
      </c>
    </row>
    <row r="849" spans="25:28">
      <c r="Y849" s="4" t="str">
        <f t="shared" si="18"/>
        <v>051-20072924.1.0.8.26</v>
      </c>
      <c r="Z849" s="4" t="s">
        <v>981</v>
      </c>
      <c r="AA849" s="4" t="s">
        <v>2677</v>
      </c>
      <c r="AB849" s="4" t="s">
        <v>2678</v>
      </c>
    </row>
    <row r="850" spans="25:28">
      <c r="Y850" s="4" t="str">
        <f t="shared" si="18"/>
        <v>051-20072924.1.0.9.26</v>
      </c>
      <c r="Z850" s="4" t="s">
        <v>981</v>
      </c>
      <c r="AA850" s="4" t="s">
        <v>2679</v>
      </c>
      <c r="AB850" s="4" t="s">
        <v>2680</v>
      </c>
    </row>
    <row r="851" spans="25:28">
      <c r="Y851" s="4" t="str">
        <f t="shared" si="18"/>
        <v>051-20072924.1.0.10.26</v>
      </c>
      <c r="Z851" s="4" t="s">
        <v>981</v>
      </c>
      <c r="AA851" s="4" t="s">
        <v>2681</v>
      </c>
      <c r="AB851" s="4" t="s">
        <v>2682</v>
      </c>
    </row>
    <row r="852" spans="25:28">
      <c r="Y852" s="4" t="str">
        <f t="shared" si="18"/>
        <v>051-20072924.1.0.11.26</v>
      </c>
      <c r="Z852" s="4" t="s">
        <v>981</v>
      </c>
      <c r="AA852" s="4" t="s">
        <v>2683</v>
      </c>
      <c r="AB852" s="4" t="s">
        <v>2680</v>
      </c>
    </row>
    <row r="853" spans="25:28">
      <c r="Y853" s="4" t="str">
        <f t="shared" si="18"/>
        <v>051-20072925.1.0.12.26</v>
      </c>
      <c r="Z853" s="4" t="s">
        <v>981</v>
      </c>
      <c r="AA853" s="4" t="s">
        <v>2684</v>
      </c>
      <c r="AB853" s="4" t="s">
        <v>2685</v>
      </c>
    </row>
    <row r="854" spans="25:28">
      <c r="Y854" s="4" t="str">
        <f t="shared" si="18"/>
        <v>051-20072924.1.0.13.26</v>
      </c>
      <c r="Z854" s="4" t="s">
        <v>981</v>
      </c>
      <c r="AA854" s="4" t="s">
        <v>2686</v>
      </c>
      <c r="AB854" s="4" t="s">
        <v>2682</v>
      </c>
    </row>
    <row r="855" spans="25:28">
      <c r="Y855" s="4" t="str">
        <f t="shared" si="18"/>
        <v>051-20072925.1.0.14.26</v>
      </c>
      <c r="Z855" s="4" t="s">
        <v>981</v>
      </c>
      <c r="AA855" s="4" t="s">
        <v>2687</v>
      </c>
      <c r="AB855" s="4" t="s">
        <v>2688</v>
      </c>
    </row>
    <row r="856" spans="25:28">
      <c r="Y856" s="4" t="str">
        <f t="shared" si="18"/>
        <v>051-20072925.1.0.15.26</v>
      </c>
      <c r="Z856" s="4" t="s">
        <v>981</v>
      </c>
      <c r="AA856" s="4" t="s">
        <v>2689</v>
      </c>
      <c r="AB856" s="4" t="s">
        <v>2690</v>
      </c>
    </row>
    <row r="857" spans="25:28">
      <c r="Y857" s="4" t="str">
        <f t="shared" si="18"/>
        <v>051-20072925.1.0.16.26</v>
      </c>
      <c r="Z857" s="4" t="s">
        <v>981</v>
      </c>
      <c r="AA857" s="4" t="s">
        <v>2691</v>
      </c>
      <c r="AB857" s="4" t="s">
        <v>2692</v>
      </c>
    </row>
    <row r="858" spans="25:28">
      <c r="Y858" s="4" t="str">
        <f t="shared" si="18"/>
        <v>051-20072925.1.0.17.26</v>
      </c>
      <c r="Z858" s="4" t="s">
        <v>981</v>
      </c>
      <c r="AA858" s="4" t="s">
        <v>2693</v>
      </c>
      <c r="AB858" s="4" t="s">
        <v>2692</v>
      </c>
    </row>
    <row r="859" spans="25:28">
      <c r="Y859" s="4" t="str">
        <f t="shared" si="18"/>
        <v>051-200729320.2.22.5.26</v>
      </c>
      <c r="Z859" s="4" t="s">
        <v>983</v>
      </c>
      <c r="AA859" s="4" t="s">
        <v>2694</v>
      </c>
      <c r="AB859" s="4" t="s">
        <v>2695</v>
      </c>
    </row>
    <row r="860" spans="25:28">
      <c r="Y860" s="4" t="str">
        <f t="shared" si="18"/>
        <v>051-200729320.2.22.6.26</v>
      </c>
      <c r="Z860" s="4" t="s">
        <v>983</v>
      </c>
      <c r="AA860" s="4" t="s">
        <v>2696</v>
      </c>
      <c r="AB860" s="4" t="s">
        <v>2697</v>
      </c>
    </row>
    <row r="861" spans="25:28">
      <c r="Y861" s="4" t="str">
        <f t="shared" si="18"/>
        <v>051-200729320.2.21.1.26</v>
      </c>
      <c r="Z861" s="4" t="s">
        <v>983</v>
      </c>
      <c r="AA861" s="4" t="s">
        <v>2698</v>
      </c>
      <c r="AB861" s="4" t="s">
        <v>2699</v>
      </c>
    </row>
    <row r="862" spans="25:28">
      <c r="Y862" s="4" t="str">
        <f t="shared" si="18"/>
        <v>051-200729415.3.1.1.26</v>
      </c>
      <c r="Z862" s="4" t="s">
        <v>916</v>
      </c>
      <c r="AA862" s="4" t="s">
        <v>2700</v>
      </c>
      <c r="AB862" s="4" t="s">
        <v>2634</v>
      </c>
    </row>
    <row r="863" spans="25:28">
      <c r="Y863" s="4" t="str">
        <f t="shared" si="18"/>
        <v>051-200729515.3.12.1.26</v>
      </c>
      <c r="Z863" s="4" t="s">
        <v>918</v>
      </c>
      <c r="AA863" s="4" t="s">
        <v>2701</v>
      </c>
      <c r="AB863" s="4" t="s">
        <v>2634</v>
      </c>
    </row>
    <row r="864" spans="25:28">
      <c r="Y864" s="4" t="str">
        <f t="shared" si="18"/>
        <v>051-200729615.3.14.1.26</v>
      </c>
      <c r="Z864" s="4" t="s">
        <v>920</v>
      </c>
      <c r="AA864" s="4" t="s">
        <v>2702</v>
      </c>
      <c r="AB864" s="4" t="s">
        <v>2703</v>
      </c>
    </row>
    <row r="865" spans="25:28">
      <c r="Y865" s="4" t="str">
        <f t="shared" si="18"/>
        <v>051-20072973.3.1C.1.26</v>
      </c>
      <c r="Z865" s="4" t="s">
        <v>761</v>
      </c>
      <c r="AA865" s="4" t="s">
        <v>2704</v>
      </c>
      <c r="AB865" s="4" t="s">
        <v>2705</v>
      </c>
    </row>
    <row r="866" spans="25:28">
      <c r="Y866" s="4" t="str">
        <f t="shared" si="18"/>
        <v>051-20072973.3.2C.1.26</v>
      </c>
      <c r="Z866" s="4" t="s">
        <v>761</v>
      </c>
      <c r="AA866" s="4" t="s">
        <v>2706</v>
      </c>
      <c r="AB866" s="4" t="s">
        <v>2707</v>
      </c>
    </row>
    <row r="867" spans="25:28">
      <c r="Y867" s="4" t="str">
        <f t="shared" si="18"/>
        <v>051-20072973.3.3C.1.26</v>
      </c>
      <c r="Z867" s="4" t="s">
        <v>761</v>
      </c>
      <c r="AA867" s="4" t="s">
        <v>2708</v>
      </c>
      <c r="AB867" s="4" t="s">
        <v>2709</v>
      </c>
    </row>
    <row r="868" spans="25:28">
      <c r="Y868" s="4" t="str">
        <f t="shared" si="18"/>
        <v>051-200729719.3.1В.1.26</v>
      </c>
      <c r="Z868" s="4" t="s">
        <v>761</v>
      </c>
      <c r="AA868" s="4" t="s">
        <v>2710</v>
      </c>
      <c r="AB868" s="4" t="s">
        <v>2711</v>
      </c>
    </row>
    <row r="869" spans="25:28">
      <c r="Y869" s="4" t="str">
        <f t="shared" si="18"/>
        <v>051-200729719.3.2В.1.26</v>
      </c>
      <c r="Z869" s="4" t="s">
        <v>761</v>
      </c>
      <c r="AA869" s="4" t="s">
        <v>2712</v>
      </c>
      <c r="AB869" s="4" t="s">
        <v>2713</v>
      </c>
    </row>
    <row r="870" spans="25:28">
      <c r="Y870" s="4" t="str">
        <f t="shared" si="18"/>
        <v>051-20072973(19).2.0.1.26</v>
      </c>
      <c r="Z870" s="4" t="s">
        <v>761</v>
      </c>
      <c r="AA870" s="4" t="s">
        <v>2714</v>
      </c>
      <c r="AB870" s="4" t="s">
        <v>2715</v>
      </c>
    </row>
    <row r="871" spans="25:28">
      <c r="Y871" s="4" t="str">
        <f t="shared" si="18"/>
        <v>051-200733126.3.2.23.25</v>
      </c>
      <c r="Z871" s="4" t="s">
        <v>795</v>
      </c>
      <c r="AA871" s="4" t="s">
        <v>2716</v>
      </c>
      <c r="AB871" s="4" t="s">
        <v>2717</v>
      </c>
    </row>
    <row r="872" spans="25:28">
      <c r="Y872" s="4" t="str">
        <f t="shared" si="18"/>
        <v>051-200733126.8.0.30.25</v>
      </c>
      <c r="Z872" s="4" t="s">
        <v>795</v>
      </c>
      <c r="AA872" s="4" t="s">
        <v>2718</v>
      </c>
      <c r="AB872" s="4" t="s">
        <v>2719</v>
      </c>
    </row>
    <row r="873" spans="25:28">
      <c r="Y873" s="4" t="str">
        <f t="shared" si="18"/>
        <v>051-200733126.3.3.31.26</v>
      </c>
      <c r="Z873" s="4" t="s">
        <v>795</v>
      </c>
      <c r="AA873" s="4" t="s">
        <v>2720</v>
      </c>
      <c r="AB873" s="4" t="s">
        <v>2721</v>
      </c>
    </row>
    <row r="874" spans="25:28">
      <c r="Y874" s="4" t="str">
        <f t="shared" si="18"/>
        <v>051-200733126.3.3.32.26</v>
      </c>
      <c r="Z874" s="4" t="s">
        <v>795</v>
      </c>
      <c r="AA874" s="4" t="s">
        <v>2722</v>
      </c>
      <c r="AB874" s="4" t="s">
        <v>2723</v>
      </c>
    </row>
    <row r="875" spans="25:28">
      <c r="Y875" s="4" t="str">
        <f t="shared" si="18"/>
        <v>051-200733126.3.2.33.26</v>
      </c>
      <c r="Z875" s="4" t="s">
        <v>795</v>
      </c>
      <c r="AA875" s="4" t="s">
        <v>2724</v>
      </c>
      <c r="AB875" s="4" t="s">
        <v>2725</v>
      </c>
    </row>
    <row r="876" spans="25:28">
      <c r="Y876" s="4" t="str">
        <f t="shared" si="18"/>
        <v>051-200733126.3.2.34.26</v>
      </c>
      <c r="Z876" s="4" t="s">
        <v>795</v>
      </c>
      <c r="AA876" s="4" t="s">
        <v>2726</v>
      </c>
      <c r="AB876" s="4" t="s">
        <v>2727</v>
      </c>
    </row>
    <row r="877" spans="25:28">
      <c r="Y877" s="4" t="str">
        <f t="shared" si="18"/>
        <v>ГДИ-0002.202626.3.3.35.26</v>
      </c>
      <c r="Z877" s="4" t="s">
        <v>797</v>
      </c>
      <c r="AA877" s="4" t="s">
        <v>2728</v>
      </c>
      <c r="AB877" s="4" t="s">
        <v>2729</v>
      </c>
    </row>
    <row r="878" spans="25:28">
      <c r="Y878" s="4" t="str">
        <f t="shared" si="18"/>
        <v>ГДИ-0002.202626.3.2.36.26</v>
      </c>
      <c r="Z878" s="4" t="s">
        <v>797</v>
      </c>
      <c r="AA878" s="4" t="s">
        <v>2730</v>
      </c>
      <c r="AB878" s="4" t="s">
        <v>2731</v>
      </c>
    </row>
    <row r="879" spans="25:28">
      <c r="Y879" s="4" t="str">
        <f t="shared" si="18"/>
        <v>ГДИ-0002.202626.3.2.37.26</v>
      </c>
      <c r="Z879" s="4" t="s">
        <v>797</v>
      </c>
      <c r="AA879" s="4" t="s">
        <v>2732</v>
      </c>
      <c r="AB879" s="4" t="s">
        <v>2733</v>
      </c>
    </row>
    <row r="880" spans="25:28">
      <c r="Y880" s="4" t="str">
        <f t="shared" si="18"/>
        <v>ГДИ-0002.202626.3.2.24.25</v>
      </c>
      <c r="Z880" s="4" t="s">
        <v>797</v>
      </c>
      <c r="AA880" s="4" t="s">
        <v>2734</v>
      </c>
      <c r="AB880" s="4" t="s">
        <v>2735</v>
      </c>
    </row>
    <row r="881" spans="25:28">
      <c r="Y881" s="4" t="str">
        <f t="shared" si="18"/>
        <v>ГДИ-0002.202626.3.2.41.26</v>
      </c>
      <c r="Z881" s="4" t="s">
        <v>797</v>
      </c>
      <c r="AA881" s="4" t="s">
        <v>2736</v>
      </c>
      <c r="AB881" s="4" t="s">
        <v>2737</v>
      </c>
    </row>
    <row r="882" spans="25:28">
      <c r="Y882" s="4" t="str">
        <f t="shared" si="18"/>
        <v>ГДИ-0003.202626.2.3.39.26</v>
      </c>
      <c r="Z882" s="4" t="s">
        <v>799</v>
      </c>
      <c r="AA882" s="4" t="s">
        <v>2738</v>
      </c>
      <c r="AB882" s="4" t="s">
        <v>2739</v>
      </c>
    </row>
    <row r="883" spans="25:28">
      <c r="Y883" s="4" t="str">
        <f t="shared" si="18"/>
        <v>ГДИ-0003.202626.2.2.40.26</v>
      </c>
      <c r="Z883" s="4" t="s">
        <v>799</v>
      </c>
      <c r="AA883" s="4" t="s">
        <v>2740</v>
      </c>
      <c r="AB883" s="4" t="s">
        <v>2741</v>
      </c>
    </row>
    <row r="884" spans="25:28">
      <c r="Y884" s="4" t="str">
        <f t="shared" si="18"/>
        <v>ГДИ-0004.202626.2.2.38.26</v>
      </c>
      <c r="Z884" s="4" t="s">
        <v>801</v>
      </c>
      <c r="AA884" s="4" t="s">
        <v>2742</v>
      </c>
      <c r="AB884" s="4" t="s">
        <v>2743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Инструкция</vt:lpstr>
      <vt:lpstr>ФСД-5.мероприятия</vt:lpstr>
      <vt:lpstr>ФСД-5 Макс. суточная добыча</vt:lpstr>
      <vt:lpstr>Справочник</vt:lpstr>
      <vt:lpstr>'ФСД-5 Макс. суточная добыча'!Область_печати</vt:lpstr>
      <vt:lpstr>'ФСД-5.мероприятия'!Область_печати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danel</cp:lastModifiedBy>
  <dcterms:created xsi:type="dcterms:W3CDTF">2024-01-29T14:02:09Z</dcterms:created>
  <dcterms:modified xsi:type="dcterms:W3CDTF">2026-07-23T14:04:36Z</dcterms:modified>
</cp:coreProperties>
</file>